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iga\Desktop\"/>
    </mc:Choice>
  </mc:AlternateContent>
  <xr:revisionPtr revIDLastSave="0" documentId="13_ncr:1_{D902A7AD-53BA-47DC-8989-0CD6A50C93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職種別 (2種)" sheetId="1" r:id="rId1"/>
    <sheet name="職種別 (NC)" sheetId="6" r:id="rId2"/>
    <sheet name="ホーム合計" sheetId="4" r:id="rId3"/>
    <sheet name="NC導入施設" sheetId="8" r:id="rId4"/>
  </sheets>
  <definedNames>
    <definedName name="_xlnm._FilterDatabase" localSheetId="3" hidden="1">NC導入施設!$A$1:$D$275</definedName>
    <definedName name="_xlnm._FilterDatabase" localSheetId="2" hidden="1">ホーム合計!$A$1:$G$290</definedName>
    <definedName name="_xlnm._FilterDatabase" localSheetId="0" hidden="1">'職種別 (2種)'!$A$6:$L$1451</definedName>
    <definedName name="_xlnm._FilterDatabase" localSheetId="1" hidden="1">'職種別 (NC)'!$A$5:$K$1451</definedName>
    <definedName name="_xlnm.Print_Titles" localSheetId="0">'職種別 (2種)'!$5:$6</definedName>
    <definedName name="_xlnm.Print_Titles" localSheetId="1">'職種別 (NC)'!$5:$6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8" i="1" l="1"/>
  <c r="M9" i="1"/>
  <c r="M10" i="1"/>
  <c r="M11" i="1"/>
  <c r="M12" i="1"/>
  <c r="M13" i="1"/>
  <c r="M14" i="1"/>
  <c r="M15" i="1"/>
  <c r="K12" i="1" s="1"/>
  <c r="M16" i="1"/>
  <c r="M17" i="1"/>
  <c r="M18" i="1"/>
  <c r="M19" i="1"/>
  <c r="M20" i="1"/>
  <c r="M21" i="1"/>
  <c r="K17" i="1" s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K47" i="1" s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K57" i="1" s="1"/>
  <c r="M62" i="1"/>
  <c r="M63" i="1"/>
  <c r="K62" i="1" s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K77" i="1" s="1"/>
  <c r="M80" i="1"/>
  <c r="M81" i="1"/>
  <c r="M82" i="1"/>
  <c r="M83" i="1"/>
  <c r="M84" i="1"/>
  <c r="M85" i="1"/>
  <c r="K82" i="1" s="1"/>
  <c r="M86" i="1"/>
  <c r="M87" i="1"/>
  <c r="K87" i="1" s="1"/>
  <c r="M88" i="1"/>
  <c r="M89" i="1"/>
  <c r="M90" i="1"/>
  <c r="M91" i="1"/>
  <c r="M92" i="1"/>
  <c r="M93" i="1"/>
  <c r="M94" i="1"/>
  <c r="M95" i="1"/>
  <c r="K92" i="1" s="1"/>
  <c r="M96" i="1"/>
  <c r="M97" i="1"/>
  <c r="M98" i="1"/>
  <c r="M99" i="1"/>
  <c r="M100" i="1"/>
  <c r="M101" i="1"/>
  <c r="K97" i="1" s="1"/>
  <c r="M102" i="1"/>
  <c r="M103" i="1"/>
  <c r="K102" i="1" s="1"/>
  <c r="K103" i="1" s="1"/>
  <c r="K104" i="1" s="1"/>
  <c r="K105" i="1" s="1"/>
  <c r="K106" i="1" s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K117" i="1" s="1"/>
  <c r="M120" i="1"/>
  <c r="M121" i="1"/>
  <c r="M122" i="1"/>
  <c r="M123" i="1"/>
  <c r="M124" i="1"/>
  <c r="M125" i="1"/>
  <c r="M126" i="1"/>
  <c r="M127" i="1"/>
  <c r="K127" i="1" s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K142" i="1" s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K167" i="1" s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K177" i="1" s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K202" i="1" s="1"/>
  <c r="M206" i="1"/>
  <c r="M207" i="1"/>
  <c r="K207" i="1" s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K227" i="1" s="1"/>
  <c r="K228" i="1" s="1"/>
  <c r="K229" i="1" s="1"/>
  <c r="K230" i="1" s="1"/>
  <c r="K231" i="1" s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K247" i="1" s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K262" i="1" s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K282" i="1" s="1"/>
  <c r="M286" i="1"/>
  <c r="M287" i="1"/>
  <c r="K287" i="1" s="1"/>
  <c r="M288" i="1"/>
  <c r="M289" i="1"/>
  <c r="M290" i="1"/>
  <c r="M291" i="1"/>
  <c r="M292" i="1"/>
  <c r="M293" i="1"/>
  <c r="M294" i="1"/>
  <c r="M295" i="1"/>
  <c r="K292" i="1" s="1"/>
  <c r="M296" i="1"/>
  <c r="M297" i="1"/>
  <c r="M298" i="1"/>
  <c r="M299" i="1"/>
  <c r="M300" i="1"/>
  <c r="M301" i="1"/>
  <c r="M302" i="1"/>
  <c r="M303" i="1"/>
  <c r="K302" i="1" s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K327" i="1" s="1"/>
  <c r="M328" i="1"/>
  <c r="M329" i="1"/>
  <c r="M330" i="1"/>
  <c r="M331" i="1"/>
  <c r="M332" i="1"/>
  <c r="M333" i="1"/>
  <c r="M334" i="1"/>
  <c r="M335" i="1"/>
  <c r="K332" i="1" s="1"/>
  <c r="M336" i="1"/>
  <c r="M337" i="1"/>
  <c r="M338" i="1"/>
  <c r="M339" i="1"/>
  <c r="M340" i="1"/>
  <c r="M341" i="1"/>
  <c r="M342" i="1"/>
  <c r="M343" i="1"/>
  <c r="K342" i="1" s="1"/>
  <c r="K343" i="1" s="1"/>
  <c r="K344" i="1" s="1"/>
  <c r="K345" i="1" s="1"/>
  <c r="K346" i="1" s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K367" i="1" s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K377" i="1" s="1"/>
  <c r="M382" i="1"/>
  <c r="M383" i="1"/>
  <c r="K382" i="1" s="1"/>
  <c r="M384" i="1"/>
  <c r="M385" i="1"/>
  <c r="M386" i="1"/>
  <c r="M387" i="1"/>
  <c r="M388" i="1"/>
  <c r="M389" i="1"/>
  <c r="M390" i="1"/>
  <c r="M391" i="1"/>
  <c r="K387" i="1" s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K402" i="1" s="1"/>
  <c r="M406" i="1"/>
  <c r="M407" i="1"/>
  <c r="K407" i="1" s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K422" i="1" s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K437" i="1" s="1"/>
  <c r="M440" i="1"/>
  <c r="M441" i="1"/>
  <c r="M442" i="1"/>
  <c r="M443" i="1"/>
  <c r="M444" i="1"/>
  <c r="M445" i="1"/>
  <c r="K442" i="1" s="1"/>
  <c r="M446" i="1"/>
  <c r="M447" i="1"/>
  <c r="K447" i="1" s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K457" i="1" s="1"/>
  <c r="M462" i="1"/>
  <c r="M463" i="1"/>
  <c r="K462" i="1" s="1"/>
  <c r="M464" i="1"/>
  <c r="M465" i="1"/>
  <c r="M466" i="1"/>
  <c r="M467" i="1"/>
  <c r="M468" i="1"/>
  <c r="M469" i="1"/>
  <c r="M470" i="1"/>
  <c r="M471" i="1"/>
  <c r="K467" i="1" s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K482" i="1" s="1"/>
  <c r="M486" i="1"/>
  <c r="M487" i="1"/>
  <c r="K487" i="1" s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K497" i="1" s="1"/>
  <c r="M502" i="1"/>
  <c r="M503" i="1"/>
  <c r="K502" i="1" s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K517" i="1" s="1"/>
  <c r="M520" i="1"/>
  <c r="M521" i="1"/>
  <c r="M522" i="1"/>
  <c r="M523" i="1"/>
  <c r="M524" i="1"/>
  <c r="M525" i="1"/>
  <c r="M526" i="1"/>
  <c r="M527" i="1"/>
  <c r="K527" i="1" s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K537" i="1" s="1"/>
  <c r="C108" i="4" s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K567" i="1" s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K577" i="1" s="1"/>
  <c r="M582" i="1"/>
  <c r="M583" i="1"/>
  <c r="K582" i="1" s="1"/>
  <c r="M584" i="1"/>
  <c r="M585" i="1"/>
  <c r="M586" i="1"/>
  <c r="M587" i="1"/>
  <c r="M588" i="1"/>
  <c r="M589" i="1"/>
  <c r="M590" i="1"/>
  <c r="M591" i="1"/>
  <c r="K587" i="1" s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K602" i="1" s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K617" i="1" s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K637" i="1" s="1"/>
  <c r="M640" i="1"/>
  <c r="M641" i="1"/>
  <c r="M642" i="1"/>
  <c r="M643" i="1"/>
  <c r="M644" i="1"/>
  <c r="M645" i="1"/>
  <c r="M646" i="1"/>
  <c r="M647" i="1"/>
  <c r="K647" i="1" s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K657" i="1" s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K682" i="1" s="1"/>
  <c r="M686" i="1"/>
  <c r="M687" i="1"/>
  <c r="K687" i="1" s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K702" i="1" s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K722" i="1" s="1"/>
  <c r="C145" i="4" s="1"/>
  <c r="M726" i="1"/>
  <c r="M727" i="1"/>
  <c r="K727" i="1" s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K737" i="1" s="1"/>
  <c r="M742" i="1"/>
  <c r="M743" i="1"/>
  <c r="K742" i="1" s="1"/>
  <c r="K743" i="1" s="1"/>
  <c r="K744" i="1" s="1"/>
  <c r="K745" i="1" s="1"/>
  <c r="K746" i="1" s="1"/>
  <c r="M744" i="1"/>
  <c r="M745" i="1"/>
  <c r="M746" i="1"/>
  <c r="M747" i="1"/>
  <c r="M748" i="1"/>
  <c r="M749" i="1"/>
  <c r="M750" i="1"/>
  <c r="M751" i="1"/>
  <c r="M752" i="1"/>
  <c r="M753" i="1"/>
  <c r="M754" i="1"/>
  <c r="M755" i="1"/>
  <c r="K752" i="1" s="1"/>
  <c r="K753" i="1" s="1"/>
  <c r="K754" i="1" s="1"/>
  <c r="M756" i="1"/>
  <c r="M757" i="1"/>
  <c r="M758" i="1"/>
  <c r="M759" i="1"/>
  <c r="K757" i="1" s="1"/>
  <c r="M760" i="1"/>
  <c r="M761" i="1"/>
  <c r="M762" i="1"/>
  <c r="M763" i="1"/>
  <c r="M764" i="1"/>
  <c r="M765" i="1"/>
  <c r="M766" i="1"/>
  <c r="M767" i="1"/>
  <c r="K767" i="1" s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K777" i="1" s="1"/>
  <c r="M782" i="1"/>
  <c r="M783" i="1"/>
  <c r="K782" i="1" s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K807" i="1" s="1"/>
  <c r="M808" i="1"/>
  <c r="M809" i="1"/>
  <c r="M810" i="1"/>
  <c r="M811" i="1"/>
  <c r="M812" i="1"/>
  <c r="M813" i="1"/>
  <c r="M814" i="1"/>
  <c r="M815" i="1"/>
  <c r="K812" i="1" s="1"/>
  <c r="M816" i="1"/>
  <c r="M817" i="1"/>
  <c r="M818" i="1"/>
  <c r="M819" i="1"/>
  <c r="M820" i="1"/>
  <c r="M821" i="1"/>
  <c r="M822" i="1"/>
  <c r="M823" i="1"/>
  <c r="K822" i="1" s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K847" i="1" s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K867" i="1" s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K887" i="1" s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K912" i="1" s="1"/>
  <c r="K913" i="1" s="1"/>
  <c r="K914" i="1" s="1"/>
  <c r="M916" i="1"/>
  <c r="M917" i="1"/>
  <c r="M918" i="1"/>
  <c r="M919" i="1"/>
  <c r="M920" i="1"/>
  <c r="M921" i="1"/>
  <c r="M922" i="1"/>
  <c r="M923" i="1"/>
  <c r="M924" i="1"/>
  <c r="M925" i="1"/>
  <c r="M926" i="1"/>
  <c r="M927" i="1"/>
  <c r="K927" i="1" s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K937" i="1" s="1"/>
  <c r="K938" i="1" s="1"/>
  <c r="K939" i="1" s="1"/>
  <c r="K940" i="1" s="1"/>
  <c r="K941" i="1" s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K957" i="1" s="1"/>
  <c r="M960" i="1"/>
  <c r="M961" i="1"/>
  <c r="M962" i="1"/>
  <c r="M963" i="1"/>
  <c r="M964" i="1"/>
  <c r="M965" i="1"/>
  <c r="K962" i="1" s="1"/>
  <c r="M966" i="1"/>
  <c r="M967" i="1"/>
  <c r="K967" i="1" s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K977" i="1" s="1"/>
  <c r="M982" i="1"/>
  <c r="M983" i="1"/>
  <c r="K982" i="1" s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K1002" i="1" s="1"/>
  <c r="M1006" i="1"/>
  <c r="M1007" i="1"/>
  <c r="K1007" i="1" s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K1017" i="1" s="1"/>
  <c r="K1018" i="1" s="1"/>
  <c r="K1019" i="1" s="1"/>
  <c r="K1020" i="1" s="1"/>
  <c r="K1021" i="1" s="1"/>
  <c r="M1022" i="1"/>
  <c r="M1023" i="1"/>
  <c r="K1022" i="1" s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K1032" i="1" s="1"/>
  <c r="K1033" i="1" s="1"/>
  <c r="K1034" i="1" s="1"/>
  <c r="M1036" i="1"/>
  <c r="M1037" i="1"/>
  <c r="M1038" i="1"/>
  <c r="M1039" i="1"/>
  <c r="K1037" i="1" s="1"/>
  <c r="M1040" i="1"/>
  <c r="M1041" i="1"/>
  <c r="M1042" i="1"/>
  <c r="M1043" i="1"/>
  <c r="M1044" i="1"/>
  <c r="M1045" i="1"/>
  <c r="M1046" i="1"/>
  <c r="M1047" i="1"/>
  <c r="K1047" i="1" s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K1057" i="1" s="1"/>
  <c r="M1062" i="1"/>
  <c r="M1063" i="1"/>
  <c r="M1064" i="1"/>
  <c r="M1065" i="1"/>
  <c r="M1066" i="1"/>
  <c r="M1067" i="1"/>
  <c r="M1068" i="1"/>
  <c r="M1069" i="1"/>
  <c r="M1070" i="1"/>
  <c r="M1071" i="1"/>
  <c r="K1067" i="1" s="1"/>
  <c r="M1072" i="1"/>
  <c r="M1073" i="1"/>
  <c r="M1074" i="1"/>
  <c r="M1075" i="1"/>
  <c r="K1072" i="1" s="1"/>
  <c r="K1073" i="1" s="1"/>
  <c r="K1074" i="1" s="1"/>
  <c r="K1075" i="1" s="1"/>
  <c r="K1076" i="1" s="1"/>
  <c r="M1076" i="1"/>
  <c r="M1077" i="1"/>
  <c r="M1078" i="1"/>
  <c r="M1079" i="1"/>
  <c r="M1080" i="1"/>
  <c r="M1081" i="1"/>
  <c r="M1082" i="1"/>
  <c r="M1083" i="1"/>
  <c r="M1084" i="1"/>
  <c r="M1085" i="1"/>
  <c r="K1082" i="1" s="1"/>
  <c r="M1086" i="1"/>
  <c r="M1087" i="1"/>
  <c r="K1087" i="1" s="1"/>
  <c r="M1088" i="1"/>
  <c r="M1089" i="1"/>
  <c r="M1090" i="1"/>
  <c r="M1091" i="1"/>
  <c r="M1092" i="1"/>
  <c r="M1093" i="1"/>
  <c r="M1094" i="1"/>
  <c r="M1095" i="1"/>
  <c r="K1092" i="1" s="1"/>
  <c r="M1096" i="1"/>
  <c r="M1097" i="1"/>
  <c r="M1098" i="1"/>
  <c r="M1099" i="1"/>
  <c r="M1100" i="1"/>
  <c r="M1101" i="1"/>
  <c r="M1102" i="1"/>
  <c r="M1103" i="1"/>
  <c r="K1102" i="1" s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K1127" i="1" s="1"/>
  <c r="M1128" i="1"/>
  <c r="M1129" i="1"/>
  <c r="M1130" i="1"/>
  <c r="M1131" i="1"/>
  <c r="M1132" i="1"/>
  <c r="M1133" i="1"/>
  <c r="M1134" i="1"/>
  <c r="M1135" i="1"/>
  <c r="K1132" i="1" s="1"/>
  <c r="M1136" i="1"/>
  <c r="M1137" i="1"/>
  <c r="M1138" i="1"/>
  <c r="M1139" i="1"/>
  <c r="M1140" i="1"/>
  <c r="M1141" i="1"/>
  <c r="K1137" i="1" s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K1167" i="1" s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K1177" i="1" s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K1207" i="1" s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K1217" i="1" s="1"/>
  <c r="M1222" i="1"/>
  <c r="M1223" i="1"/>
  <c r="M1224" i="1"/>
  <c r="M1225" i="1"/>
  <c r="M1226" i="1"/>
  <c r="M1227" i="1"/>
  <c r="M1228" i="1"/>
  <c r="M1229" i="1"/>
  <c r="M1230" i="1"/>
  <c r="M1231" i="1"/>
  <c r="K1227" i="1" s="1"/>
  <c r="M1232" i="1"/>
  <c r="M1233" i="1"/>
  <c r="M1234" i="1"/>
  <c r="M1235" i="1"/>
  <c r="K1232" i="1" s="1"/>
  <c r="K1233" i="1" s="1"/>
  <c r="K1234" i="1" s="1"/>
  <c r="M1236" i="1"/>
  <c r="M1237" i="1"/>
  <c r="M1238" i="1"/>
  <c r="M1239" i="1"/>
  <c r="M1240" i="1"/>
  <c r="M1241" i="1"/>
  <c r="M1242" i="1"/>
  <c r="M1243" i="1"/>
  <c r="M1244" i="1"/>
  <c r="M1245" i="1"/>
  <c r="K1242" i="1" s="1"/>
  <c r="M1246" i="1"/>
  <c r="M1247" i="1"/>
  <c r="K1247" i="1" s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K1262" i="1" s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K1282" i="1" s="1"/>
  <c r="M1286" i="1"/>
  <c r="M1287" i="1"/>
  <c r="K1287" i="1" s="1"/>
  <c r="M1288" i="1"/>
  <c r="M1289" i="1"/>
  <c r="M1290" i="1"/>
  <c r="M1291" i="1"/>
  <c r="M1292" i="1"/>
  <c r="M1293" i="1"/>
  <c r="M1294" i="1"/>
  <c r="M1295" i="1"/>
  <c r="K1292" i="1" s="1"/>
  <c r="M1296" i="1"/>
  <c r="M1297" i="1"/>
  <c r="M1298" i="1"/>
  <c r="M1299" i="1"/>
  <c r="M1300" i="1"/>
  <c r="M1301" i="1"/>
  <c r="M1302" i="1"/>
  <c r="M1303" i="1"/>
  <c r="K1302" i="1" s="1"/>
  <c r="K1303" i="1" s="1"/>
  <c r="K1304" i="1" s="1"/>
  <c r="K1305" i="1" s="1"/>
  <c r="K1306" i="1" s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K1327" i="1" s="1"/>
  <c r="M1328" i="1"/>
  <c r="M1329" i="1"/>
  <c r="M1330" i="1"/>
  <c r="M1331" i="1"/>
  <c r="M1332" i="1"/>
  <c r="M1333" i="1"/>
  <c r="M1334" i="1"/>
  <c r="M1335" i="1"/>
  <c r="K1332" i="1" s="1"/>
  <c r="M1336" i="1"/>
  <c r="M1337" i="1"/>
  <c r="M1338" i="1"/>
  <c r="M1339" i="1"/>
  <c r="M1340" i="1"/>
  <c r="M1341" i="1"/>
  <c r="K1337" i="1" s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K1367" i="1" s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K1382" i="1" s="1"/>
  <c r="K1383" i="1" s="1"/>
  <c r="K1384" i="1" s="1"/>
  <c r="K1385" i="1" s="1"/>
  <c r="K1386" i="1" s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K1442" i="1" s="1"/>
  <c r="M1446" i="1"/>
  <c r="M1447" i="1"/>
  <c r="K1447" i="1" s="1"/>
  <c r="K1448" i="1" s="1"/>
  <c r="K1449" i="1" s="1"/>
  <c r="K1450" i="1" s="1"/>
  <c r="K1451" i="1" s="1"/>
  <c r="M1448" i="1"/>
  <c r="M1449" i="1"/>
  <c r="M1450" i="1"/>
  <c r="M1451" i="1"/>
  <c r="M1452" i="1"/>
  <c r="M1453" i="1"/>
  <c r="M1454" i="1"/>
  <c r="M1455" i="1"/>
  <c r="M1456" i="1"/>
  <c r="M7" i="1"/>
  <c r="C119" i="4"/>
  <c r="C151" i="4"/>
  <c r="C159" i="4"/>
  <c r="C183" i="4"/>
  <c r="C188" i="4"/>
  <c r="C204" i="4"/>
  <c r="C207" i="4"/>
  <c r="C215" i="4"/>
  <c r="C223" i="4"/>
  <c r="C231" i="4"/>
  <c r="C261" i="4"/>
  <c r="C271" i="4"/>
  <c r="C276" i="4"/>
  <c r="C277" i="4"/>
  <c r="C287" i="4"/>
  <c r="K1432" i="1"/>
  <c r="K1433" i="1" s="1"/>
  <c r="K1434" i="1" s="1"/>
  <c r="K1435" i="1" s="1"/>
  <c r="K1436" i="1" s="1"/>
  <c r="K1417" i="1"/>
  <c r="K1407" i="1"/>
  <c r="K1392" i="1"/>
  <c r="K1393" i="1" s="1"/>
  <c r="K1394" i="1" s="1"/>
  <c r="K1395" i="1" s="1"/>
  <c r="K1396" i="1" s="1"/>
  <c r="K1377" i="1"/>
  <c r="K1378" i="1" s="1"/>
  <c r="K1379" i="1" s="1"/>
  <c r="K1380" i="1" s="1"/>
  <c r="K1381" i="1" s="1"/>
  <c r="K1362" i="1"/>
  <c r="K1352" i="1"/>
  <c r="K1353" i="1" s="1"/>
  <c r="K1354" i="1" s="1"/>
  <c r="K1355" i="1" s="1"/>
  <c r="K1356" i="1" s="1"/>
  <c r="K1312" i="1"/>
  <c r="K1272" i="1"/>
  <c r="K1257" i="1"/>
  <c r="K1235" i="1"/>
  <c r="K1236" i="1" s="1"/>
  <c r="K1192" i="1"/>
  <c r="K1162" i="1"/>
  <c r="K1152" i="1"/>
  <c r="K1153" i="1" s="1"/>
  <c r="K1154" i="1" s="1"/>
  <c r="K1155" i="1" s="1"/>
  <c r="K1156" i="1" s="1"/>
  <c r="K1112" i="1"/>
  <c r="K1113" i="1" s="1"/>
  <c r="K1114" i="1" s="1"/>
  <c r="K1115" i="1" s="1"/>
  <c r="K1116" i="1" s="1"/>
  <c r="K1097" i="1"/>
  <c r="K1042" i="1"/>
  <c r="C209" i="4" s="1"/>
  <c r="K1035" i="1"/>
  <c r="K1036" i="1" s="1"/>
  <c r="K992" i="1"/>
  <c r="K952" i="1"/>
  <c r="K922" i="1"/>
  <c r="K915" i="1"/>
  <c r="K916" i="1" s="1"/>
  <c r="K897" i="1"/>
  <c r="K872" i="1"/>
  <c r="K873" i="1" s="1"/>
  <c r="K874" i="1" s="1"/>
  <c r="K875" i="1" s="1"/>
  <c r="K876" i="1" s="1"/>
  <c r="K832" i="1"/>
  <c r="K792" i="1"/>
  <c r="K793" i="1" s="1"/>
  <c r="K794" i="1" s="1"/>
  <c r="K795" i="1" s="1"/>
  <c r="K796" i="1" s="1"/>
  <c r="K762" i="1"/>
  <c r="K755" i="1"/>
  <c r="K756" i="1" s="1"/>
  <c r="K723" i="1"/>
  <c r="K724" i="1" s="1"/>
  <c r="K725" i="1" s="1"/>
  <c r="K726" i="1" s="1"/>
  <c r="K712" i="1"/>
  <c r="K697" i="1"/>
  <c r="K698" i="1" s="1"/>
  <c r="K699" i="1" s="1"/>
  <c r="K700" i="1" s="1"/>
  <c r="K701" i="1" s="1"/>
  <c r="K672" i="1"/>
  <c r="K673" i="1" s="1"/>
  <c r="K674" i="1" s="1"/>
  <c r="K675" i="1" s="1"/>
  <c r="K676" i="1" s="1"/>
  <c r="K642" i="1"/>
  <c r="K632" i="1"/>
  <c r="K607" i="1"/>
  <c r="K592" i="1"/>
  <c r="K593" i="1" s="1"/>
  <c r="K594" i="1" s="1"/>
  <c r="K595" i="1" s="1"/>
  <c r="K596" i="1" s="1"/>
  <c r="K552" i="1"/>
  <c r="K553" i="1" s="1"/>
  <c r="K554" i="1" s="1"/>
  <c r="K555" i="1" s="1"/>
  <c r="K556" i="1" s="1"/>
  <c r="K522" i="1"/>
  <c r="K512" i="1"/>
  <c r="K492" i="1"/>
  <c r="K472" i="1"/>
  <c r="K473" i="1" s="1"/>
  <c r="K474" i="1" s="1"/>
  <c r="K475" i="1" s="1"/>
  <c r="K476" i="1" s="1"/>
  <c r="K432" i="1"/>
  <c r="C87" i="4" s="1"/>
  <c r="K417" i="1"/>
  <c r="K392" i="1"/>
  <c r="C79" i="4" s="1"/>
  <c r="K362" i="1"/>
  <c r="K352" i="1"/>
  <c r="K353" i="1" s="1"/>
  <c r="K354" i="1" s="1"/>
  <c r="K355" i="1" s="1"/>
  <c r="K356" i="1" s="1"/>
  <c r="K337" i="1"/>
  <c r="K312" i="1"/>
  <c r="K272" i="1"/>
  <c r="K273" i="1" s="1"/>
  <c r="K274" i="1" s="1"/>
  <c r="K275" i="1" s="1"/>
  <c r="K276" i="1" s="1"/>
  <c r="K257" i="1"/>
  <c r="K232" i="1"/>
  <c r="K233" i="1" s="1"/>
  <c r="K234" i="1" s="1"/>
  <c r="K235" i="1" s="1"/>
  <c r="K236" i="1" s="1"/>
  <c r="K192" i="1"/>
  <c r="K152" i="1"/>
  <c r="K122" i="1"/>
  <c r="K112" i="1"/>
  <c r="K72" i="1"/>
  <c r="C15" i="4" s="1"/>
  <c r="K42" i="1"/>
  <c r="C9" i="4" s="1"/>
  <c r="K32" i="1"/>
  <c r="K33" i="1" s="1"/>
  <c r="K34" i="1" s="1"/>
  <c r="K35" i="1" s="1"/>
  <c r="K36" i="1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3" i="8"/>
  <c r="C59" i="4" l="1"/>
  <c r="K293" i="1"/>
  <c r="K294" i="1" s="1"/>
  <c r="K295" i="1" s="1"/>
  <c r="K296" i="1" s="1"/>
  <c r="K1293" i="1"/>
  <c r="K1294" i="1" s="1"/>
  <c r="K1295" i="1" s="1"/>
  <c r="K1296" i="1" s="1"/>
  <c r="C259" i="4"/>
  <c r="K1228" i="1"/>
  <c r="K1229" i="1" s="1"/>
  <c r="K1230" i="1" s="1"/>
  <c r="K1231" i="1" s="1"/>
  <c r="C246" i="4"/>
  <c r="K1038" i="1"/>
  <c r="K1039" i="1" s="1"/>
  <c r="K1040" i="1" s="1"/>
  <c r="K1041" i="1" s="1"/>
  <c r="C208" i="4"/>
  <c r="C157" i="4"/>
  <c r="K783" i="1"/>
  <c r="K784" i="1" s="1"/>
  <c r="K785" i="1" s="1"/>
  <c r="K786" i="1" s="1"/>
  <c r="K638" i="1"/>
  <c r="K639" i="1" s="1"/>
  <c r="K640" i="1" s="1"/>
  <c r="K641" i="1" s="1"/>
  <c r="C128" i="4"/>
  <c r="K78" i="1"/>
  <c r="K79" i="1" s="1"/>
  <c r="K80" i="1" s="1"/>
  <c r="K81" i="1" s="1"/>
  <c r="C16" i="4"/>
  <c r="C219" i="4"/>
  <c r="K1093" i="1"/>
  <c r="K1094" i="1" s="1"/>
  <c r="K1095" i="1" s="1"/>
  <c r="K1096" i="1" s="1"/>
  <c r="K808" i="1"/>
  <c r="K809" i="1" s="1"/>
  <c r="K810" i="1" s="1"/>
  <c r="K811" i="1" s="1"/>
  <c r="C162" i="4"/>
  <c r="C117" i="4"/>
  <c r="K583" i="1"/>
  <c r="K584" i="1" s="1"/>
  <c r="K585" i="1" s="1"/>
  <c r="K586" i="1" s="1"/>
  <c r="K463" i="1"/>
  <c r="K464" i="1" s="1"/>
  <c r="K465" i="1" s="1"/>
  <c r="K466" i="1" s="1"/>
  <c r="C93" i="4"/>
  <c r="K388" i="1"/>
  <c r="K389" i="1" s="1"/>
  <c r="K390" i="1" s="1"/>
  <c r="K391" i="1" s="1"/>
  <c r="C78" i="4"/>
  <c r="C67" i="4"/>
  <c r="K333" i="1"/>
  <c r="K334" i="1" s="1"/>
  <c r="K335" i="1" s="1"/>
  <c r="K336" i="1" s="1"/>
  <c r="K1128" i="1"/>
  <c r="K1129" i="1" s="1"/>
  <c r="K1130" i="1" s="1"/>
  <c r="K1131" i="1" s="1"/>
  <c r="C226" i="4"/>
  <c r="K518" i="1"/>
  <c r="K519" i="1" s="1"/>
  <c r="K520" i="1" s="1"/>
  <c r="K521" i="1" s="1"/>
  <c r="C104" i="4"/>
  <c r="K1182" i="1"/>
  <c r="K1338" i="1"/>
  <c r="K1339" i="1" s="1"/>
  <c r="K1340" i="1" s="1"/>
  <c r="K1341" i="1" s="1"/>
  <c r="C268" i="4"/>
  <c r="C69" i="4"/>
  <c r="C21" i="4"/>
  <c r="K258" i="1"/>
  <c r="K259" i="1" s="1"/>
  <c r="K260" i="1" s="1"/>
  <c r="K261" i="1" s="1"/>
  <c r="C52" i="4"/>
  <c r="K1368" i="1"/>
  <c r="K1369" i="1" s="1"/>
  <c r="K1370" i="1" s="1"/>
  <c r="K1371" i="1" s="1"/>
  <c r="C274" i="4"/>
  <c r="K1288" i="1"/>
  <c r="K1289" i="1" s="1"/>
  <c r="K1290" i="1" s="1"/>
  <c r="K1291" i="1" s="1"/>
  <c r="C258" i="4"/>
  <c r="K1248" i="1"/>
  <c r="K1249" i="1" s="1"/>
  <c r="K1250" i="1" s="1"/>
  <c r="K1251" i="1" s="1"/>
  <c r="C250" i="4"/>
  <c r="K1208" i="1"/>
  <c r="K1209" i="1" s="1"/>
  <c r="K1210" i="1" s="1"/>
  <c r="K1211" i="1" s="1"/>
  <c r="C242" i="4"/>
  <c r="C221" i="4"/>
  <c r="K1103" i="1"/>
  <c r="K1104" i="1" s="1"/>
  <c r="K1105" i="1" s="1"/>
  <c r="K1106" i="1" s="1"/>
  <c r="K1068" i="1"/>
  <c r="K1069" i="1" s="1"/>
  <c r="K1070" i="1" s="1"/>
  <c r="K1071" i="1" s="1"/>
  <c r="C214" i="4"/>
  <c r="K1008" i="1"/>
  <c r="K1009" i="1" s="1"/>
  <c r="K1010" i="1" s="1"/>
  <c r="K1011" i="1" s="1"/>
  <c r="C202" i="4"/>
  <c r="K968" i="1"/>
  <c r="K969" i="1" s="1"/>
  <c r="K970" i="1" s="1"/>
  <c r="K971" i="1" s="1"/>
  <c r="C194" i="4"/>
  <c r="K888" i="1"/>
  <c r="K889" i="1" s="1"/>
  <c r="K890" i="1" s="1"/>
  <c r="K891" i="1" s="1"/>
  <c r="C178" i="4"/>
  <c r="C170" i="4"/>
  <c r="K848" i="1"/>
  <c r="K849" i="1" s="1"/>
  <c r="K850" i="1" s="1"/>
  <c r="K851" i="1" s="1"/>
  <c r="C163" i="4"/>
  <c r="K813" i="1"/>
  <c r="K814" i="1" s="1"/>
  <c r="K815" i="1" s="1"/>
  <c r="K816" i="1" s="1"/>
  <c r="C154" i="4"/>
  <c r="K768" i="1"/>
  <c r="K769" i="1" s="1"/>
  <c r="K770" i="1" s="1"/>
  <c r="K771" i="1" s="1"/>
  <c r="C138" i="4"/>
  <c r="K688" i="1"/>
  <c r="K689" i="1" s="1"/>
  <c r="K690" i="1" s="1"/>
  <c r="K691" i="1" s="1"/>
  <c r="K648" i="1"/>
  <c r="K649" i="1" s="1"/>
  <c r="K650" i="1" s="1"/>
  <c r="K651" i="1" s="1"/>
  <c r="C130" i="4"/>
  <c r="C106" i="4"/>
  <c r="K528" i="1"/>
  <c r="K529" i="1" s="1"/>
  <c r="K530" i="1" s="1"/>
  <c r="K531" i="1" s="1"/>
  <c r="K468" i="1"/>
  <c r="K469" i="1" s="1"/>
  <c r="K470" i="1" s="1"/>
  <c r="K471" i="1" s="1"/>
  <c r="C94" i="4"/>
  <c r="C90" i="4"/>
  <c r="K448" i="1"/>
  <c r="K449" i="1" s="1"/>
  <c r="K450" i="1" s="1"/>
  <c r="K451" i="1" s="1"/>
  <c r="K423" i="1"/>
  <c r="K424" i="1" s="1"/>
  <c r="K425" i="1" s="1"/>
  <c r="K426" i="1" s="1"/>
  <c r="C85" i="4"/>
  <c r="C77" i="4"/>
  <c r="K383" i="1"/>
  <c r="K384" i="1" s="1"/>
  <c r="K385" i="1" s="1"/>
  <c r="K386" i="1" s="1"/>
  <c r="K303" i="1"/>
  <c r="K304" i="1" s="1"/>
  <c r="K305" i="1" s="1"/>
  <c r="K306" i="1" s="1"/>
  <c r="C61" i="4"/>
  <c r="C53" i="4"/>
  <c r="K263" i="1"/>
  <c r="K264" i="1" s="1"/>
  <c r="K265" i="1" s="1"/>
  <c r="K266" i="1" s="1"/>
  <c r="K248" i="1"/>
  <c r="K249" i="1" s="1"/>
  <c r="K250" i="1" s="1"/>
  <c r="K251" i="1" s="1"/>
  <c r="C50" i="4"/>
  <c r="K208" i="1"/>
  <c r="K209" i="1" s="1"/>
  <c r="K210" i="1" s="1"/>
  <c r="K211" i="1" s="1"/>
  <c r="C42" i="4"/>
  <c r="K88" i="1"/>
  <c r="K89" i="1" s="1"/>
  <c r="K90" i="1" s="1"/>
  <c r="K91" i="1" s="1"/>
  <c r="C18" i="4"/>
  <c r="K48" i="1"/>
  <c r="K49" i="1" s="1"/>
  <c r="K50" i="1" s="1"/>
  <c r="K51" i="1" s="1"/>
  <c r="C10" i="4"/>
  <c r="K1062" i="1"/>
  <c r="K662" i="1"/>
  <c r="K222" i="1"/>
  <c r="K182" i="1"/>
  <c r="K1317" i="1"/>
  <c r="K1277" i="1"/>
  <c r="K1237" i="1"/>
  <c r="K1218" i="1"/>
  <c r="K1219" i="1" s="1"/>
  <c r="K1220" i="1" s="1"/>
  <c r="K1221" i="1" s="1"/>
  <c r="C244" i="4"/>
  <c r="K1157" i="1"/>
  <c r="K1138" i="1"/>
  <c r="K1139" i="1" s="1"/>
  <c r="K1140" i="1" s="1"/>
  <c r="K1141" i="1" s="1"/>
  <c r="C228" i="4"/>
  <c r="C217" i="4"/>
  <c r="K1083" i="1"/>
  <c r="K1084" i="1" s="1"/>
  <c r="K1085" i="1" s="1"/>
  <c r="K1086" i="1" s="1"/>
  <c r="K1058" i="1"/>
  <c r="K1059" i="1" s="1"/>
  <c r="K1060" i="1" s="1"/>
  <c r="K1061" i="1" s="1"/>
  <c r="C212" i="4"/>
  <c r="K997" i="1"/>
  <c r="K978" i="1"/>
  <c r="K979" i="1" s="1"/>
  <c r="K980" i="1" s="1"/>
  <c r="K981" i="1" s="1"/>
  <c r="C196" i="4"/>
  <c r="C193" i="4"/>
  <c r="K963" i="1"/>
  <c r="K964" i="1" s="1"/>
  <c r="K965" i="1" s="1"/>
  <c r="K966" i="1" s="1"/>
  <c r="K907" i="1"/>
  <c r="K877" i="1"/>
  <c r="K827" i="1"/>
  <c r="K797" i="1"/>
  <c r="K778" i="1"/>
  <c r="K779" i="1" s="1"/>
  <c r="K780" i="1" s="1"/>
  <c r="K781" i="1" s="1"/>
  <c r="C156" i="4"/>
  <c r="K738" i="1"/>
  <c r="K739" i="1" s="1"/>
  <c r="K740" i="1" s="1"/>
  <c r="K741" i="1" s="1"/>
  <c r="C148" i="4"/>
  <c r="K717" i="1"/>
  <c r="C137" i="4"/>
  <c r="K683" i="1"/>
  <c r="K684" i="1" s="1"/>
  <c r="K685" i="1" s="1"/>
  <c r="K686" i="1" s="1"/>
  <c r="K677" i="1"/>
  <c r="K658" i="1"/>
  <c r="K659" i="1" s="1"/>
  <c r="K660" i="1" s="1"/>
  <c r="K661" i="1" s="1"/>
  <c r="C132" i="4"/>
  <c r="K618" i="1"/>
  <c r="K619" i="1" s="1"/>
  <c r="K620" i="1" s="1"/>
  <c r="K621" i="1" s="1"/>
  <c r="C124" i="4"/>
  <c r="K603" i="1"/>
  <c r="K604" i="1" s="1"/>
  <c r="K605" i="1" s="1"/>
  <c r="K606" i="1" s="1"/>
  <c r="C121" i="4"/>
  <c r="K578" i="1"/>
  <c r="K579" i="1" s="1"/>
  <c r="K580" i="1" s="1"/>
  <c r="K581" i="1" s="1"/>
  <c r="C116" i="4"/>
  <c r="K557" i="1"/>
  <c r="K532" i="1"/>
  <c r="K483" i="1"/>
  <c r="K484" i="1" s="1"/>
  <c r="K485" i="1" s="1"/>
  <c r="K486" i="1" s="1"/>
  <c r="C97" i="4"/>
  <c r="C92" i="4"/>
  <c r="K458" i="1"/>
  <c r="K459" i="1" s="1"/>
  <c r="K460" i="1" s="1"/>
  <c r="K461" i="1" s="1"/>
  <c r="K397" i="1"/>
  <c r="K357" i="1"/>
  <c r="K277" i="1"/>
  <c r="C290" i="4"/>
  <c r="C46" i="4"/>
  <c r="K43" i="1"/>
  <c r="K44" i="1" s="1"/>
  <c r="K45" i="1" s="1"/>
  <c r="K46" i="1" s="1"/>
  <c r="C273" i="4"/>
  <c r="K1363" i="1"/>
  <c r="K1364" i="1" s="1"/>
  <c r="K1365" i="1" s="1"/>
  <c r="K1366" i="1" s="1"/>
  <c r="K953" i="1"/>
  <c r="K954" i="1" s="1"/>
  <c r="K955" i="1" s="1"/>
  <c r="K956" i="1" s="1"/>
  <c r="C191" i="4"/>
  <c r="C149" i="4"/>
  <c r="K113" i="1"/>
  <c r="K114" i="1" s="1"/>
  <c r="K115" i="1" s="1"/>
  <c r="K116" i="1" s="1"/>
  <c r="C23" i="4"/>
  <c r="C99" i="4"/>
  <c r="K493" i="1"/>
  <c r="K494" i="1" s="1"/>
  <c r="K495" i="1" s="1"/>
  <c r="K496" i="1" s="1"/>
  <c r="K608" i="1"/>
  <c r="K609" i="1" s="1"/>
  <c r="K610" i="1" s="1"/>
  <c r="K611" i="1" s="1"/>
  <c r="C122" i="4"/>
  <c r="K1408" i="1"/>
  <c r="K1409" i="1" s="1"/>
  <c r="K1410" i="1" s="1"/>
  <c r="K1411" i="1" s="1"/>
  <c r="C282" i="4"/>
  <c r="C267" i="4"/>
  <c r="K1333" i="1"/>
  <c r="K1334" i="1" s="1"/>
  <c r="K1335" i="1" s="1"/>
  <c r="K1336" i="1" s="1"/>
  <c r="K1328" i="1"/>
  <c r="K1329" i="1" s="1"/>
  <c r="K1330" i="1" s="1"/>
  <c r="K1331" i="1" s="1"/>
  <c r="C266" i="4"/>
  <c r="K1263" i="1"/>
  <c r="K1264" i="1" s="1"/>
  <c r="K1265" i="1" s="1"/>
  <c r="K1266" i="1" s="1"/>
  <c r="C253" i="4"/>
  <c r="K1168" i="1"/>
  <c r="K1169" i="1" s="1"/>
  <c r="K1170" i="1" s="1"/>
  <c r="K1171" i="1" s="1"/>
  <c r="C234" i="4"/>
  <c r="C227" i="4"/>
  <c r="K1133" i="1"/>
  <c r="K1134" i="1" s="1"/>
  <c r="K1135" i="1" s="1"/>
  <c r="K1136" i="1" s="1"/>
  <c r="C218" i="4"/>
  <c r="K1088" i="1"/>
  <c r="K1089" i="1" s="1"/>
  <c r="K1090" i="1" s="1"/>
  <c r="K1091" i="1" s="1"/>
  <c r="K1048" i="1"/>
  <c r="K1049" i="1" s="1"/>
  <c r="K1050" i="1" s="1"/>
  <c r="K1051" i="1" s="1"/>
  <c r="C210" i="4"/>
  <c r="K1023" i="1"/>
  <c r="K1024" i="1" s="1"/>
  <c r="K1025" i="1" s="1"/>
  <c r="K1026" i="1" s="1"/>
  <c r="C205" i="4"/>
  <c r="C197" i="4"/>
  <c r="K983" i="1"/>
  <c r="K984" i="1" s="1"/>
  <c r="K985" i="1" s="1"/>
  <c r="K986" i="1" s="1"/>
  <c r="K958" i="1"/>
  <c r="K959" i="1" s="1"/>
  <c r="K960" i="1" s="1"/>
  <c r="K961" i="1" s="1"/>
  <c r="C192" i="4"/>
  <c r="K928" i="1"/>
  <c r="K929" i="1" s="1"/>
  <c r="K930" i="1" s="1"/>
  <c r="K931" i="1" s="1"/>
  <c r="C186" i="4"/>
  <c r="K868" i="1"/>
  <c r="K869" i="1" s="1"/>
  <c r="K870" i="1" s="1"/>
  <c r="K871" i="1" s="1"/>
  <c r="C174" i="4"/>
  <c r="K823" i="1"/>
  <c r="K824" i="1" s="1"/>
  <c r="K825" i="1" s="1"/>
  <c r="K826" i="1" s="1"/>
  <c r="C165" i="4"/>
  <c r="K758" i="1"/>
  <c r="K759" i="1" s="1"/>
  <c r="K760" i="1" s="1"/>
  <c r="K761" i="1" s="1"/>
  <c r="C152" i="4"/>
  <c r="K728" i="1"/>
  <c r="K729" i="1" s="1"/>
  <c r="K730" i="1" s="1"/>
  <c r="K731" i="1" s="1"/>
  <c r="C146" i="4"/>
  <c r="K703" i="1"/>
  <c r="K704" i="1" s="1"/>
  <c r="K705" i="1" s="1"/>
  <c r="K706" i="1" s="1"/>
  <c r="C141" i="4"/>
  <c r="K588" i="1"/>
  <c r="K589" i="1" s="1"/>
  <c r="K590" i="1" s="1"/>
  <c r="K591" i="1" s="1"/>
  <c r="C118" i="4"/>
  <c r="K568" i="1"/>
  <c r="K569" i="1" s="1"/>
  <c r="K570" i="1" s="1"/>
  <c r="K571" i="1" s="1"/>
  <c r="C114" i="4"/>
  <c r="K503" i="1"/>
  <c r="K504" i="1" s="1"/>
  <c r="K505" i="1" s="1"/>
  <c r="K506" i="1" s="1"/>
  <c r="C101" i="4"/>
  <c r="K488" i="1"/>
  <c r="K489" i="1" s="1"/>
  <c r="K490" i="1" s="1"/>
  <c r="K491" i="1" s="1"/>
  <c r="C98" i="4"/>
  <c r="K438" i="1"/>
  <c r="K439" i="1" s="1"/>
  <c r="K440" i="1" s="1"/>
  <c r="K441" i="1" s="1"/>
  <c r="C88" i="4"/>
  <c r="K408" i="1"/>
  <c r="K409" i="1" s="1"/>
  <c r="K410" i="1" s="1"/>
  <c r="K411" i="1" s="1"/>
  <c r="C82" i="4"/>
  <c r="K368" i="1"/>
  <c r="K369" i="1" s="1"/>
  <c r="K370" i="1" s="1"/>
  <c r="K371" i="1" s="1"/>
  <c r="C74" i="4"/>
  <c r="K328" i="1"/>
  <c r="K329" i="1" s="1"/>
  <c r="K330" i="1" s="1"/>
  <c r="K331" i="1" s="1"/>
  <c r="C66" i="4"/>
  <c r="K288" i="1"/>
  <c r="K289" i="1" s="1"/>
  <c r="K290" i="1" s="1"/>
  <c r="K291" i="1" s="1"/>
  <c r="C58" i="4"/>
  <c r="K168" i="1"/>
  <c r="K169" i="1" s="1"/>
  <c r="K170" i="1" s="1"/>
  <c r="K171" i="1" s="1"/>
  <c r="C34" i="4"/>
  <c r="C29" i="4"/>
  <c r="K143" i="1"/>
  <c r="K144" i="1" s="1"/>
  <c r="K145" i="1" s="1"/>
  <c r="K146" i="1" s="1"/>
  <c r="K128" i="1"/>
  <c r="K129" i="1" s="1"/>
  <c r="K130" i="1" s="1"/>
  <c r="K131" i="1" s="1"/>
  <c r="C26" i="4"/>
  <c r="K118" i="1"/>
  <c r="K119" i="1" s="1"/>
  <c r="K120" i="1" s="1"/>
  <c r="K121" i="1" s="1"/>
  <c r="C24" i="4"/>
  <c r="C19" i="4"/>
  <c r="K93" i="1"/>
  <c r="K94" i="1" s="1"/>
  <c r="K95" i="1" s="1"/>
  <c r="K96" i="1" s="1"/>
  <c r="K63" i="1"/>
  <c r="K64" i="1" s="1"/>
  <c r="K65" i="1" s="1"/>
  <c r="K66" i="1" s="1"/>
  <c r="C13" i="4"/>
  <c r="C3" i="4"/>
  <c r="K13" i="1"/>
  <c r="K14" i="1" s="1"/>
  <c r="K15" i="1" s="1"/>
  <c r="K16" i="1" s="1"/>
  <c r="K862" i="1"/>
  <c r="C289" i="4"/>
  <c r="K1443" i="1"/>
  <c r="K1444" i="1" s="1"/>
  <c r="K1445" i="1" s="1"/>
  <c r="K1446" i="1" s="1"/>
  <c r="K1357" i="1"/>
  <c r="K1307" i="1"/>
  <c r="C257" i="4"/>
  <c r="K1283" i="1"/>
  <c r="K1284" i="1" s="1"/>
  <c r="K1285" i="1" s="1"/>
  <c r="K1286" i="1" s="1"/>
  <c r="C249" i="4"/>
  <c r="K1243" i="1"/>
  <c r="K1244" i="1" s="1"/>
  <c r="K1245" i="1" s="1"/>
  <c r="K1246" i="1" s="1"/>
  <c r="K1178" i="1"/>
  <c r="K1179" i="1" s="1"/>
  <c r="K1180" i="1" s="1"/>
  <c r="K1181" i="1" s="1"/>
  <c r="C236" i="4"/>
  <c r="K1147" i="1"/>
  <c r="K1107" i="1"/>
  <c r="K1077" i="1"/>
  <c r="K1052" i="1"/>
  <c r="C201" i="4"/>
  <c r="K1003" i="1"/>
  <c r="K1004" i="1" s="1"/>
  <c r="K1005" i="1" s="1"/>
  <c r="K1006" i="1" s="1"/>
  <c r="K917" i="1"/>
  <c r="K892" i="1"/>
  <c r="K852" i="1"/>
  <c r="K787" i="1"/>
  <c r="K747" i="1"/>
  <c r="K692" i="1"/>
  <c r="K498" i="1"/>
  <c r="K499" i="1" s="1"/>
  <c r="K500" i="1" s="1"/>
  <c r="K501" i="1" s="1"/>
  <c r="C100" i="4"/>
  <c r="K477" i="1"/>
  <c r="K452" i="1"/>
  <c r="K403" i="1"/>
  <c r="K404" i="1" s="1"/>
  <c r="K405" i="1" s="1"/>
  <c r="K406" i="1" s="1"/>
  <c r="C81" i="4"/>
  <c r="K378" i="1"/>
  <c r="K379" i="1" s="1"/>
  <c r="K380" i="1" s="1"/>
  <c r="K381" i="1" s="1"/>
  <c r="C76" i="4"/>
  <c r="K307" i="1"/>
  <c r="K283" i="1"/>
  <c r="K284" i="1" s="1"/>
  <c r="K285" i="1" s="1"/>
  <c r="K286" i="1" s="1"/>
  <c r="C57" i="4"/>
  <c r="K252" i="1"/>
  <c r="K212" i="1"/>
  <c r="K203" i="1"/>
  <c r="K204" i="1" s="1"/>
  <c r="K205" i="1" s="1"/>
  <c r="K206" i="1" s="1"/>
  <c r="C41" i="4"/>
  <c r="K197" i="1"/>
  <c r="K178" i="1"/>
  <c r="K179" i="1" s="1"/>
  <c r="K180" i="1" s="1"/>
  <c r="K181" i="1" s="1"/>
  <c r="C36" i="4"/>
  <c r="K172" i="1"/>
  <c r="K147" i="1"/>
  <c r="K132" i="1"/>
  <c r="K98" i="1"/>
  <c r="K99" i="1" s="1"/>
  <c r="K100" i="1" s="1"/>
  <c r="K101" i="1" s="1"/>
  <c r="C20" i="4"/>
  <c r="K67" i="1"/>
  <c r="K58" i="1"/>
  <c r="K59" i="1" s="1"/>
  <c r="K60" i="1" s="1"/>
  <c r="K61" i="1" s="1"/>
  <c r="C12" i="4"/>
  <c r="K37" i="1"/>
  <c r="K18" i="1"/>
  <c r="K19" i="1" s="1"/>
  <c r="K20" i="1" s="1"/>
  <c r="K21" i="1" s="1"/>
  <c r="C4" i="4"/>
  <c r="K418" i="1"/>
  <c r="K419" i="1" s="1"/>
  <c r="K420" i="1" s="1"/>
  <c r="K421" i="1" s="1"/>
  <c r="C84" i="4"/>
  <c r="C233" i="4"/>
  <c r="K1163" i="1"/>
  <c r="K1164" i="1" s="1"/>
  <c r="K1165" i="1" s="1"/>
  <c r="K1166" i="1" s="1"/>
  <c r="K538" i="1"/>
  <c r="K539" i="1" s="1"/>
  <c r="K540" i="1" s="1"/>
  <c r="K541" i="1" s="1"/>
  <c r="K1193" i="1"/>
  <c r="K1194" i="1" s="1"/>
  <c r="K1195" i="1" s="1"/>
  <c r="K1196" i="1" s="1"/>
  <c r="C239" i="4"/>
  <c r="C185" i="4"/>
  <c r="K923" i="1"/>
  <c r="K924" i="1" s="1"/>
  <c r="K925" i="1" s="1"/>
  <c r="K926" i="1" s="1"/>
  <c r="K833" i="1"/>
  <c r="K834" i="1" s="1"/>
  <c r="K835" i="1" s="1"/>
  <c r="K836" i="1" s="1"/>
  <c r="C167" i="4"/>
  <c r="K1258" i="1"/>
  <c r="K1259" i="1" s="1"/>
  <c r="K1260" i="1" s="1"/>
  <c r="K1261" i="1" s="1"/>
  <c r="C252" i="4"/>
  <c r="K1422" i="1"/>
  <c r="K1342" i="1"/>
  <c r="K1222" i="1"/>
  <c r="K1142" i="1"/>
  <c r="K942" i="1"/>
  <c r="K902" i="1"/>
  <c r="K622" i="1"/>
  <c r="K542" i="1"/>
  <c r="K22" i="1"/>
  <c r="C7" i="4"/>
  <c r="K1427" i="1"/>
  <c r="K1402" i="1"/>
  <c r="K1347" i="1"/>
  <c r="K1322" i="1"/>
  <c r="K1297" i="1"/>
  <c r="K1267" i="1"/>
  <c r="K1202" i="1"/>
  <c r="K1122" i="1"/>
  <c r="K1027" i="1"/>
  <c r="K882" i="1"/>
  <c r="K857" i="1"/>
  <c r="K842" i="1"/>
  <c r="K817" i="1"/>
  <c r="K707" i="1"/>
  <c r="K547" i="1"/>
  <c r="K507" i="1"/>
  <c r="K322" i="1"/>
  <c r="K297" i="1"/>
  <c r="K242" i="1"/>
  <c r="K217" i="1"/>
  <c r="K162" i="1"/>
  <c r="K137" i="1"/>
  <c r="K1452" i="1"/>
  <c r="K1397" i="1"/>
  <c r="K1172" i="1"/>
  <c r="K1117" i="1"/>
  <c r="K732" i="1"/>
  <c r="K572" i="1"/>
  <c r="K443" i="1"/>
  <c r="K444" i="1" s="1"/>
  <c r="K445" i="1" s="1"/>
  <c r="K446" i="1" s="1"/>
  <c r="C89" i="4"/>
  <c r="K317" i="1"/>
  <c r="K237" i="1"/>
  <c r="K83" i="1"/>
  <c r="K84" i="1" s="1"/>
  <c r="K85" i="1" s="1"/>
  <c r="K86" i="1" s="1"/>
  <c r="C17" i="4"/>
  <c r="K52" i="1"/>
  <c r="K27" i="1"/>
  <c r="K993" i="1"/>
  <c r="K994" i="1" s="1"/>
  <c r="K995" i="1" s="1"/>
  <c r="K996" i="1" s="1"/>
  <c r="C199" i="4"/>
  <c r="C175" i="4"/>
  <c r="C135" i="4"/>
  <c r="C95" i="4"/>
  <c r="C55" i="4"/>
  <c r="C111" i="4"/>
  <c r="C71" i="4"/>
  <c r="C129" i="4"/>
  <c r="K643" i="1"/>
  <c r="K644" i="1" s="1"/>
  <c r="K645" i="1" s="1"/>
  <c r="K646" i="1" s="1"/>
  <c r="K898" i="1"/>
  <c r="K899" i="1" s="1"/>
  <c r="K900" i="1" s="1"/>
  <c r="K901" i="1" s="1"/>
  <c r="C180" i="4"/>
  <c r="K1098" i="1"/>
  <c r="K1099" i="1" s="1"/>
  <c r="K1100" i="1" s="1"/>
  <c r="K1101" i="1" s="1"/>
  <c r="C220" i="4"/>
  <c r="K123" i="1"/>
  <c r="K124" i="1" s="1"/>
  <c r="K125" i="1" s="1"/>
  <c r="K126" i="1" s="1"/>
  <c r="C25" i="4"/>
  <c r="K153" i="1"/>
  <c r="K154" i="1" s="1"/>
  <c r="K155" i="1" s="1"/>
  <c r="K156" i="1" s="1"/>
  <c r="C31" i="4"/>
  <c r="K193" i="1"/>
  <c r="K194" i="1" s="1"/>
  <c r="K195" i="1" s="1"/>
  <c r="K196" i="1" s="1"/>
  <c r="C39" i="4"/>
  <c r="K338" i="1"/>
  <c r="K339" i="1" s="1"/>
  <c r="K340" i="1" s="1"/>
  <c r="K341" i="1" s="1"/>
  <c r="C68" i="4"/>
  <c r="K363" i="1"/>
  <c r="K364" i="1" s="1"/>
  <c r="K365" i="1" s="1"/>
  <c r="K366" i="1" s="1"/>
  <c r="C73" i="4"/>
  <c r="K523" i="1"/>
  <c r="K524" i="1" s="1"/>
  <c r="K525" i="1" s="1"/>
  <c r="K526" i="1" s="1"/>
  <c r="C105" i="4"/>
  <c r="C153" i="4"/>
  <c r="K763" i="1"/>
  <c r="K764" i="1" s="1"/>
  <c r="K765" i="1" s="1"/>
  <c r="K766" i="1" s="1"/>
  <c r="K1043" i="1"/>
  <c r="K1044" i="1" s="1"/>
  <c r="K1045" i="1" s="1"/>
  <c r="K1046" i="1" s="1"/>
  <c r="K1418" i="1"/>
  <c r="K1419" i="1" s="1"/>
  <c r="K1420" i="1" s="1"/>
  <c r="K1421" i="1" s="1"/>
  <c r="C284" i="4"/>
  <c r="K1437" i="1"/>
  <c r="K1197" i="1"/>
  <c r="K837" i="1"/>
  <c r="K772" i="1"/>
  <c r="K597" i="1"/>
  <c r="K427" i="1"/>
  <c r="K412" i="1"/>
  <c r="K372" i="1"/>
  <c r="K347" i="1"/>
  <c r="K267" i="1"/>
  <c r="K187" i="1"/>
  <c r="K157" i="1"/>
  <c r="K107" i="1"/>
  <c r="K393" i="1"/>
  <c r="K394" i="1" s="1"/>
  <c r="K395" i="1" s="1"/>
  <c r="K396" i="1" s="1"/>
  <c r="K1273" i="1"/>
  <c r="K1274" i="1" s="1"/>
  <c r="K1275" i="1" s="1"/>
  <c r="K1276" i="1" s="1"/>
  <c r="C255" i="4"/>
  <c r="C140" i="4"/>
  <c r="K1372" i="1"/>
  <c r="K1012" i="1"/>
  <c r="K713" i="1"/>
  <c r="K714" i="1" s="1"/>
  <c r="K715" i="1" s="1"/>
  <c r="K716" i="1" s="1"/>
  <c r="C143" i="4"/>
  <c r="K1313" i="1"/>
  <c r="K1314" i="1" s="1"/>
  <c r="K1315" i="1" s="1"/>
  <c r="K1316" i="1" s="1"/>
  <c r="C263" i="4"/>
  <c r="K313" i="1"/>
  <c r="K314" i="1" s="1"/>
  <c r="K315" i="1" s="1"/>
  <c r="K316" i="1" s="1"/>
  <c r="C63" i="4"/>
  <c r="K633" i="1"/>
  <c r="K634" i="1" s="1"/>
  <c r="K635" i="1" s="1"/>
  <c r="K636" i="1" s="1"/>
  <c r="C127" i="4"/>
  <c r="C279" i="4"/>
  <c r="K73" i="1"/>
  <c r="K74" i="1" s="1"/>
  <c r="K75" i="1" s="1"/>
  <c r="K76" i="1" s="1"/>
  <c r="K433" i="1"/>
  <c r="K434" i="1" s="1"/>
  <c r="K435" i="1" s="1"/>
  <c r="K436" i="1" s="1"/>
  <c r="K513" i="1"/>
  <c r="K514" i="1" s="1"/>
  <c r="K515" i="1" s="1"/>
  <c r="K516" i="1" s="1"/>
  <c r="C103" i="4"/>
  <c r="C47" i="4"/>
  <c r="K1412" i="1"/>
  <c r="K1252" i="1"/>
  <c r="K1212" i="1"/>
  <c r="K972" i="1"/>
  <c r="K932" i="1"/>
  <c r="K652" i="1"/>
  <c r="K612" i="1"/>
  <c r="K1387" i="1"/>
  <c r="K1187" i="1"/>
  <c r="K987" i="1"/>
  <c r="K947" i="1"/>
  <c r="K802" i="1"/>
  <c r="K667" i="1"/>
  <c r="K627" i="1"/>
  <c r="K562" i="1"/>
  <c r="C247" i="4"/>
  <c r="J11" i="6" a="1"/>
  <c r="J11" i="6" s="1"/>
  <c r="J10" i="6" a="1"/>
  <c r="J10" i="6" s="1"/>
  <c r="J9" i="6" a="1"/>
  <c r="J9" i="6" s="1"/>
  <c r="J8" i="6"/>
  <c r="J8" i="6" a="1"/>
  <c r="J7" i="6" a="1"/>
  <c r="J7" i="6" s="1"/>
  <c r="I7" i="6" s="1" a="1"/>
  <c r="I7" i="6" s="1"/>
  <c r="J1456" i="6" a="1"/>
  <c r="J1456" i="6" s="1"/>
  <c r="J1455" i="6" a="1"/>
  <c r="J1455" i="6" s="1"/>
  <c r="J1454" i="6" a="1"/>
  <c r="J1454" i="6" s="1"/>
  <c r="J1453" i="6" a="1"/>
  <c r="J1453" i="6" s="1"/>
  <c r="K1452" i="6"/>
  <c r="J1452" i="6"/>
  <c r="I1452" i="6" s="1" a="1"/>
  <c r="I1452" i="6" s="1"/>
  <c r="J1452" i="6" a="1"/>
  <c r="J1451" i="6" a="1"/>
  <c r="J1451" i="6" s="1"/>
  <c r="J1450" i="6"/>
  <c r="J1450" i="6" a="1"/>
  <c r="J1449" i="6"/>
  <c r="J1449" i="6" a="1"/>
  <c r="J1448" i="6" a="1"/>
  <c r="J1448" i="6" s="1"/>
  <c r="K1447" i="6"/>
  <c r="J1447" i="6" a="1"/>
  <c r="J1447" i="6" s="1"/>
  <c r="I1447" i="6" s="1" a="1"/>
  <c r="I1447" i="6" s="1"/>
  <c r="J1446" i="6" a="1"/>
  <c r="J1446" i="6" s="1"/>
  <c r="J1445" i="6" a="1"/>
  <c r="J1445" i="6" s="1"/>
  <c r="J1444" i="6" a="1"/>
  <c r="J1444" i="6" s="1"/>
  <c r="J1443" i="6" a="1"/>
  <c r="J1443" i="6" s="1"/>
  <c r="K1442" i="6"/>
  <c r="J1442" i="6" a="1"/>
  <c r="J1442" i="6" s="1"/>
  <c r="I1442" i="6" s="1" a="1"/>
  <c r="I1442" i="6" s="1"/>
  <c r="J1441" i="6"/>
  <c r="J1441" i="6" a="1"/>
  <c r="J1440" i="6"/>
  <c r="J1440" i="6" a="1"/>
  <c r="J1439" i="6" a="1"/>
  <c r="J1439" i="6" s="1"/>
  <c r="J1438" i="6" a="1"/>
  <c r="J1438" i="6" s="1"/>
  <c r="K1437" i="6"/>
  <c r="J1437" i="6" a="1"/>
  <c r="J1437" i="6" s="1"/>
  <c r="I1437" i="6" s="1" a="1"/>
  <c r="I1437" i="6" s="1"/>
  <c r="J1436" i="6"/>
  <c r="J1436" i="6" a="1"/>
  <c r="J1435" i="6" a="1"/>
  <c r="J1435" i="6" s="1"/>
  <c r="J1434" i="6" a="1"/>
  <c r="J1434" i="6" s="1"/>
  <c r="J1433" i="6" a="1"/>
  <c r="J1433" i="6" s="1"/>
  <c r="K1432" i="6"/>
  <c r="J1432" i="6" a="1"/>
  <c r="J1432" i="6" s="1"/>
  <c r="I1432" i="6" s="1" a="1"/>
  <c r="I1432" i="6"/>
  <c r="J1431" i="6"/>
  <c r="J1431" i="6" a="1"/>
  <c r="J1430" i="6" a="1"/>
  <c r="J1430" i="6" s="1"/>
  <c r="J1429" i="6" a="1"/>
  <c r="J1429" i="6" s="1"/>
  <c r="J1428" i="6"/>
  <c r="J1428" i="6" a="1"/>
  <c r="K1427" i="6"/>
  <c r="J1427" i="6" a="1"/>
  <c r="J1427" i="6" s="1"/>
  <c r="I1427" i="6" s="1" a="1"/>
  <c r="I1427" i="6" s="1"/>
  <c r="J1426" i="6" a="1"/>
  <c r="J1426" i="6" s="1"/>
  <c r="J1425" i="6" a="1"/>
  <c r="J1425" i="6" s="1"/>
  <c r="J1424" i="6" a="1"/>
  <c r="J1424" i="6" s="1"/>
  <c r="J1423" i="6" a="1"/>
  <c r="J1423" i="6" s="1"/>
  <c r="K1422" i="6"/>
  <c r="J1422" i="6"/>
  <c r="I1422" i="6" s="1" a="1"/>
  <c r="I1422" i="6" s="1"/>
  <c r="J1422" i="6" a="1"/>
  <c r="J1421" i="6" a="1"/>
  <c r="J1421" i="6" s="1"/>
  <c r="J1420" i="6" a="1"/>
  <c r="J1420" i="6" s="1"/>
  <c r="J1419" i="6"/>
  <c r="J1419" i="6" a="1"/>
  <c r="J1418" i="6"/>
  <c r="J1418" i="6" a="1"/>
  <c r="K1417" i="6"/>
  <c r="J1417" i="6" a="1"/>
  <c r="J1417" i="6" s="1"/>
  <c r="I1417" i="6" a="1"/>
  <c r="I1417" i="6" s="1"/>
  <c r="J1416" i="6" a="1"/>
  <c r="J1416" i="6" s="1"/>
  <c r="J1415" i="6" a="1"/>
  <c r="J1415" i="6" s="1"/>
  <c r="J1414" i="6" a="1"/>
  <c r="J1414" i="6" s="1"/>
  <c r="J1413" i="6" a="1"/>
  <c r="J1413" i="6" s="1"/>
  <c r="K1412" i="6"/>
  <c r="J1412" i="6"/>
  <c r="I1412" i="6" s="1" a="1"/>
  <c r="I1412" i="6" s="1"/>
  <c r="J1412" i="6" a="1"/>
  <c r="J1411" i="6" a="1"/>
  <c r="J1411" i="6" s="1"/>
  <c r="J1410" i="6"/>
  <c r="J1410" i="6" a="1"/>
  <c r="J1409" i="6"/>
  <c r="J1409" i="6" a="1"/>
  <c r="J1408" i="6" a="1"/>
  <c r="J1408" i="6" s="1"/>
  <c r="K1407" i="6"/>
  <c r="J1407" i="6"/>
  <c r="I1407" i="6" s="1" a="1"/>
  <c r="I1407" i="6" s="1"/>
  <c r="J1407" i="6" a="1"/>
  <c r="J1406" i="6" a="1"/>
  <c r="J1406" i="6" s="1"/>
  <c r="J1405" i="6" a="1"/>
  <c r="J1405" i="6" s="1"/>
  <c r="J1404" i="6" a="1"/>
  <c r="J1404" i="6" s="1"/>
  <c r="J1403" i="6" a="1"/>
  <c r="J1403" i="6" s="1"/>
  <c r="K1402" i="6"/>
  <c r="J1402" i="6" a="1"/>
  <c r="J1402" i="6" s="1"/>
  <c r="I1402" i="6" s="1" a="1"/>
  <c r="I1402" i="6" s="1"/>
  <c r="J1401" i="6"/>
  <c r="J1401" i="6" a="1"/>
  <c r="J1400" i="6"/>
  <c r="J1400" i="6" a="1"/>
  <c r="J1399" i="6" a="1"/>
  <c r="J1399" i="6" s="1"/>
  <c r="J1398" i="6" a="1"/>
  <c r="J1398" i="6" s="1"/>
  <c r="K1397" i="6"/>
  <c r="J1397" i="6" a="1"/>
  <c r="J1397" i="6" s="1"/>
  <c r="J1396" i="6" a="1"/>
  <c r="J1396" i="6" s="1"/>
  <c r="J1395" i="6"/>
  <c r="J1395" i="6" a="1"/>
  <c r="J1394" i="6" a="1"/>
  <c r="J1394" i="6" s="1"/>
  <c r="J1393" i="6"/>
  <c r="J1393" i="6" a="1"/>
  <c r="K1392" i="6"/>
  <c r="J1392" i="6" a="1"/>
  <c r="J1392" i="6" s="1"/>
  <c r="I1392" i="6" s="1" a="1"/>
  <c r="I1392" i="6" s="1"/>
  <c r="J1391" i="6"/>
  <c r="J1391" i="6" a="1"/>
  <c r="J1390" i="6" a="1"/>
  <c r="J1390" i="6" s="1"/>
  <c r="J1389" i="6" a="1"/>
  <c r="J1389" i="6" s="1"/>
  <c r="J1388" i="6"/>
  <c r="J1388" i="6" a="1"/>
  <c r="K1387" i="6"/>
  <c r="I1387" i="6" s="1" a="1"/>
  <c r="I1387" i="6" s="1"/>
  <c r="J1387" i="6"/>
  <c r="J1387" i="6" a="1"/>
  <c r="J1386" i="6" a="1"/>
  <c r="J1386" i="6" s="1"/>
  <c r="J1385" i="6" a="1"/>
  <c r="J1385" i="6" s="1"/>
  <c r="J1384" i="6" a="1"/>
  <c r="J1384" i="6" s="1"/>
  <c r="J1383" i="6" a="1"/>
  <c r="J1383" i="6" s="1"/>
  <c r="K1382" i="6"/>
  <c r="J1382" i="6"/>
  <c r="J1382" i="6" a="1"/>
  <c r="J1381" i="6" a="1"/>
  <c r="J1381" i="6" s="1"/>
  <c r="J1380" i="6" a="1"/>
  <c r="J1380" i="6" s="1"/>
  <c r="J1379" i="6"/>
  <c r="J1379" i="6" a="1"/>
  <c r="J1378" i="6"/>
  <c r="J1378" i="6" a="1"/>
  <c r="K1377" i="6"/>
  <c r="J1377" i="6" a="1"/>
  <c r="J1377" i="6" s="1"/>
  <c r="I1377" i="6" a="1"/>
  <c r="I1377" i="6" s="1"/>
  <c r="J1376" i="6" a="1"/>
  <c r="J1376" i="6" s="1"/>
  <c r="J1375" i="6"/>
  <c r="J1375" i="6" a="1"/>
  <c r="J1374" i="6" a="1"/>
  <c r="J1374" i="6" s="1"/>
  <c r="J1373" i="6" a="1"/>
  <c r="J1373" i="6" s="1"/>
  <c r="K1372" i="6"/>
  <c r="J1372" i="6"/>
  <c r="I1372" i="6" s="1" a="1"/>
  <c r="I1372" i="6" s="1"/>
  <c r="J1372" i="6" a="1"/>
  <c r="J1371" i="6" a="1"/>
  <c r="J1371" i="6" s="1"/>
  <c r="J1370" i="6"/>
  <c r="J1370" i="6" a="1"/>
  <c r="J1369" i="6"/>
  <c r="J1369" i="6" a="1"/>
  <c r="J1368" i="6" a="1"/>
  <c r="J1368" i="6" s="1"/>
  <c r="K1367" i="6"/>
  <c r="J1367" i="6"/>
  <c r="I1367" i="6" s="1" a="1"/>
  <c r="I1367" i="6" s="1"/>
  <c r="J1367" i="6" a="1"/>
  <c r="J1366" i="6"/>
  <c r="J1366" i="6" a="1"/>
  <c r="J1365" i="6" a="1"/>
  <c r="J1365" i="6" s="1"/>
  <c r="J1364" i="6"/>
  <c r="J1364" i="6" a="1"/>
  <c r="J1363" i="6" a="1"/>
  <c r="J1363" i="6" s="1"/>
  <c r="K1362" i="6"/>
  <c r="J1362" i="6" a="1"/>
  <c r="J1362" i="6" s="1"/>
  <c r="I1362" i="6" a="1"/>
  <c r="I1362" i="6" s="1"/>
  <c r="J1361" i="6"/>
  <c r="J1361" i="6" a="1"/>
  <c r="J1360" i="6"/>
  <c r="J1360" i="6" a="1"/>
  <c r="J1359" i="6" a="1"/>
  <c r="J1359" i="6" s="1"/>
  <c r="J1358" i="6" a="1"/>
  <c r="J1358" i="6" s="1"/>
  <c r="K1357" i="6"/>
  <c r="J1357" i="6" a="1"/>
  <c r="J1357" i="6" s="1"/>
  <c r="I1357" i="6" s="1" a="1"/>
  <c r="I1357" i="6" s="1"/>
  <c r="J1356" i="6"/>
  <c r="J1356" i="6" a="1"/>
  <c r="J1355" i="6"/>
  <c r="J1355" i="6" a="1"/>
  <c r="J1354" i="6" a="1"/>
  <c r="J1354" i="6" s="1"/>
  <c r="J1353" i="6"/>
  <c r="J1353" i="6" a="1"/>
  <c r="K1352" i="6"/>
  <c r="J1352" i="6" a="1"/>
  <c r="J1352" i="6" s="1"/>
  <c r="I1352" i="6" s="1" a="1"/>
  <c r="I1352" i="6" s="1"/>
  <c r="J1351" i="6"/>
  <c r="J1351" i="6" a="1"/>
  <c r="J1350" i="6" a="1"/>
  <c r="J1350" i="6" s="1"/>
  <c r="J1349" i="6" a="1"/>
  <c r="J1349" i="6" s="1"/>
  <c r="J1348" i="6"/>
  <c r="J1348" i="6" a="1"/>
  <c r="K1347" i="6"/>
  <c r="J1347" i="6"/>
  <c r="I1347" i="6" s="1" a="1"/>
  <c r="I1347" i="6" s="1"/>
  <c r="J1347" i="6" a="1"/>
  <c r="J1346" i="6" a="1"/>
  <c r="J1346" i="6" s="1"/>
  <c r="J1345" i="6" a="1"/>
  <c r="J1345" i="6" s="1"/>
  <c r="J1344" i="6"/>
  <c r="J1344" i="6" a="1"/>
  <c r="J1343" i="6" a="1"/>
  <c r="J1343" i="6" s="1"/>
  <c r="K1342" i="6"/>
  <c r="J1342" i="6"/>
  <c r="I1342" i="6" s="1" a="1"/>
  <c r="I1342" i="6" s="1"/>
  <c r="J1342" i="6" a="1"/>
  <c r="J1341" i="6" a="1"/>
  <c r="J1341" i="6" s="1"/>
  <c r="J1340" i="6" a="1"/>
  <c r="J1340" i="6" s="1"/>
  <c r="J1339" i="6"/>
  <c r="J1339" i="6" a="1"/>
  <c r="J1338" i="6"/>
  <c r="J1338" i="6" a="1"/>
  <c r="K1337" i="6"/>
  <c r="J1337" i="6" a="1"/>
  <c r="J1337" i="6" s="1"/>
  <c r="I1337" i="6" a="1"/>
  <c r="I1337" i="6" s="1"/>
  <c r="J1336" i="6" a="1"/>
  <c r="J1336" i="6" s="1"/>
  <c r="J1335" i="6"/>
  <c r="J1335" i="6" a="1"/>
  <c r="J1334" i="6" a="1"/>
  <c r="J1334" i="6" s="1"/>
  <c r="J1333" i="6" a="1"/>
  <c r="J1333" i="6" s="1"/>
  <c r="K1332" i="6"/>
  <c r="J1332" i="6"/>
  <c r="I1332" i="6" s="1" a="1"/>
  <c r="I1332" i="6" s="1"/>
  <c r="J1332" i="6" a="1"/>
  <c r="J1331" i="6" a="1"/>
  <c r="J1331" i="6" s="1"/>
  <c r="J1330" i="6"/>
  <c r="J1330" i="6" a="1"/>
  <c r="J1329" i="6"/>
  <c r="J1329" i="6" a="1"/>
  <c r="J1328" i="6" a="1"/>
  <c r="J1328" i="6" s="1"/>
  <c r="K1327" i="6"/>
  <c r="J1327" i="6" a="1"/>
  <c r="J1327" i="6" s="1"/>
  <c r="I1327" i="6" s="1" a="1"/>
  <c r="I1327" i="6" s="1"/>
  <c r="J1326" i="6"/>
  <c r="J1326" i="6" a="1"/>
  <c r="J1325" i="6" a="1"/>
  <c r="J1325" i="6" s="1"/>
  <c r="J1324" i="6" a="1"/>
  <c r="J1324" i="6" s="1"/>
  <c r="J1323" i="6" a="1"/>
  <c r="J1323" i="6" s="1"/>
  <c r="K1322" i="6"/>
  <c r="J1322" i="6" a="1"/>
  <c r="J1322" i="6" s="1"/>
  <c r="I1322" i="6" s="1" a="1"/>
  <c r="I1322" i="6" s="1"/>
  <c r="J1321" i="6"/>
  <c r="J1321" i="6" a="1"/>
  <c r="J1320" i="6"/>
  <c r="J1320" i="6" a="1"/>
  <c r="J1319" i="6" a="1"/>
  <c r="J1319" i="6" s="1"/>
  <c r="J1318" i="6" a="1"/>
  <c r="J1318" i="6" s="1"/>
  <c r="K1317" i="6"/>
  <c r="J1317" i="6" a="1"/>
  <c r="J1317" i="6" s="1"/>
  <c r="J1316" i="6" a="1"/>
  <c r="J1316" i="6" s="1"/>
  <c r="J1315" i="6" a="1"/>
  <c r="J1315" i="6" s="1"/>
  <c r="J1314" i="6" a="1"/>
  <c r="J1314" i="6" s="1"/>
  <c r="J1313" i="6"/>
  <c r="J1313" i="6" a="1"/>
  <c r="K1312" i="6"/>
  <c r="J1312" i="6" a="1"/>
  <c r="J1312" i="6" s="1"/>
  <c r="I1312" i="6" s="1" a="1"/>
  <c r="I1312" i="6" s="1"/>
  <c r="J1311" i="6"/>
  <c r="J1311" i="6" a="1"/>
  <c r="J1310" i="6" a="1"/>
  <c r="J1310" i="6" s="1"/>
  <c r="J1309" i="6" a="1"/>
  <c r="J1309" i="6" s="1"/>
  <c r="J1308" i="6"/>
  <c r="J1308" i="6" a="1"/>
  <c r="K1307" i="6"/>
  <c r="J1307" i="6"/>
  <c r="I1307" i="6" s="1" a="1"/>
  <c r="I1307" i="6" s="1"/>
  <c r="J1307" i="6" a="1"/>
  <c r="J1306" i="6" a="1"/>
  <c r="J1306" i="6" s="1"/>
  <c r="J1305" i="6" a="1"/>
  <c r="J1305" i="6" s="1"/>
  <c r="J1304" i="6"/>
  <c r="J1304" i="6" a="1"/>
  <c r="J1303" i="6" a="1"/>
  <c r="J1303" i="6" s="1"/>
  <c r="K1302" i="6"/>
  <c r="J1302" i="6"/>
  <c r="I1302" i="6" s="1" a="1"/>
  <c r="I1302" i="6" s="1"/>
  <c r="J1302" i="6" a="1"/>
  <c r="J1301" i="6" a="1"/>
  <c r="J1301" i="6" s="1"/>
  <c r="J1300" i="6" a="1"/>
  <c r="J1300" i="6" s="1"/>
  <c r="J1299" i="6"/>
  <c r="J1299" i="6" a="1"/>
  <c r="J1298" i="6"/>
  <c r="J1298" i="6" a="1"/>
  <c r="K1297" i="6"/>
  <c r="J1297" i="6" a="1"/>
  <c r="J1297" i="6" s="1"/>
  <c r="I1297" i="6" a="1"/>
  <c r="I1297" i="6" s="1"/>
  <c r="J1296" i="6" a="1"/>
  <c r="J1296" i="6" s="1"/>
  <c r="J1295" i="6"/>
  <c r="J1295" i="6" a="1"/>
  <c r="J1294" i="6" a="1"/>
  <c r="J1294" i="6" s="1"/>
  <c r="J1293" i="6" a="1"/>
  <c r="J1293" i="6" s="1"/>
  <c r="K1292" i="6"/>
  <c r="J1292" i="6"/>
  <c r="I1292" i="6" s="1" a="1"/>
  <c r="I1292" i="6" s="1"/>
  <c r="J1292" i="6" a="1"/>
  <c r="J1291" i="6" a="1"/>
  <c r="J1291" i="6" s="1"/>
  <c r="J1290" i="6"/>
  <c r="J1290" i="6" a="1"/>
  <c r="J1289" i="6"/>
  <c r="J1289" i="6" a="1"/>
  <c r="J1288" i="6" a="1"/>
  <c r="J1288" i="6" s="1"/>
  <c r="K1287" i="6"/>
  <c r="J1287" i="6" a="1"/>
  <c r="J1287" i="6" s="1"/>
  <c r="I1287" i="6" s="1" a="1"/>
  <c r="I1287" i="6" s="1"/>
  <c r="J1286" i="6"/>
  <c r="J1286" i="6" a="1"/>
  <c r="J1285" i="6" a="1"/>
  <c r="J1285" i="6" s="1"/>
  <c r="J1284" i="6" a="1"/>
  <c r="J1284" i="6" s="1"/>
  <c r="J1283" i="6" a="1"/>
  <c r="J1283" i="6" s="1"/>
  <c r="K1282" i="6"/>
  <c r="J1282" i="6" a="1"/>
  <c r="J1282" i="6" s="1"/>
  <c r="I1282" i="6" s="1" a="1"/>
  <c r="I1282" i="6" s="1"/>
  <c r="J1281" i="6"/>
  <c r="J1281" i="6" a="1"/>
  <c r="J1280" i="6"/>
  <c r="J1280" i="6" a="1"/>
  <c r="J1279" i="6" a="1"/>
  <c r="J1279" i="6" s="1"/>
  <c r="J1278" i="6" a="1"/>
  <c r="J1278" i="6" s="1"/>
  <c r="K1277" i="6"/>
  <c r="J1277" i="6" a="1"/>
  <c r="J1277" i="6" s="1"/>
  <c r="J1276" i="6" a="1"/>
  <c r="J1276" i="6" s="1"/>
  <c r="J1275" i="6" a="1"/>
  <c r="J1275" i="6" s="1"/>
  <c r="J1274" i="6" a="1"/>
  <c r="J1274" i="6" s="1"/>
  <c r="J1273" i="6"/>
  <c r="J1273" i="6" a="1"/>
  <c r="K1272" i="6"/>
  <c r="J1272" i="6" a="1"/>
  <c r="J1272" i="6" s="1"/>
  <c r="I1272" i="6" s="1" a="1"/>
  <c r="I1272" i="6" s="1"/>
  <c r="J1271" i="6"/>
  <c r="J1271" i="6" a="1"/>
  <c r="J1270" i="6" a="1"/>
  <c r="J1270" i="6" s="1"/>
  <c r="J1269" i="6" a="1"/>
  <c r="J1269" i="6" s="1"/>
  <c r="J1268" i="6"/>
  <c r="J1268" i="6" a="1"/>
  <c r="K1267" i="6"/>
  <c r="I1267" i="6" s="1" a="1"/>
  <c r="I1267" i="6" s="1"/>
  <c r="J1267" i="6"/>
  <c r="J1267" i="6" a="1"/>
  <c r="J1266" i="6" a="1"/>
  <c r="J1266" i="6" s="1"/>
  <c r="J1265" i="6" a="1"/>
  <c r="J1265" i="6" s="1"/>
  <c r="J1264" i="6"/>
  <c r="J1264" i="6" a="1"/>
  <c r="J1263" i="6" a="1"/>
  <c r="J1263" i="6" s="1"/>
  <c r="K1262" i="6"/>
  <c r="J1262" i="6"/>
  <c r="I1262" i="6" s="1" a="1"/>
  <c r="I1262" i="6" s="1"/>
  <c r="J1262" i="6" a="1"/>
  <c r="J1261" i="6" a="1"/>
  <c r="J1261" i="6" s="1"/>
  <c r="J1260" i="6" a="1"/>
  <c r="J1260" i="6" s="1"/>
  <c r="J1259" i="6"/>
  <c r="J1259" i="6" a="1"/>
  <c r="J1258" i="6"/>
  <c r="J1258" i="6" a="1"/>
  <c r="K1257" i="6"/>
  <c r="J1257" i="6" a="1"/>
  <c r="J1257" i="6" s="1"/>
  <c r="I1257" i="6" a="1"/>
  <c r="I1257" i="6" s="1"/>
  <c r="J1256" i="6" a="1"/>
  <c r="J1256" i="6" s="1"/>
  <c r="J1255" i="6"/>
  <c r="J1255" i="6" a="1"/>
  <c r="J1254" i="6" a="1"/>
  <c r="J1254" i="6" s="1"/>
  <c r="J1253" i="6" a="1"/>
  <c r="J1253" i="6" s="1"/>
  <c r="K1252" i="6"/>
  <c r="J1252" i="6"/>
  <c r="I1252" i="6" s="1" a="1"/>
  <c r="I1252" i="6" s="1"/>
  <c r="J1252" i="6" a="1"/>
  <c r="J1251" i="6" a="1"/>
  <c r="J1251" i="6" s="1"/>
  <c r="J1250" i="6"/>
  <c r="J1250" i="6" a="1"/>
  <c r="J1249" i="6"/>
  <c r="J1249" i="6" a="1"/>
  <c r="J1248" i="6" a="1"/>
  <c r="J1248" i="6" s="1"/>
  <c r="K1247" i="6"/>
  <c r="J1247" i="6" a="1"/>
  <c r="J1247" i="6" s="1"/>
  <c r="I1247" i="6" s="1" a="1"/>
  <c r="I1247" i="6" s="1"/>
  <c r="J1246" i="6"/>
  <c r="J1246" i="6" a="1"/>
  <c r="J1245" i="6" a="1"/>
  <c r="J1245" i="6" s="1"/>
  <c r="J1244" i="6" a="1"/>
  <c r="J1244" i="6" s="1"/>
  <c r="J1243" i="6" a="1"/>
  <c r="J1243" i="6" s="1"/>
  <c r="K1242" i="6"/>
  <c r="J1242" i="6" a="1"/>
  <c r="J1242" i="6" s="1"/>
  <c r="I1242" i="6" s="1" a="1"/>
  <c r="I1242" i="6" s="1"/>
  <c r="J1241" i="6"/>
  <c r="J1241" i="6" a="1"/>
  <c r="J1240" i="6"/>
  <c r="J1240" i="6" a="1"/>
  <c r="J1239" i="6" a="1"/>
  <c r="J1239" i="6" s="1"/>
  <c r="J1238" i="6" a="1"/>
  <c r="J1238" i="6" s="1"/>
  <c r="K1237" i="6"/>
  <c r="J1237" i="6" a="1"/>
  <c r="J1237" i="6" s="1"/>
  <c r="J1236" i="6" a="1"/>
  <c r="J1236" i="6" s="1"/>
  <c r="J1235" i="6" a="1"/>
  <c r="J1235" i="6" s="1"/>
  <c r="J1234" i="6" a="1"/>
  <c r="J1234" i="6" s="1"/>
  <c r="J1233" i="6"/>
  <c r="J1233" i="6" a="1"/>
  <c r="K1232" i="6"/>
  <c r="J1232" i="6" a="1"/>
  <c r="J1232" i="6" s="1"/>
  <c r="I1232" i="6" s="1" a="1"/>
  <c r="I1232" i="6" s="1"/>
  <c r="J1231" i="6"/>
  <c r="J1231" i="6" a="1"/>
  <c r="J1230" i="6" a="1"/>
  <c r="J1230" i="6" s="1"/>
  <c r="J1229" i="6" a="1"/>
  <c r="J1229" i="6" s="1"/>
  <c r="J1228" i="6"/>
  <c r="J1228" i="6" a="1"/>
  <c r="K1227" i="6"/>
  <c r="I1227" i="6" s="1" a="1"/>
  <c r="I1227" i="6" s="1"/>
  <c r="J1227" i="6"/>
  <c r="J1227" i="6" a="1"/>
  <c r="J1226" i="6" a="1"/>
  <c r="J1226" i="6" s="1"/>
  <c r="J1225" i="6" a="1"/>
  <c r="J1225" i="6" s="1"/>
  <c r="J1224" i="6"/>
  <c r="J1224" i="6" a="1"/>
  <c r="J1223" i="6" a="1"/>
  <c r="J1223" i="6" s="1"/>
  <c r="K1222" i="6"/>
  <c r="J1222" i="6"/>
  <c r="I1222" i="6" s="1" a="1"/>
  <c r="I1222" i="6" s="1"/>
  <c r="J1222" i="6" a="1"/>
  <c r="J1221" i="6" a="1"/>
  <c r="J1221" i="6" s="1"/>
  <c r="J1220" i="6" a="1"/>
  <c r="J1220" i="6" s="1"/>
  <c r="J1219" i="6"/>
  <c r="J1219" i="6" a="1"/>
  <c r="J1218" i="6"/>
  <c r="J1218" i="6" a="1"/>
  <c r="K1217" i="6"/>
  <c r="J1217" i="6" a="1"/>
  <c r="J1217" i="6" s="1"/>
  <c r="I1217" i="6" a="1"/>
  <c r="I1217" i="6" s="1"/>
  <c r="J1216" i="6" a="1"/>
  <c r="J1216" i="6" s="1"/>
  <c r="J1215" i="6"/>
  <c r="J1215" i="6" a="1"/>
  <c r="J1214" i="6" a="1"/>
  <c r="J1214" i="6" s="1"/>
  <c r="J1213" i="6" a="1"/>
  <c r="J1213" i="6" s="1"/>
  <c r="K1212" i="6"/>
  <c r="J1212" i="6"/>
  <c r="I1212" i="6" s="1" a="1"/>
  <c r="I1212" i="6" s="1"/>
  <c r="J1212" i="6" a="1"/>
  <c r="J1211" i="6" a="1"/>
  <c r="J1211" i="6" s="1"/>
  <c r="J1210" i="6"/>
  <c r="J1210" i="6" a="1"/>
  <c r="J1209" i="6"/>
  <c r="J1209" i="6" a="1"/>
  <c r="J1208" i="6" a="1"/>
  <c r="J1208" i="6" s="1"/>
  <c r="K1207" i="6"/>
  <c r="J1207" i="6" a="1"/>
  <c r="J1207" i="6" s="1"/>
  <c r="I1207" i="6" s="1" a="1"/>
  <c r="I1207" i="6" s="1"/>
  <c r="J1206" i="6"/>
  <c r="J1206" i="6" a="1"/>
  <c r="J1205" i="6"/>
  <c r="J1205" i="6" a="1"/>
  <c r="J1204" i="6" a="1"/>
  <c r="J1204" i="6" s="1"/>
  <c r="J1203" i="6" a="1"/>
  <c r="J1203" i="6" s="1"/>
  <c r="K1202" i="6"/>
  <c r="J1202" i="6" a="1"/>
  <c r="J1202" i="6" s="1"/>
  <c r="I1202" i="6" s="1" a="1"/>
  <c r="I1202" i="6" s="1"/>
  <c r="J1201" i="6"/>
  <c r="J1201" i="6" a="1"/>
  <c r="J1200" i="6"/>
  <c r="J1200" i="6" a="1"/>
  <c r="J1199" i="6" a="1"/>
  <c r="J1199" i="6" s="1"/>
  <c r="J1198" i="6" a="1"/>
  <c r="J1198" i="6" s="1"/>
  <c r="K1197" i="6"/>
  <c r="J1197" i="6" a="1"/>
  <c r="J1197" i="6" s="1"/>
  <c r="J1196" i="6"/>
  <c r="J1196" i="6" a="1"/>
  <c r="J1195" i="6" a="1"/>
  <c r="J1195" i="6" s="1"/>
  <c r="J1194" i="6" a="1"/>
  <c r="J1194" i="6" s="1"/>
  <c r="J1193" i="6"/>
  <c r="J1193" i="6" a="1"/>
  <c r="K1192" i="6"/>
  <c r="J1192" i="6" a="1"/>
  <c r="J1192" i="6" s="1"/>
  <c r="I1192" i="6" s="1" a="1"/>
  <c r="I1192" i="6"/>
  <c r="J1191" i="6"/>
  <c r="J1191" i="6" a="1"/>
  <c r="J1190" i="6" a="1"/>
  <c r="J1190" i="6" s="1"/>
  <c r="J1189" i="6" a="1"/>
  <c r="J1189" i="6" s="1"/>
  <c r="J1188" i="6"/>
  <c r="J1188" i="6" a="1"/>
  <c r="K1187" i="6"/>
  <c r="J1187" i="6"/>
  <c r="I1187" i="6" s="1" a="1"/>
  <c r="I1187" i="6" s="1"/>
  <c r="J1187" i="6" a="1"/>
  <c r="J1186" i="6"/>
  <c r="J1186" i="6" a="1"/>
  <c r="J1185" i="6" a="1"/>
  <c r="J1185" i="6" s="1"/>
  <c r="J1184" i="6"/>
  <c r="J1184" i="6" a="1"/>
  <c r="J1183" i="6" a="1"/>
  <c r="J1183" i="6" s="1"/>
  <c r="K1182" i="6"/>
  <c r="J1182" i="6"/>
  <c r="I1182" i="6" s="1" a="1"/>
  <c r="I1182" i="6" s="1"/>
  <c r="J1182" i="6" a="1"/>
  <c r="J1181" i="6" a="1"/>
  <c r="J1181" i="6" s="1"/>
  <c r="J1180" i="6" a="1"/>
  <c r="J1180" i="6" s="1"/>
  <c r="J1179" i="6"/>
  <c r="J1179" i="6" a="1"/>
  <c r="J1178" i="6"/>
  <c r="J1178" i="6" a="1"/>
  <c r="K1177" i="6"/>
  <c r="J1177" i="6" a="1"/>
  <c r="J1177" i="6" s="1"/>
  <c r="I1177" i="6" a="1"/>
  <c r="I1177" i="6" s="1"/>
  <c r="J1176" i="6" a="1"/>
  <c r="J1176" i="6" s="1"/>
  <c r="J1175" i="6"/>
  <c r="J1175" i="6" a="1"/>
  <c r="J1174" i="6" a="1"/>
  <c r="J1174" i="6" s="1"/>
  <c r="J1173" i="6" a="1"/>
  <c r="J1173" i="6" s="1"/>
  <c r="K1172" i="6"/>
  <c r="J1172" i="6"/>
  <c r="I1172" i="6" s="1" a="1"/>
  <c r="I1172" i="6" s="1"/>
  <c r="J1172" i="6" a="1"/>
  <c r="J1171" i="6" a="1"/>
  <c r="J1171" i="6" s="1"/>
  <c r="J1170" i="6"/>
  <c r="J1170" i="6" a="1"/>
  <c r="J1169" i="6"/>
  <c r="J1169" i="6" a="1"/>
  <c r="J1168" i="6" a="1"/>
  <c r="J1168" i="6" s="1"/>
  <c r="K1167" i="6"/>
  <c r="J1167" i="6"/>
  <c r="I1167" i="6" s="1" a="1"/>
  <c r="I1167" i="6" s="1"/>
  <c r="J1167" i="6" a="1"/>
  <c r="J1166" i="6"/>
  <c r="J1166" i="6" a="1"/>
  <c r="J1165" i="6" a="1"/>
  <c r="J1165" i="6" s="1"/>
  <c r="J1164" i="6"/>
  <c r="J1164" i="6" a="1"/>
  <c r="J1163" i="6" a="1"/>
  <c r="J1163" i="6" s="1"/>
  <c r="K1162" i="6"/>
  <c r="J1162" i="6" a="1"/>
  <c r="J1162" i="6" s="1"/>
  <c r="I1162" i="6" s="1" a="1"/>
  <c r="I1162" i="6" s="1"/>
  <c r="J1161" i="6"/>
  <c r="J1161" i="6" a="1"/>
  <c r="J1160" i="6"/>
  <c r="J1160" i="6" a="1"/>
  <c r="J1159" i="6" a="1"/>
  <c r="J1159" i="6" s="1"/>
  <c r="J1158" i="6" a="1"/>
  <c r="J1158" i="6" s="1"/>
  <c r="K1157" i="6"/>
  <c r="J1157" i="6" a="1"/>
  <c r="J1157" i="6" s="1"/>
  <c r="J1156" i="6"/>
  <c r="J1156" i="6" a="1"/>
  <c r="J1155" i="6"/>
  <c r="J1155" i="6" a="1"/>
  <c r="J1154" i="6" a="1"/>
  <c r="J1154" i="6" s="1"/>
  <c r="J1153" i="6"/>
  <c r="J1153" i="6" a="1"/>
  <c r="K1152" i="6"/>
  <c r="J1152" i="6" a="1"/>
  <c r="J1152" i="6" s="1"/>
  <c r="I1152" i="6" s="1" a="1"/>
  <c r="I1152" i="6"/>
  <c r="J1151" i="6"/>
  <c r="J1151" i="6" a="1"/>
  <c r="J1150" i="6" a="1"/>
  <c r="J1150" i="6" s="1"/>
  <c r="J1149" i="6" a="1"/>
  <c r="J1149" i="6" s="1"/>
  <c r="J1148" i="6"/>
  <c r="J1148" i="6" a="1"/>
  <c r="K1147" i="6"/>
  <c r="J1147" i="6"/>
  <c r="I1147" i="6" s="1" a="1"/>
  <c r="I1147" i="6" s="1"/>
  <c r="J1147" i="6" a="1"/>
  <c r="J1146" i="6" a="1"/>
  <c r="J1146" i="6" s="1"/>
  <c r="J1145" i="6" a="1"/>
  <c r="J1145" i="6" s="1"/>
  <c r="J1144" i="6"/>
  <c r="J1144" i="6" a="1"/>
  <c r="J1143" i="6"/>
  <c r="J1143" i="6" a="1"/>
  <c r="K1142" i="6"/>
  <c r="J1142" i="6"/>
  <c r="J1142" i="6" a="1"/>
  <c r="J1141" i="6" a="1"/>
  <c r="J1141" i="6" s="1"/>
  <c r="J1140" i="6" a="1"/>
  <c r="J1140" i="6" s="1"/>
  <c r="J1139" i="6"/>
  <c r="J1139" i="6" a="1"/>
  <c r="J1138" i="6"/>
  <c r="J1138" i="6" a="1"/>
  <c r="K1137" i="6"/>
  <c r="J1137" i="6"/>
  <c r="J1137" i="6" a="1"/>
  <c r="I1137" i="6"/>
  <c r="I1137" i="6" a="1"/>
  <c r="J1136" i="6" a="1"/>
  <c r="J1136" i="6" s="1"/>
  <c r="J1135" i="6"/>
  <c r="J1135" i="6" a="1"/>
  <c r="J1134" i="6" a="1"/>
  <c r="J1134" i="6" s="1"/>
  <c r="J1133" i="6"/>
  <c r="J1133" i="6" a="1"/>
  <c r="K1132" i="6"/>
  <c r="J1132" i="6"/>
  <c r="I1132" i="6" s="1" a="1"/>
  <c r="I1132" i="6" s="1"/>
  <c r="J1132" i="6" a="1"/>
  <c r="J1131" i="6" a="1"/>
  <c r="J1131" i="6" s="1"/>
  <c r="J1130" i="6"/>
  <c r="J1130" i="6" a="1"/>
  <c r="J1129" i="6"/>
  <c r="J1129" i="6" a="1"/>
  <c r="J1128" i="6" a="1"/>
  <c r="J1128" i="6" s="1"/>
  <c r="K1127" i="6"/>
  <c r="J1127" i="6" a="1"/>
  <c r="J1127" i="6" s="1"/>
  <c r="I1127" i="6" s="1" a="1"/>
  <c r="I1127" i="6" s="1"/>
  <c r="J1126" i="6"/>
  <c r="J1126" i="6" a="1"/>
  <c r="J1125" i="6" a="1"/>
  <c r="J1125" i="6" s="1"/>
  <c r="J1124" i="6"/>
  <c r="J1124" i="6" a="1"/>
  <c r="J1123" i="6" a="1"/>
  <c r="J1123" i="6" s="1"/>
  <c r="K1122" i="6"/>
  <c r="J1122" i="6" a="1"/>
  <c r="J1122" i="6" s="1"/>
  <c r="I1122" i="6" a="1"/>
  <c r="I1122" i="6" s="1"/>
  <c r="J1121" i="6"/>
  <c r="J1121" i="6" a="1"/>
  <c r="J1120" i="6"/>
  <c r="J1120" i="6" a="1"/>
  <c r="J1119" i="6" a="1"/>
  <c r="J1119" i="6" s="1"/>
  <c r="J1118" i="6" a="1"/>
  <c r="J1118" i="6" s="1"/>
  <c r="K1117" i="6"/>
  <c r="J1117" i="6" a="1"/>
  <c r="J1117" i="6" s="1"/>
  <c r="I1117" i="6" s="1" a="1"/>
  <c r="I1117" i="6" s="1"/>
  <c r="J1116" i="6"/>
  <c r="J1116" i="6" a="1"/>
  <c r="J1115" i="6"/>
  <c r="J1115" i="6" a="1"/>
  <c r="J1114" i="6" a="1"/>
  <c r="J1114" i="6" s="1"/>
  <c r="J1113" i="6"/>
  <c r="J1113" i="6" a="1"/>
  <c r="K1112" i="6"/>
  <c r="J1112" i="6" a="1"/>
  <c r="J1112" i="6" s="1"/>
  <c r="I1112" i="6" s="1" a="1"/>
  <c r="I1112" i="6"/>
  <c r="J1111" i="6"/>
  <c r="J1111" i="6" a="1"/>
  <c r="J1110" i="6" a="1"/>
  <c r="J1110" i="6" s="1"/>
  <c r="J1109" i="6" a="1"/>
  <c r="J1109" i="6" s="1"/>
  <c r="J1108" i="6"/>
  <c r="J1108" i="6" a="1"/>
  <c r="K1107" i="6"/>
  <c r="J1107" i="6"/>
  <c r="I1107" i="6" s="1" a="1"/>
  <c r="I1107" i="6" s="1"/>
  <c r="J1107" i="6" a="1"/>
  <c r="J1106" i="6"/>
  <c r="J1106" i="6" a="1"/>
  <c r="J1105" i="6" a="1"/>
  <c r="J1105" i="6" s="1"/>
  <c r="J1104" i="6"/>
  <c r="J1104" i="6" a="1"/>
  <c r="J1103" i="6"/>
  <c r="J1103" i="6" a="1"/>
  <c r="K1102" i="6"/>
  <c r="J1102" i="6"/>
  <c r="J1102" i="6" a="1"/>
  <c r="J1101" i="6" a="1"/>
  <c r="J1101" i="6" s="1"/>
  <c r="J1100" i="6" a="1"/>
  <c r="J1100" i="6" s="1"/>
  <c r="J1099" i="6"/>
  <c r="J1099" i="6" a="1"/>
  <c r="J1098" i="6"/>
  <c r="J1098" i="6" a="1"/>
  <c r="K1097" i="6"/>
  <c r="J1097" i="6"/>
  <c r="J1097" i="6" a="1"/>
  <c r="I1097" i="6" a="1"/>
  <c r="I1097" i="6" s="1"/>
  <c r="J1096" i="6" a="1"/>
  <c r="J1096" i="6" s="1"/>
  <c r="J1095" i="6"/>
  <c r="J1095" i="6" a="1"/>
  <c r="J1094" i="6"/>
  <c r="J1094" i="6" a="1"/>
  <c r="J1093" i="6" a="1"/>
  <c r="J1093" i="6" s="1"/>
  <c r="K1092" i="6"/>
  <c r="J1092" i="6"/>
  <c r="I1092" i="6" s="1" a="1"/>
  <c r="I1092" i="6" s="1"/>
  <c r="J1092" i="6" a="1"/>
  <c r="J1091" i="6" a="1"/>
  <c r="J1091" i="6" s="1"/>
  <c r="J1090" i="6"/>
  <c r="J1090" i="6" a="1"/>
  <c r="J1089" i="6"/>
  <c r="J1089" i="6" a="1"/>
  <c r="J1088" i="6" a="1"/>
  <c r="J1088" i="6" s="1"/>
  <c r="K1087" i="6"/>
  <c r="J1087" i="6"/>
  <c r="I1087" i="6" s="1" a="1"/>
  <c r="I1087" i="6" s="1"/>
  <c r="J1087" i="6" a="1"/>
  <c r="J1086" i="6"/>
  <c r="J1086" i="6" a="1"/>
  <c r="J1085" i="6"/>
  <c r="J1085" i="6" a="1"/>
  <c r="J1084" i="6"/>
  <c r="J1084" i="6" a="1"/>
  <c r="J1083" i="6" a="1"/>
  <c r="J1083" i="6" s="1"/>
  <c r="K1082" i="6"/>
  <c r="J1082" i="6" a="1"/>
  <c r="J1082" i="6" s="1"/>
  <c r="I1082" i="6" s="1" a="1"/>
  <c r="I1082" i="6" s="1"/>
  <c r="J1081" i="6"/>
  <c r="J1081" i="6" a="1"/>
  <c r="J1080" i="6"/>
  <c r="J1080" i="6" a="1"/>
  <c r="J1079" i="6" a="1"/>
  <c r="J1079" i="6" s="1"/>
  <c r="J1078" i="6" a="1"/>
  <c r="J1078" i="6" s="1"/>
  <c r="K1077" i="6"/>
  <c r="J1077" i="6" a="1"/>
  <c r="J1077" i="6" s="1"/>
  <c r="J1076" i="6"/>
  <c r="J1076" i="6" a="1"/>
  <c r="J1075" i="6"/>
  <c r="J1075" i="6" a="1"/>
  <c r="J1074" i="6" a="1"/>
  <c r="J1074" i="6" s="1"/>
  <c r="J1073" i="6"/>
  <c r="J1073" i="6" a="1"/>
  <c r="K1072" i="6"/>
  <c r="J1072" i="6" a="1"/>
  <c r="J1072" i="6" s="1"/>
  <c r="I1072" i="6" s="1" a="1"/>
  <c r="I1072" i="6"/>
  <c r="J1071" i="6"/>
  <c r="J1071" i="6" a="1"/>
  <c r="J1070" i="6" a="1"/>
  <c r="J1070" i="6" s="1"/>
  <c r="J1069" i="6" a="1"/>
  <c r="J1069" i="6" s="1"/>
  <c r="J1068" i="6"/>
  <c r="J1068" i="6" a="1"/>
  <c r="K1067" i="6"/>
  <c r="J1067" i="6"/>
  <c r="I1067" i="6" s="1" a="1"/>
  <c r="I1067" i="6" s="1"/>
  <c r="J1067" i="6" a="1"/>
  <c r="J1066" i="6" a="1"/>
  <c r="J1066" i="6" s="1"/>
  <c r="J1065" i="6" a="1"/>
  <c r="J1065" i="6" s="1"/>
  <c r="J1064" i="6"/>
  <c r="J1064" i="6" a="1"/>
  <c r="J1063" i="6"/>
  <c r="J1063" i="6" a="1"/>
  <c r="K1062" i="6"/>
  <c r="J1062" i="6"/>
  <c r="J1062" i="6" a="1"/>
  <c r="J1061" i="6" a="1"/>
  <c r="J1061" i="6" s="1"/>
  <c r="J1060" i="6" a="1"/>
  <c r="J1060" i="6" s="1"/>
  <c r="J1059" i="6"/>
  <c r="J1059" i="6" a="1"/>
  <c r="J1058" i="6"/>
  <c r="J1058" i="6" a="1"/>
  <c r="K1057" i="6"/>
  <c r="J1057" i="6"/>
  <c r="J1057" i="6" a="1"/>
  <c r="I1057" i="6"/>
  <c r="I1057" i="6" a="1"/>
  <c r="J1056" i="6" a="1"/>
  <c r="J1056" i="6" s="1"/>
  <c r="J1055" i="6"/>
  <c r="J1055" i="6" a="1"/>
  <c r="J1054" i="6"/>
  <c r="J1054" i="6" a="1"/>
  <c r="J1053" i="6"/>
  <c r="J1053" i="6" a="1"/>
  <c r="K1052" i="6"/>
  <c r="J1052" i="6"/>
  <c r="I1052" i="6" s="1" a="1"/>
  <c r="I1052" i="6" s="1"/>
  <c r="J1052" i="6" a="1"/>
  <c r="J1051" i="6" a="1"/>
  <c r="J1051" i="6" s="1"/>
  <c r="J1050" i="6"/>
  <c r="J1050" i="6" a="1"/>
  <c r="J1049" i="6"/>
  <c r="J1049" i="6" a="1"/>
  <c r="J1048" i="6" a="1"/>
  <c r="J1048" i="6" s="1"/>
  <c r="K1047" i="6"/>
  <c r="J1047" i="6" a="1"/>
  <c r="J1047" i="6" s="1"/>
  <c r="I1047" i="6" s="1" a="1"/>
  <c r="I1047" i="6" s="1"/>
  <c r="J1046" i="6"/>
  <c r="J1046" i="6" a="1"/>
  <c r="J1045" i="6"/>
  <c r="J1045" i="6" a="1"/>
  <c r="J1044" i="6" a="1"/>
  <c r="J1044" i="6" s="1"/>
  <c r="J1043" i="6" a="1"/>
  <c r="J1043" i="6" s="1"/>
  <c r="K1042" i="6"/>
  <c r="J1042" i="6" a="1"/>
  <c r="J1042" i="6" s="1"/>
  <c r="I1042" i="6" a="1"/>
  <c r="I1042" i="6" s="1"/>
  <c r="J1041" i="6"/>
  <c r="J1041" i="6" a="1"/>
  <c r="J1040" i="6"/>
  <c r="J1040" i="6" a="1"/>
  <c r="J1039" i="6" a="1"/>
  <c r="J1039" i="6" s="1"/>
  <c r="J1038" i="6" a="1"/>
  <c r="J1038" i="6" s="1"/>
  <c r="K1037" i="6"/>
  <c r="J1037" i="6" a="1"/>
  <c r="J1037" i="6" s="1"/>
  <c r="I1037" i="6" s="1" a="1"/>
  <c r="I1037" i="6" s="1"/>
  <c r="J1036" i="6"/>
  <c r="J1036" i="6" a="1"/>
  <c r="J1035" i="6" a="1"/>
  <c r="J1035" i="6" s="1"/>
  <c r="J1034" i="6" a="1"/>
  <c r="J1034" i="6" s="1"/>
  <c r="J1033" i="6"/>
  <c r="J1033" i="6" a="1"/>
  <c r="K1032" i="6"/>
  <c r="J1032" i="6" a="1"/>
  <c r="J1032" i="6" s="1"/>
  <c r="I1032" i="6" s="1" a="1"/>
  <c r="I1032" i="6" s="1"/>
  <c r="J1031" i="6"/>
  <c r="J1031" i="6" a="1"/>
  <c r="J1030" i="6" a="1"/>
  <c r="J1030" i="6" s="1"/>
  <c r="J1029" i="6" a="1"/>
  <c r="J1029" i="6" s="1"/>
  <c r="J1028" i="6"/>
  <c r="J1028" i="6" a="1"/>
  <c r="K1027" i="6"/>
  <c r="J1027" i="6"/>
  <c r="I1027" i="6" s="1" a="1"/>
  <c r="I1027" i="6" s="1"/>
  <c r="J1027" i="6" a="1"/>
  <c r="J1026" i="6" a="1"/>
  <c r="J1026" i="6" s="1"/>
  <c r="J1025" i="6" a="1"/>
  <c r="J1025" i="6" s="1"/>
  <c r="J1024" i="6"/>
  <c r="J1024" i="6" a="1"/>
  <c r="J1023" i="6"/>
  <c r="J1023" i="6" a="1"/>
  <c r="K1022" i="6"/>
  <c r="J1022" i="6"/>
  <c r="I1022" i="6" s="1" a="1"/>
  <c r="I1022" i="6" s="1"/>
  <c r="J1022" i="6" a="1"/>
  <c r="J1021" i="6" a="1"/>
  <c r="J1021" i="6" s="1"/>
  <c r="J1020" i="6" a="1"/>
  <c r="J1020" i="6" s="1"/>
  <c r="J1019" i="6"/>
  <c r="J1019" i="6" a="1"/>
  <c r="J1018" i="6"/>
  <c r="J1018" i="6" a="1"/>
  <c r="K1017" i="6"/>
  <c r="J1017" i="6"/>
  <c r="J1017" i="6" a="1"/>
  <c r="I1017" i="6" a="1"/>
  <c r="I1017" i="6" s="1"/>
  <c r="J1016" i="6" a="1"/>
  <c r="J1016" i="6" s="1"/>
  <c r="J1015" i="6"/>
  <c r="J1015" i="6" a="1"/>
  <c r="J1014" i="6"/>
  <c r="J1014" i="6" a="1"/>
  <c r="J1013" i="6"/>
  <c r="J1013" i="6" a="1"/>
  <c r="K1012" i="6"/>
  <c r="J1012" i="6"/>
  <c r="I1012" i="6" s="1" a="1"/>
  <c r="I1012" i="6" s="1"/>
  <c r="J1012" i="6" a="1"/>
  <c r="J1011" i="6" a="1"/>
  <c r="J1011" i="6" s="1"/>
  <c r="J1010" i="6"/>
  <c r="J1010" i="6" a="1"/>
  <c r="J1009" i="6"/>
  <c r="J1009" i="6" a="1"/>
  <c r="J1008" i="6" a="1"/>
  <c r="J1008" i="6" s="1"/>
  <c r="K1007" i="6"/>
  <c r="J1007" i="6"/>
  <c r="I1007" i="6" s="1" a="1"/>
  <c r="I1007" i="6" s="1"/>
  <c r="J1007" i="6" a="1"/>
  <c r="J1006" i="6"/>
  <c r="J1006" i="6" a="1"/>
  <c r="J1005" i="6"/>
  <c r="J1005" i="6" a="1"/>
  <c r="J1004" i="6"/>
  <c r="J1004" i="6" a="1"/>
  <c r="J1003" i="6" a="1"/>
  <c r="J1003" i="6" s="1"/>
  <c r="K1002" i="6"/>
  <c r="J1002" i="6" a="1"/>
  <c r="J1002" i="6" s="1"/>
  <c r="I1002" i="6" a="1"/>
  <c r="I1002" i="6" s="1"/>
  <c r="J1001" i="6"/>
  <c r="J1001" i="6" a="1"/>
  <c r="J1000" i="6"/>
  <c r="J1000" i="6" a="1"/>
  <c r="J999" i="6" a="1"/>
  <c r="J999" i="6" s="1"/>
  <c r="J998" i="6" a="1"/>
  <c r="J998" i="6" s="1"/>
  <c r="K997" i="6"/>
  <c r="J997" i="6" a="1"/>
  <c r="J997" i="6" s="1"/>
  <c r="I997" i="6" s="1" a="1"/>
  <c r="I997" i="6" s="1"/>
  <c r="J996" i="6"/>
  <c r="J996" i="6" a="1"/>
  <c r="J995" i="6"/>
  <c r="J995" i="6" a="1"/>
  <c r="J994" i="6" a="1"/>
  <c r="J994" i="6" s="1"/>
  <c r="J993" i="6"/>
  <c r="J993" i="6" a="1"/>
  <c r="K992" i="6"/>
  <c r="J992" i="6" a="1"/>
  <c r="J992" i="6" s="1"/>
  <c r="I992" i="6" s="1" a="1"/>
  <c r="I992" i="6" s="1"/>
  <c r="J991" i="6"/>
  <c r="J991" i="6" a="1"/>
  <c r="J990" i="6" a="1"/>
  <c r="J990" i="6" s="1"/>
  <c r="J989" i="6" a="1"/>
  <c r="J989" i="6" s="1"/>
  <c r="J988" i="6" a="1"/>
  <c r="J988" i="6" s="1"/>
  <c r="K987" i="6"/>
  <c r="J987" i="6"/>
  <c r="J987" i="6" a="1"/>
  <c r="J986" i="6" a="1"/>
  <c r="J986" i="6" s="1"/>
  <c r="J985" i="6" a="1"/>
  <c r="J985" i="6" s="1"/>
  <c r="J984" i="6"/>
  <c r="J984" i="6" a="1"/>
  <c r="J983" i="6"/>
  <c r="J983" i="6" a="1"/>
  <c r="K982" i="6"/>
  <c r="J982" i="6"/>
  <c r="I982" i="6" s="1" a="1"/>
  <c r="J982" i="6" a="1"/>
  <c r="I982" i="6"/>
  <c r="J981" i="6" a="1"/>
  <c r="J981" i="6" s="1"/>
  <c r="J980" i="6"/>
  <c r="J980" i="6" a="1"/>
  <c r="J979" i="6" a="1"/>
  <c r="J979" i="6" s="1"/>
  <c r="J978" i="6"/>
  <c r="J978" i="6" a="1"/>
  <c r="K977" i="6"/>
  <c r="J977" i="6"/>
  <c r="I977" i="6" s="1" a="1"/>
  <c r="I977" i="6" s="1"/>
  <c r="J977" i="6" a="1"/>
  <c r="J976" i="6" a="1"/>
  <c r="J976" i="6" s="1"/>
  <c r="J975" i="6"/>
  <c r="J975" i="6" a="1"/>
  <c r="J974" i="6"/>
  <c r="J974" i="6" a="1"/>
  <c r="J973" i="6" a="1"/>
  <c r="J973" i="6" s="1"/>
  <c r="K972" i="6"/>
  <c r="J972" i="6"/>
  <c r="J972" i="6" a="1"/>
  <c r="I972" i="6" a="1"/>
  <c r="I972" i="6" s="1"/>
  <c r="J971" i="6"/>
  <c r="J971" i="6" a="1"/>
  <c r="J970" i="6" a="1"/>
  <c r="J970" i="6" s="1"/>
  <c r="J969" i="6" a="1"/>
  <c r="J969" i="6" s="1"/>
  <c r="J968" i="6" a="1"/>
  <c r="J968" i="6" s="1"/>
  <c r="K967" i="6"/>
  <c r="J967" i="6"/>
  <c r="I967" i="6" s="1" a="1"/>
  <c r="I967" i="6" s="1"/>
  <c r="J967" i="6" a="1"/>
  <c r="J966" i="6"/>
  <c r="J966" i="6" a="1"/>
  <c r="J965" i="6"/>
  <c r="J965" i="6" a="1"/>
  <c r="J964" i="6"/>
  <c r="J964" i="6" a="1"/>
  <c r="J963" i="6"/>
  <c r="J963" i="6" a="1"/>
  <c r="K962" i="6"/>
  <c r="J962" i="6" a="1"/>
  <c r="J962" i="6" s="1"/>
  <c r="I962" i="6" s="1" a="1"/>
  <c r="I962" i="6" s="1"/>
  <c r="J961" i="6" a="1"/>
  <c r="J961" i="6" s="1"/>
  <c r="J960" i="6" a="1"/>
  <c r="J960" i="6" s="1"/>
  <c r="J959" i="6" a="1"/>
  <c r="J959" i="6" s="1"/>
  <c r="J958" i="6"/>
  <c r="J958" i="6" a="1"/>
  <c r="K957" i="6"/>
  <c r="J957" i="6"/>
  <c r="I957" i="6" s="1" a="1"/>
  <c r="I957" i="6" s="1"/>
  <c r="J957" i="6" a="1"/>
  <c r="J956" i="6"/>
  <c r="J956" i="6" a="1"/>
  <c r="J955" i="6"/>
  <c r="J955" i="6" a="1"/>
  <c r="J954" i="6" a="1"/>
  <c r="J954" i="6" s="1"/>
  <c r="J953" i="6"/>
  <c r="J953" i="6" a="1"/>
  <c r="K952" i="6"/>
  <c r="J952" i="6"/>
  <c r="I952" i="6" s="1" a="1"/>
  <c r="I952" i="6" s="1"/>
  <c r="J952" i="6" a="1"/>
  <c r="J951" i="6" a="1"/>
  <c r="J951" i="6" s="1"/>
  <c r="J950" i="6" a="1"/>
  <c r="J950" i="6" s="1"/>
  <c r="J949" i="6"/>
  <c r="J949" i="6" a="1"/>
  <c r="J948" i="6" a="1"/>
  <c r="J948" i="6" s="1"/>
  <c r="K947" i="6"/>
  <c r="J947" i="6"/>
  <c r="J947" i="6" a="1"/>
  <c r="I947" i="6"/>
  <c r="I947" i="6" a="1"/>
  <c r="J946" i="6"/>
  <c r="J946" i="6" a="1"/>
  <c r="J945" i="6" a="1"/>
  <c r="J945" i="6" s="1"/>
  <c r="J944" i="6"/>
  <c r="J944" i="6" a="1"/>
  <c r="J943" i="6"/>
  <c r="J943" i="6" a="1"/>
  <c r="K942" i="6"/>
  <c r="J942" i="6" a="1"/>
  <c r="J942" i="6" s="1"/>
  <c r="I942" i="6" s="1" a="1"/>
  <c r="I942" i="6" s="1"/>
  <c r="J941" i="6" a="1"/>
  <c r="J941" i="6" s="1"/>
  <c r="J940" i="6"/>
  <c r="J940" i="6" a="1"/>
  <c r="J939" i="6" a="1"/>
  <c r="J939" i="6" s="1"/>
  <c r="J938" i="6" a="1"/>
  <c r="J938" i="6" s="1"/>
  <c r="K937" i="6"/>
  <c r="J937" i="6"/>
  <c r="I937" i="6" s="1" a="1"/>
  <c r="I937" i="6" s="1"/>
  <c r="J937" i="6" a="1"/>
  <c r="J936" i="6"/>
  <c r="J936" i="6" a="1"/>
  <c r="J935" i="6"/>
  <c r="J935" i="6" a="1"/>
  <c r="J934" i="6"/>
  <c r="J934" i="6" a="1"/>
  <c r="J933" i="6"/>
  <c r="J933" i="6" a="1"/>
  <c r="K932" i="6"/>
  <c r="J932" i="6" a="1"/>
  <c r="J932" i="6" s="1"/>
  <c r="I932" i="6" a="1"/>
  <c r="I932" i="6" s="1"/>
  <c r="J931" i="6"/>
  <c r="J931" i="6" a="1"/>
  <c r="J930" i="6" a="1"/>
  <c r="J930" i="6" s="1"/>
  <c r="J929" i="6" a="1"/>
  <c r="J929" i="6" s="1"/>
  <c r="J928" i="6" a="1"/>
  <c r="J928" i="6" s="1"/>
  <c r="K927" i="6"/>
  <c r="J927" i="6"/>
  <c r="I927" i="6" s="1" a="1"/>
  <c r="I927" i="6" s="1"/>
  <c r="J927" i="6" a="1"/>
  <c r="J926" i="6"/>
  <c r="J926" i="6" a="1"/>
  <c r="J925" i="6"/>
  <c r="J925" i="6" a="1"/>
  <c r="J924" i="6"/>
  <c r="J924" i="6" a="1"/>
  <c r="J923" i="6"/>
  <c r="J923" i="6" a="1"/>
  <c r="K922" i="6"/>
  <c r="J922" i="6" a="1"/>
  <c r="J922" i="6" s="1"/>
  <c r="I922" i="6" s="1" a="1"/>
  <c r="I922" i="6" s="1"/>
  <c r="J921" i="6" a="1"/>
  <c r="J921" i="6" s="1"/>
  <c r="J920" i="6" a="1"/>
  <c r="J920" i="6" s="1"/>
  <c r="J919" i="6" a="1"/>
  <c r="J919" i="6" s="1"/>
  <c r="J918" i="6"/>
  <c r="J918" i="6" a="1"/>
  <c r="K917" i="6"/>
  <c r="J917" i="6"/>
  <c r="I917" i="6" s="1" a="1"/>
  <c r="I917" i="6" s="1"/>
  <c r="J917" i="6" a="1"/>
  <c r="J916" i="6"/>
  <c r="J916" i="6" a="1"/>
  <c r="J915" i="6"/>
  <c r="J915" i="6" a="1"/>
  <c r="J914" i="6"/>
  <c r="J914" i="6" a="1"/>
  <c r="J913" i="6"/>
  <c r="J913" i="6" a="1"/>
  <c r="K912" i="6"/>
  <c r="J912" i="6"/>
  <c r="J912" i="6" a="1"/>
  <c r="J911" i="6" a="1"/>
  <c r="J911" i="6" s="1"/>
  <c r="J910" i="6" a="1"/>
  <c r="J910" i="6" s="1"/>
  <c r="J909" i="6"/>
  <c r="J909" i="6" a="1"/>
  <c r="J908" i="6" a="1"/>
  <c r="J908" i="6" s="1"/>
  <c r="K907" i="6"/>
  <c r="J907" i="6"/>
  <c r="J907" i="6" a="1"/>
  <c r="I907" i="6"/>
  <c r="I907" i="6" a="1"/>
  <c r="J906" i="6"/>
  <c r="J906" i="6" a="1"/>
  <c r="J905" i="6"/>
  <c r="J905" i="6" a="1"/>
  <c r="J904" i="6"/>
  <c r="J904" i="6" a="1"/>
  <c r="J903" i="6"/>
  <c r="J903" i="6" a="1"/>
  <c r="K902" i="6"/>
  <c r="J902" i="6" a="1"/>
  <c r="J902" i="6" s="1"/>
  <c r="I902" i="6" s="1" a="1"/>
  <c r="I902" i="6" s="1"/>
  <c r="J901" i="6" a="1"/>
  <c r="J901" i="6" s="1"/>
  <c r="J900" i="6"/>
  <c r="J900" i="6" a="1"/>
  <c r="J899" i="6" a="1"/>
  <c r="J899" i="6" s="1"/>
  <c r="J898" i="6" a="1"/>
  <c r="J898" i="6" s="1"/>
  <c r="K897" i="6"/>
  <c r="J897" i="6"/>
  <c r="I897" i="6" s="1" a="1"/>
  <c r="I897" i="6" s="1"/>
  <c r="J897" i="6" a="1"/>
  <c r="J896" i="6"/>
  <c r="J896" i="6" a="1"/>
  <c r="J895" i="6"/>
  <c r="J895" i="6" a="1"/>
  <c r="J894" i="6"/>
  <c r="J894" i="6" a="1"/>
  <c r="J893" i="6"/>
  <c r="J893" i="6" a="1"/>
  <c r="K892" i="6"/>
  <c r="J892" i="6" a="1"/>
  <c r="J892" i="6" s="1"/>
  <c r="I892" i="6" s="1" a="1"/>
  <c r="I892" i="6" s="1"/>
  <c r="J891" i="6"/>
  <c r="J891" i="6" a="1"/>
  <c r="J890" i="6" a="1"/>
  <c r="J890" i="6" s="1"/>
  <c r="J889" i="6" a="1"/>
  <c r="J889" i="6" s="1"/>
  <c r="J888" i="6" a="1"/>
  <c r="J888" i="6" s="1"/>
  <c r="K887" i="6"/>
  <c r="J887" i="6"/>
  <c r="I887" i="6" s="1" a="1"/>
  <c r="I887" i="6" s="1"/>
  <c r="J887" i="6" a="1"/>
  <c r="J886" i="6"/>
  <c r="J886" i="6" a="1"/>
  <c r="J885" i="6"/>
  <c r="J885" i="6" a="1"/>
  <c r="J884" i="6"/>
  <c r="J884" i="6" a="1"/>
  <c r="J883" i="6"/>
  <c r="J883" i="6" a="1"/>
  <c r="K882" i="6"/>
  <c r="J882" i="6" a="1"/>
  <c r="J882" i="6" s="1"/>
  <c r="I882" i="6" s="1" a="1"/>
  <c r="I882" i="6" s="1"/>
  <c r="J881" i="6" a="1"/>
  <c r="J881" i="6" s="1"/>
  <c r="J880" i="6" a="1"/>
  <c r="J880" i="6" s="1"/>
  <c r="J879" i="6" a="1"/>
  <c r="J879" i="6" s="1"/>
  <c r="J878" i="6"/>
  <c r="J878" i="6" a="1"/>
  <c r="K877" i="6"/>
  <c r="J877" i="6"/>
  <c r="I877" i="6" s="1" a="1"/>
  <c r="I877" i="6" s="1"/>
  <c r="J877" i="6" a="1"/>
  <c r="J876" i="6"/>
  <c r="J876" i="6" a="1"/>
  <c r="J875" i="6"/>
  <c r="J875" i="6" a="1"/>
  <c r="J874" i="6"/>
  <c r="J874" i="6" a="1"/>
  <c r="J873" i="6"/>
  <c r="J873" i="6" a="1"/>
  <c r="K872" i="6"/>
  <c r="J872" i="6"/>
  <c r="J872" i="6" a="1"/>
  <c r="J871" i="6" a="1"/>
  <c r="J871" i="6" s="1"/>
  <c r="J870" i="6" a="1"/>
  <c r="J870" i="6" s="1"/>
  <c r="J869" i="6"/>
  <c r="J869" i="6" a="1"/>
  <c r="J868" i="6" a="1"/>
  <c r="J868" i="6" s="1"/>
  <c r="K867" i="6"/>
  <c r="J867" i="6"/>
  <c r="J867" i="6" a="1"/>
  <c r="I867" i="6"/>
  <c r="I867" i="6" a="1"/>
  <c r="J866" i="6"/>
  <c r="J866" i="6" a="1"/>
  <c r="J865" i="6"/>
  <c r="J865" i="6" a="1"/>
  <c r="J864" i="6"/>
  <c r="J864" i="6" a="1"/>
  <c r="J863" i="6"/>
  <c r="J863" i="6" a="1"/>
  <c r="K862" i="6"/>
  <c r="J862" i="6" a="1"/>
  <c r="J862" i="6" s="1"/>
  <c r="I862" i="6" s="1" a="1"/>
  <c r="I862" i="6" s="1"/>
  <c r="J861" i="6" a="1"/>
  <c r="J861" i="6" s="1"/>
  <c r="J860" i="6"/>
  <c r="J860" i="6" a="1"/>
  <c r="J859" i="6" a="1"/>
  <c r="J859" i="6" s="1"/>
  <c r="J858" i="6" a="1"/>
  <c r="J858" i="6" s="1"/>
  <c r="K857" i="6"/>
  <c r="J857" i="6"/>
  <c r="I857" i="6" s="1" a="1"/>
  <c r="I857" i="6" s="1"/>
  <c r="J857" i="6" a="1"/>
  <c r="J856" i="6"/>
  <c r="J856" i="6" a="1"/>
  <c r="J855" i="6"/>
  <c r="J855" i="6" a="1"/>
  <c r="J854" i="6"/>
  <c r="J854" i="6" a="1"/>
  <c r="J853" i="6"/>
  <c r="J853" i="6" a="1"/>
  <c r="K852" i="6"/>
  <c r="J852" i="6" a="1"/>
  <c r="J852" i="6" s="1"/>
  <c r="I852" i="6" s="1" a="1"/>
  <c r="I852" i="6" s="1"/>
  <c r="J851" i="6" a="1"/>
  <c r="J851" i="6" s="1"/>
  <c r="J850" i="6" a="1"/>
  <c r="J850" i="6" s="1"/>
  <c r="J849" i="6" a="1"/>
  <c r="J849" i="6" s="1"/>
  <c r="J848" i="6" a="1"/>
  <c r="J848" i="6" s="1"/>
  <c r="K847" i="6"/>
  <c r="J847" i="6"/>
  <c r="I847" i="6" s="1" a="1"/>
  <c r="I847" i="6" s="1"/>
  <c r="J847" i="6" a="1"/>
  <c r="J846" i="6"/>
  <c r="J846" i="6" a="1"/>
  <c r="J845" i="6"/>
  <c r="J845" i="6" a="1"/>
  <c r="J844" i="6" a="1"/>
  <c r="J844" i="6" s="1"/>
  <c r="J843" i="6"/>
  <c r="J843" i="6" a="1"/>
  <c r="K842" i="6"/>
  <c r="J842" i="6" a="1"/>
  <c r="J842" i="6" s="1"/>
  <c r="I842" i="6" a="1"/>
  <c r="I842" i="6" s="1"/>
  <c r="J841" i="6" a="1"/>
  <c r="J841" i="6" s="1"/>
  <c r="J840" i="6" a="1"/>
  <c r="J840" i="6" s="1"/>
  <c r="J839" i="6" a="1"/>
  <c r="J839" i="6" s="1"/>
  <c r="J838" i="6" a="1"/>
  <c r="J838" i="6" s="1"/>
  <c r="K837" i="6"/>
  <c r="J837" i="6"/>
  <c r="I837" i="6" s="1" a="1"/>
  <c r="I837" i="6" s="1"/>
  <c r="J837" i="6" a="1"/>
  <c r="J836" i="6"/>
  <c r="J836" i="6" a="1"/>
  <c r="J835" i="6" a="1"/>
  <c r="J835" i="6" s="1"/>
  <c r="J834" i="6"/>
  <c r="J834" i="6" a="1"/>
  <c r="J833" i="6"/>
  <c r="J833" i="6" a="1"/>
  <c r="K832" i="6"/>
  <c r="J832" i="6"/>
  <c r="I832" i="6" s="1" a="1"/>
  <c r="I832" i="6" s="1"/>
  <c r="J832" i="6" a="1"/>
  <c r="J831" i="6" a="1"/>
  <c r="J831" i="6" s="1"/>
  <c r="J830" i="6"/>
  <c r="J830" i="6" a="1"/>
  <c r="J829" i="6" a="1"/>
  <c r="J829" i="6" s="1"/>
  <c r="J828" i="6" a="1"/>
  <c r="J828" i="6" s="1"/>
  <c r="K827" i="6"/>
  <c r="J827" i="6" a="1"/>
  <c r="J827" i="6" s="1"/>
  <c r="I827" i="6" s="1" a="1"/>
  <c r="I827" i="6" s="1"/>
  <c r="J826" i="6"/>
  <c r="J826" i="6" a="1"/>
  <c r="J825" i="6"/>
  <c r="J825" i="6" a="1"/>
  <c r="J824" i="6" a="1"/>
  <c r="J824" i="6" s="1"/>
  <c r="J823" i="6" a="1"/>
  <c r="J823" i="6" s="1"/>
  <c r="K822" i="6"/>
  <c r="J822" i="6" a="1"/>
  <c r="J822" i="6" s="1"/>
  <c r="I822" i="6" s="1" a="1"/>
  <c r="I822" i="6" s="1"/>
  <c r="J821" i="6" a="1"/>
  <c r="J821" i="6" s="1"/>
  <c r="J820" i="6" a="1"/>
  <c r="J820" i="6" s="1"/>
  <c r="J819" i="6"/>
  <c r="J819" i="6" a="1"/>
  <c r="J818" i="6" a="1"/>
  <c r="J818" i="6" s="1"/>
  <c r="K817" i="6"/>
  <c r="J817" i="6" a="1"/>
  <c r="J817" i="6" s="1"/>
  <c r="I817" i="6" s="1" a="1"/>
  <c r="I817" i="6" s="1"/>
  <c r="J816" i="6"/>
  <c r="J816" i="6" a="1"/>
  <c r="J815" i="6" a="1"/>
  <c r="J815" i="6" s="1"/>
  <c r="J814" i="6" a="1"/>
  <c r="J814" i="6" s="1"/>
  <c r="J813" i="6" a="1"/>
  <c r="J813" i="6" s="1"/>
  <c r="K812" i="6"/>
  <c r="J812" i="6" a="1"/>
  <c r="J812" i="6" s="1"/>
  <c r="I812" i="6" s="1" a="1"/>
  <c r="I812" i="6" s="1"/>
  <c r="J811" i="6" a="1"/>
  <c r="J811" i="6" s="1"/>
  <c r="J810" i="6" a="1"/>
  <c r="J810" i="6" s="1"/>
  <c r="J809" i="6" a="1"/>
  <c r="J809" i="6" s="1"/>
  <c r="J808" i="6" a="1"/>
  <c r="J808" i="6" s="1"/>
  <c r="K807" i="6"/>
  <c r="J807" i="6" a="1"/>
  <c r="J807" i="6" s="1"/>
  <c r="I807" i="6" s="1" a="1"/>
  <c r="I807" i="6" s="1"/>
  <c r="J806" i="6" a="1"/>
  <c r="J806" i="6" s="1"/>
  <c r="J805" i="6" a="1"/>
  <c r="J805" i="6" s="1"/>
  <c r="J804" i="6" a="1"/>
  <c r="J804" i="6" s="1"/>
  <c r="J803" i="6"/>
  <c r="J803" i="6" a="1"/>
  <c r="K802" i="6"/>
  <c r="J802" i="6"/>
  <c r="I802" i="6" s="1" a="1"/>
  <c r="I802" i="6" s="1"/>
  <c r="J802" i="6" a="1"/>
  <c r="J801" i="6" a="1"/>
  <c r="J801" i="6" s="1"/>
  <c r="J800" i="6" a="1"/>
  <c r="J800" i="6" s="1"/>
  <c r="J799" i="6" a="1"/>
  <c r="J799" i="6" s="1"/>
  <c r="J798" i="6" a="1"/>
  <c r="J798" i="6" s="1"/>
  <c r="K797" i="6"/>
  <c r="J797" i="6"/>
  <c r="J797" i="6" a="1"/>
  <c r="I797" i="6" a="1"/>
  <c r="I797" i="6" s="1"/>
  <c r="J796" i="6"/>
  <c r="J796" i="6" a="1"/>
  <c r="J795" i="6"/>
  <c r="J795" i="6" a="1"/>
  <c r="J794" i="6"/>
  <c r="J794" i="6" a="1"/>
  <c r="J793" i="6" a="1"/>
  <c r="J793" i="6" s="1"/>
  <c r="K792" i="6"/>
  <c r="J792" i="6" a="1"/>
  <c r="J792" i="6" s="1"/>
  <c r="I792" i="6" s="1" a="1"/>
  <c r="I792" i="6" s="1"/>
  <c r="J791" i="6" a="1"/>
  <c r="J791" i="6" s="1"/>
  <c r="J790" i="6" a="1"/>
  <c r="J790" i="6" s="1"/>
  <c r="J789" i="6"/>
  <c r="J789" i="6" a="1"/>
  <c r="J788" i="6"/>
  <c r="J788" i="6" a="1"/>
  <c r="K787" i="6"/>
  <c r="J787" i="6"/>
  <c r="I787" i="6" s="1" a="1"/>
  <c r="I787" i="6" s="1"/>
  <c r="J787" i="6" a="1"/>
  <c r="J786" i="6" a="1"/>
  <c r="J786" i="6" s="1"/>
  <c r="J785" i="6"/>
  <c r="J785" i="6" a="1"/>
  <c r="J784" i="6"/>
  <c r="J784" i="6" a="1"/>
  <c r="J783" i="6" a="1"/>
  <c r="J783" i="6" s="1"/>
  <c r="K782" i="6"/>
  <c r="J782" i="6"/>
  <c r="J782" i="6" a="1"/>
  <c r="I782" i="6" a="1"/>
  <c r="I782" i="6" s="1"/>
  <c r="J781" i="6"/>
  <c r="J781" i="6" a="1"/>
  <c r="J780" i="6" a="1"/>
  <c r="J780" i="6" s="1"/>
  <c r="J779" i="6" a="1"/>
  <c r="J779" i="6" s="1"/>
  <c r="J778" i="6" a="1"/>
  <c r="J778" i="6" s="1"/>
  <c r="K777" i="6"/>
  <c r="J777" i="6"/>
  <c r="I777" i="6" s="1" a="1"/>
  <c r="I777" i="6" s="1"/>
  <c r="J777" i="6" a="1"/>
  <c r="J776" i="6"/>
  <c r="J776" i="6" a="1"/>
  <c r="J775" i="6" a="1"/>
  <c r="J775" i="6" s="1"/>
  <c r="J774" i="6"/>
  <c r="J774" i="6" a="1"/>
  <c r="J773" i="6" a="1"/>
  <c r="J773" i="6" s="1"/>
  <c r="K772" i="6"/>
  <c r="J772" i="6" a="1"/>
  <c r="J772" i="6" s="1"/>
  <c r="I772" i="6" a="1"/>
  <c r="I772" i="6" s="1"/>
  <c r="J771" i="6"/>
  <c r="J771" i="6" a="1"/>
  <c r="J770" i="6" a="1"/>
  <c r="J770" i="6" s="1"/>
  <c r="J769" i="6" a="1"/>
  <c r="J769" i="6" s="1"/>
  <c r="J768" i="6"/>
  <c r="J768" i="6" a="1"/>
  <c r="K767" i="6"/>
  <c r="J767" i="6"/>
  <c r="I767" i="6" s="1" a="1"/>
  <c r="I767" i="6" s="1"/>
  <c r="J767" i="6" a="1"/>
  <c r="J766" i="6"/>
  <c r="J766" i="6" a="1"/>
  <c r="J765" i="6" a="1"/>
  <c r="J765" i="6" s="1"/>
  <c r="J764" i="6" a="1"/>
  <c r="J764" i="6" s="1"/>
  <c r="J763" i="6"/>
  <c r="J763" i="6" a="1"/>
  <c r="K762" i="6"/>
  <c r="J762" i="6" a="1"/>
  <c r="J762" i="6" s="1"/>
  <c r="I762" i="6" s="1" a="1"/>
  <c r="I762" i="6" s="1"/>
  <c r="J761" i="6"/>
  <c r="J761" i="6" a="1"/>
  <c r="J760" i="6" a="1"/>
  <c r="J760" i="6" s="1"/>
  <c r="J759" i="6"/>
  <c r="J759" i="6" a="1"/>
  <c r="J758" i="6" a="1"/>
  <c r="J758" i="6" s="1"/>
  <c r="K757" i="6"/>
  <c r="J757" i="6"/>
  <c r="I757" i="6" s="1" a="1"/>
  <c r="I757" i="6" s="1"/>
  <c r="J757" i="6" a="1"/>
  <c r="J756" i="6" a="1"/>
  <c r="J756" i="6" s="1"/>
  <c r="J755" i="6" a="1"/>
  <c r="J755" i="6" s="1"/>
  <c r="J754" i="6"/>
  <c r="J754" i="6" a="1"/>
  <c r="J753" i="6" a="1"/>
  <c r="J753" i="6" s="1"/>
  <c r="K752" i="6"/>
  <c r="J752" i="6" a="1"/>
  <c r="J752" i="6" s="1"/>
  <c r="I752" i="6" a="1"/>
  <c r="I752" i="6" s="1"/>
  <c r="J751" i="6" a="1"/>
  <c r="J751" i="6" s="1"/>
  <c r="J750" i="6" a="1"/>
  <c r="J750" i="6" s="1"/>
  <c r="J749" i="6" a="1"/>
  <c r="J749" i="6" s="1"/>
  <c r="J748" i="6" a="1"/>
  <c r="J748" i="6" s="1"/>
  <c r="K747" i="6"/>
  <c r="J747" i="6" a="1"/>
  <c r="J747" i="6" s="1"/>
  <c r="I747" i="6" s="1" a="1"/>
  <c r="I747" i="6" s="1"/>
  <c r="J746" i="6" a="1"/>
  <c r="J746" i="6" s="1"/>
  <c r="J745" i="6"/>
  <c r="J745" i="6" a="1"/>
  <c r="J744" i="6" a="1"/>
  <c r="J744" i="6" s="1"/>
  <c r="J743" i="6"/>
  <c r="J743" i="6" a="1"/>
  <c r="K742" i="6"/>
  <c r="J742" i="6" a="1"/>
  <c r="J742" i="6" s="1"/>
  <c r="I742" i="6" a="1"/>
  <c r="I742" i="6" s="1"/>
  <c r="J741" i="6" a="1"/>
  <c r="J741" i="6" s="1"/>
  <c r="J740" i="6"/>
  <c r="J740" i="6" a="1"/>
  <c r="J739" i="6" a="1"/>
  <c r="J739" i="6" s="1"/>
  <c r="J738" i="6" a="1"/>
  <c r="J738" i="6" s="1"/>
  <c r="K737" i="6"/>
  <c r="J737" i="6" a="1"/>
  <c r="J737" i="6" s="1"/>
  <c r="I737" i="6" s="1" a="1"/>
  <c r="I737" i="6" s="1"/>
  <c r="J736" i="6"/>
  <c r="J736" i="6" a="1"/>
  <c r="J735" i="6" a="1"/>
  <c r="J735" i="6" s="1"/>
  <c r="J734" i="6" a="1"/>
  <c r="J734" i="6" s="1"/>
  <c r="J733" i="6"/>
  <c r="J733" i="6" a="1"/>
  <c r="K732" i="6"/>
  <c r="J732" i="6" a="1"/>
  <c r="J732" i="6" s="1"/>
  <c r="I732" i="6" a="1"/>
  <c r="I732" i="6" s="1"/>
  <c r="J731" i="6" a="1"/>
  <c r="J731" i="6" s="1"/>
  <c r="J730" i="6"/>
  <c r="J730" i="6" a="1"/>
  <c r="J729" i="6" a="1"/>
  <c r="J729" i="6" s="1"/>
  <c r="J728" i="6" a="1"/>
  <c r="J728" i="6" s="1"/>
  <c r="K727" i="6"/>
  <c r="J727" i="6" a="1"/>
  <c r="J727" i="6" s="1"/>
  <c r="I727" i="6" s="1" a="1"/>
  <c r="I727" i="6" s="1"/>
  <c r="J726" i="6"/>
  <c r="J726" i="6" a="1"/>
  <c r="J725" i="6" a="1"/>
  <c r="J725" i="6" s="1"/>
  <c r="J724" i="6"/>
  <c r="J724" i="6" a="1"/>
  <c r="J723" i="6"/>
  <c r="J723" i="6" a="1"/>
  <c r="K722" i="6"/>
  <c r="J722" i="6" a="1"/>
  <c r="J722" i="6" s="1"/>
  <c r="I722" i="6" a="1"/>
  <c r="I722" i="6" s="1"/>
  <c r="J721" i="6" a="1"/>
  <c r="J721" i="6" s="1"/>
  <c r="J720" i="6" a="1"/>
  <c r="J720" i="6" s="1"/>
  <c r="J719" i="6" a="1"/>
  <c r="J719" i="6" s="1"/>
  <c r="J718" i="6" a="1"/>
  <c r="J718" i="6" s="1"/>
  <c r="K717" i="6"/>
  <c r="I717" i="6" s="1" a="1"/>
  <c r="I717" i="6" s="1"/>
  <c r="J717" i="6"/>
  <c r="J717" i="6" a="1"/>
  <c r="J716" i="6" a="1"/>
  <c r="J716" i="6" s="1"/>
  <c r="J715" i="6" a="1"/>
  <c r="J715" i="6" s="1"/>
  <c r="J714" i="6"/>
  <c r="J714" i="6" a="1"/>
  <c r="J713" i="6"/>
  <c r="J713" i="6" a="1"/>
  <c r="K712" i="6"/>
  <c r="J712" i="6" a="1"/>
  <c r="J712" i="6" s="1"/>
  <c r="I712" i="6" s="1" a="1"/>
  <c r="I712" i="6"/>
  <c r="J711" i="6" a="1"/>
  <c r="J711" i="6" s="1"/>
  <c r="J710" i="6"/>
  <c r="J710" i="6" a="1"/>
  <c r="J709" i="6" a="1"/>
  <c r="J709" i="6" s="1"/>
  <c r="J708" i="6" a="1"/>
  <c r="J708" i="6" s="1"/>
  <c r="K707" i="6"/>
  <c r="J707" i="6" a="1"/>
  <c r="J707" i="6" s="1"/>
  <c r="I707" i="6" s="1" a="1"/>
  <c r="I707" i="6" s="1"/>
  <c r="J706" i="6" a="1"/>
  <c r="J706" i="6" s="1"/>
  <c r="J705" i="6"/>
  <c r="J705" i="6" a="1"/>
  <c r="J704" i="6" a="1"/>
  <c r="J704" i="6" s="1"/>
  <c r="J703" i="6"/>
  <c r="J703" i="6" a="1"/>
  <c r="K702" i="6"/>
  <c r="J702" i="6" a="1"/>
  <c r="J702" i="6" s="1"/>
  <c r="I702" i="6" s="1" a="1"/>
  <c r="I702" i="6" s="1"/>
  <c r="J701" i="6" a="1"/>
  <c r="J701" i="6" s="1"/>
  <c r="J700" i="6" a="1"/>
  <c r="J700" i="6" s="1"/>
  <c r="J699" i="6" a="1"/>
  <c r="J699" i="6" s="1"/>
  <c r="J698" i="6" a="1"/>
  <c r="J698" i="6" s="1"/>
  <c r="K697" i="6"/>
  <c r="J697" i="6" a="1"/>
  <c r="J697" i="6" s="1"/>
  <c r="I697" i="6" s="1" a="1"/>
  <c r="I697" i="6" s="1"/>
  <c r="J696" i="6"/>
  <c r="J696" i="6" a="1"/>
  <c r="J695" i="6"/>
  <c r="J695" i="6" a="1"/>
  <c r="J694" i="6" a="1"/>
  <c r="J694" i="6" s="1"/>
  <c r="J693" i="6" a="1"/>
  <c r="J693" i="6" s="1"/>
  <c r="K692" i="6"/>
  <c r="J692" i="6" a="1"/>
  <c r="J692" i="6" s="1"/>
  <c r="I692" i="6" s="1" a="1"/>
  <c r="I692" i="6" s="1"/>
  <c r="J691" i="6" a="1"/>
  <c r="J691" i="6" s="1"/>
  <c r="J690" i="6" a="1"/>
  <c r="J690" i="6" s="1"/>
  <c r="J689" i="6" a="1"/>
  <c r="J689" i="6" s="1"/>
  <c r="J688" i="6" a="1"/>
  <c r="J688" i="6" s="1"/>
  <c r="K687" i="6"/>
  <c r="J687" i="6" a="1"/>
  <c r="J687" i="6" s="1"/>
  <c r="I687" i="6" s="1" a="1"/>
  <c r="I687" i="6" s="1"/>
  <c r="J686" i="6" a="1"/>
  <c r="J686" i="6" s="1"/>
  <c r="J685" i="6" a="1"/>
  <c r="J685" i="6" s="1"/>
  <c r="J684" i="6" a="1"/>
  <c r="J684" i="6" s="1"/>
  <c r="J683" i="6"/>
  <c r="J683" i="6" a="1"/>
  <c r="K682" i="6"/>
  <c r="J682" i="6" a="1"/>
  <c r="J682" i="6" s="1"/>
  <c r="I682" i="6" s="1" a="1"/>
  <c r="I682" i="6"/>
  <c r="J681" i="6" a="1"/>
  <c r="J681" i="6" s="1"/>
  <c r="J680" i="6" a="1"/>
  <c r="J680" i="6" s="1"/>
  <c r="J679" i="6" a="1"/>
  <c r="J679" i="6" s="1"/>
  <c r="J678" i="6" a="1"/>
  <c r="J678" i="6" s="1"/>
  <c r="K677" i="6"/>
  <c r="J677" i="6"/>
  <c r="I677" i="6" s="1" a="1"/>
  <c r="I677" i="6" s="1"/>
  <c r="J677" i="6" a="1"/>
  <c r="J676" i="6" a="1"/>
  <c r="J676" i="6" s="1"/>
  <c r="J675" i="6"/>
  <c r="J675" i="6" a="1"/>
  <c r="J674" i="6"/>
  <c r="J674" i="6" a="1"/>
  <c r="J673" i="6" a="1"/>
  <c r="J673" i="6" s="1"/>
  <c r="K672" i="6"/>
  <c r="J672" i="6" a="1"/>
  <c r="J672" i="6" s="1"/>
  <c r="I672" i="6" s="1" a="1"/>
  <c r="I672" i="6" s="1"/>
  <c r="J671" i="6" a="1"/>
  <c r="J671" i="6" s="1"/>
  <c r="J670" i="6" a="1"/>
  <c r="J670" i="6" s="1"/>
  <c r="J669" i="6" a="1"/>
  <c r="J669" i="6" s="1"/>
  <c r="J668" i="6"/>
  <c r="J668" i="6" a="1"/>
  <c r="K667" i="6"/>
  <c r="J667" i="6"/>
  <c r="I667" i="6" s="1" a="1"/>
  <c r="I667" i="6" s="1"/>
  <c r="J667" i="6" a="1"/>
  <c r="J666" i="6" a="1"/>
  <c r="J666" i="6" s="1"/>
  <c r="J665" i="6"/>
  <c r="J665" i="6" a="1"/>
  <c r="J664" i="6"/>
  <c r="J664" i="6" a="1"/>
  <c r="J663" i="6" a="1"/>
  <c r="J663" i="6" s="1"/>
  <c r="K662" i="6"/>
  <c r="J662" i="6"/>
  <c r="I662" i="6" s="1" a="1"/>
  <c r="I662" i="6" s="1"/>
  <c r="J662" i="6" a="1"/>
  <c r="J661" i="6"/>
  <c r="J661" i="6" a="1"/>
  <c r="J660" i="6" a="1"/>
  <c r="J660" i="6" s="1"/>
  <c r="J659" i="6" a="1"/>
  <c r="J659" i="6" s="1"/>
  <c r="J658" i="6" a="1"/>
  <c r="J658" i="6" s="1"/>
  <c r="K657" i="6"/>
  <c r="J657" i="6"/>
  <c r="I657" i="6" s="1" a="1"/>
  <c r="I657" i="6" s="1"/>
  <c r="J657" i="6" a="1"/>
  <c r="J656" i="6"/>
  <c r="J656" i="6" a="1"/>
  <c r="J655" i="6" a="1"/>
  <c r="J655" i="6" s="1"/>
  <c r="J654" i="6"/>
  <c r="J654" i="6" a="1"/>
  <c r="J653" i="6" a="1"/>
  <c r="J653" i="6" s="1"/>
  <c r="K652" i="6"/>
  <c r="J652" i="6" a="1"/>
  <c r="J652" i="6" s="1"/>
  <c r="I652" i="6" s="1" a="1"/>
  <c r="I652" i="6" s="1"/>
  <c r="J651" i="6"/>
  <c r="J651" i="6" a="1"/>
  <c r="J650" i="6" a="1"/>
  <c r="J650" i="6" s="1"/>
  <c r="J649" i="6" a="1"/>
  <c r="J649" i="6" s="1"/>
  <c r="J648" i="6"/>
  <c r="J648" i="6" a="1"/>
  <c r="K647" i="6"/>
  <c r="J647" i="6"/>
  <c r="I647" i="6" s="1" a="1"/>
  <c r="I647" i="6" s="1"/>
  <c r="J647" i="6" a="1"/>
  <c r="J646" i="6" a="1"/>
  <c r="J646" i="6" s="1"/>
  <c r="J645" i="6"/>
  <c r="J645" i="6" a="1"/>
  <c r="J644" i="6" a="1"/>
  <c r="J644" i="6" s="1"/>
  <c r="J643" i="6"/>
  <c r="J643" i="6" a="1"/>
  <c r="K642" i="6"/>
  <c r="J642" i="6" a="1"/>
  <c r="J642" i="6" s="1"/>
  <c r="I642" i="6" s="1" a="1"/>
  <c r="I642" i="6" s="1"/>
  <c r="J641" i="6"/>
  <c r="J641" i="6" a="1"/>
  <c r="J640" i="6" a="1"/>
  <c r="J640" i="6" s="1"/>
  <c r="J639" i="6" a="1"/>
  <c r="J639" i="6" s="1"/>
  <c r="J638" i="6"/>
  <c r="J638" i="6" a="1"/>
  <c r="K637" i="6"/>
  <c r="J637" i="6"/>
  <c r="I637" i="6" s="1" a="1"/>
  <c r="I637" i="6" s="1"/>
  <c r="J637" i="6" a="1"/>
  <c r="J636" i="6" a="1"/>
  <c r="J636" i="6" s="1"/>
  <c r="J635" i="6" a="1"/>
  <c r="J635" i="6" s="1"/>
  <c r="J634" i="6"/>
  <c r="J634" i="6" a="1"/>
  <c r="J633" i="6" a="1"/>
  <c r="J633" i="6" s="1"/>
  <c r="K632" i="6"/>
  <c r="J632" i="6"/>
  <c r="I632" i="6" s="1" a="1"/>
  <c r="I632" i="6" s="1"/>
  <c r="J632" i="6" a="1"/>
  <c r="J631" i="6" a="1"/>
  <c r="J631" i="6" s="1"/>
  <c r="J630" i="6" a="1"/>
  <c r="J630" i="6" s="1"/>
  <c r="J629" i="6" a="1"/>
  <c r="J629" i="6" s="1"/>
  <c r="J628" i="6" a="1"/>
  <c r="J628" i="6" s="1"/>
  <c r="K627" i="6"/>
  <c r="J627" i="6"/>
  <c r="J627" i="6" a="1"/>
  <c r="I627" i="6" a="1"/>
  <c r="I627" i="6" s="1"/>
  <c r="J626" i="6"/>
  <c r="J626" i="6" a="1"/>
  <c r="J625" i="6"/>
  <c r="J625" i="6" a="1"/>
  <c r="J624" i="6"/>
  <c r="J624" i="6" a="1"/>
  <c r="J623" i="6" a="1"/>
  <c r="J623" i="6" s="1"/>
  <c r="K622" i="6"/>
  <c r="J622" i="6" a="1"/>
  <c r="J622" i="6" s="1"/>
  <c r="I622" i="6" s="1" a="1"/>
  <c r="I622" i="6" s="1"/>
  <c r="J621" i="6"/>
  <c r="J621" i="6" a="1"/>
  <c r="J620" i="6" a="1"/>
  <c r="J620" i="6" s="1"/>
  <c r="J619" i="6"/>
  <c r="J619" i="6" a="1"/>
  <c r="J618" i="6" a="1"/>
  <c r="J618" i="6" s="1"/>
  <c r="K617" i="6"/>
  <c r="J617" i="6" a="1"/>
  <c r="J617" i="6" s="1"/>
  <c r="I617" i="6" s="1" a="1"/>
  <c r="I617" i="6" s="1"/>
  <c r="J616" i="6"/>
  <c r="J616" i="6" a="1"/>
  <c r="J615" i="6" a="1"/>
  <c r="J615" i="6" s="1"/>
  <c r="J614" i="6" a="1"/>
  <c r="J614" i="6" s="1"/>
  <c r="J613" i="6" a="1"/>
  <c r="J613" i="6" s="1"/>
  <c r="K612" i="6"/>
  <c r="I612" i="6" s="1" a="1"/>
  <c r="I612" i="6" s="1"/>
  <c r="J612" i="6" a="1"/>
  <c r="J612" i="6" s="1"/>
  <c r="J611" i="6" a="1"/>
  <c r="J611" i="6" s="1"/>
  <c r="J610" i="6" a="1"/>
  <c r="J610" i="6" s="1"/>
  <c r="J609" i="6" a="1"/>
  <c r="J609" i="6" s="1"/>
  <c r="J608" i="6" a="1"/>
  <c r="J608" i="6" s="1"/>
  <c r="K607" i="6"/>
  <c r="J607" i="6" a="1"/>
  <c r="J607" i="6" s="1"/>
  <c r="I607" i="6" s="1" a="1"/>
  <c r="I607" i="6" s="1"/>
  <c r="J606" i="6" a="1"/>
  <c r="J606" i="6" s="1"/>
  <c r="J605" i="6" a="1"/>
  <c r="J605" i="6" s="1"/>
  <c r="J604" i="6"/>
  <c r="J604" i="6" a="1"/>
  <c r="J603" i="6"/>
  <c r="J603" i="6" a="1"/>
  <c r="K602" i="6"/>
  <c r="J602" i="6"/>
  <c r="I602" i="6" s="1" a="1"/>
  <c r="I602" i="6" s="1"/>
  <c r="J602" i="6" a="1"/>
  <c r="J601" i="6" a="1"/>
  <c r="J601" i="6" s="1"/>
  <c r="J600" i="6" a="1"/>
  <c r="J600" i="6" s="1"/>
  <c r="J599" i="6" a="1"/>
  <c r="J599" i="6" s="1"/>
  <c r="J598" i="6" a="1"/>
  <c r="J598" i="6" s="1"/>
  <c r="K597" i="6"/>
  <c r="I597" i="6" s="1" a="1"/>
  <c r="I597" i="6" s="1"/>
  <c r="J597" i="6"/>
  <c r="J597" i="6" a="1"/>
  <c r="J596" i="6"/>
  <c r="J596" i="6" a="1"/>
  <c r="J595" i="6" a="1"/>
  <c r="J595" i="6" s="1"/>
  <c r="J594" i="6"/>
  <c r="J594" i="6" a="1"/>
  <c r="J593" i="6" a="1"/>
  <c r="J593" i="6" s="1"/>
  <c r="K592" i="6"/>
  <c r="J592" i="6" a="1"/>
  <c r="J592" i="6" s="1"/>
  <c r="I592" i="6" s="1" a="1"/>
  <c r="I592" i="6" s="1"/>
  <c r="J591" i="6" a="1"/>
  <c r="J591" i="6" s="1"/>
  <c r="J590" i="6" a="1"/>
  <c r="J590" i="6" s="1"/>
  <c r="J589" i="6"/>
  <c r="J589" i="6" a="1"/>
  <c r="J588" i="6" a="1"/>
  <c r="J588" i="6" s="1"/>
  <c r="K587" i="6"/>
  <c r="J587" i="6"/>
  <c r="J587" i="6" a="1"/>
  <c r="I587" i="6" a="1"/>
  <c r="I587" i="6" s="1"/>
  <c r="J586" i="6" a="1"/>
  <c r="J586" i="6" s="1"/>
  <c r="J585" i="6"/>
  <c r="J585" i="6" a="1"/>
  <c r="J584" i="6"/>
  <c r="J584" i="6" a="1"/>
  <c r="J583" i="6" a="1"/>
  <c r="J583" i="6" s="1"/>
  <c r="K582" i="6"/>
  <c r="J582" i="6" a="1"/>
  <c r="J582" i="6" s="1"/>
  <c r="I582" i="6" s="1" a="1"/>
  <c r="I582" i="6" s="1"/>
  <c r="J581" i="6" a="1"/>
  <c r="J581" i="6" s="1"/>
  <c r="J580" i="6" a="1"/>
  <c r="J580" i="6" s="1"/>
  <c r="J579" i="6" a="1"/>
  <c r="J579" i="6" s="1"/>
  <c r="J578" i="6" a="1"/>
  <c r="J578" i="6" s="1"/>
  <c r="K577" i="6"/>
  <c r="J577" i="6" a="1"/>
  <c r="J577" i="6" s="1"/>
  <c r="I577" i="6" a="1"/>
  <c r="I577" i="6" s="1"/>
  <c r="J576" i="6"/>
  <c r="J576" i="6" a="1"/>
  <c r="J575" i="6"/>
  <c r="J575" i="6" a="1"/>
  <c r="J574" i="6" a="1"/>
  <c r="J574" i="6" s="1"/>
  <c r="J573" i="6" a="1"/>
  <c r="J573" i="6" s="1"/>
  <c r="K572" i="6"/>
  <c r="J572" i="6" a="1"/>
  <c r="J572" i="6" s="1"/>
  <c r="I572" i="6" s="1" a="1"/>
  <c r="I572" i="6" s="1"/>
  <c r="J571" i="6" a="1"/>
  <c r="J571" i="6" s="1"/>
  <c r="J570" i="6" a="1"/>
  <c r="J570" i="6" s="1"/>
  <c r="J569" i="6" a="1"/>
  <c r="J569" i="6" s="1"/>
  <c r="J568" i="6" a="1"/>
  <c r="J568" i="6" s="1"/>
  <c r="K567" i="6"/>
  <c r="J567" i="6" a="1"/>
  <c r="J567" i="6" s="1"/>
  <c r="I567" i="6" s="1" a="1"/>
  <c r="I567" i="6" s="1"/>
  <c r="J566" i="6"/>
  <c r="J566" i="6" a="1"/>
  <c r="J565" i="6" a="1"/>
  <c r="J565" i="6" s="1"/>
  <c r="J564" i="6" a="1"/>
  <c r="J564" i="6" s="1"/>
  <c r="J563" i="6"/>
  <c r="J563" i="6" a="1"/>
  <c r="K562" i="6"/>
  <c r="J562" i="6" a="1"/>
  <c r="J562" i="6" s="1"/>
  <c r="J561" i="6" a="1"/>
  <c r="J561" i="6" s="1"/>
  <c r="J560" i="6" a="1"/>
  <c r="J560" i="6" s="1"/>
  <c r="J559" i="6"/>
  <c r="J559" i="6" a="1"/>
  <c r="J558" i="6" a="1"/>
  <c r="J558" i="6" s="1"/>
  <c r="K557" i="6"/>
  <c r="J557" i="6"/>
  <c r="J557" i="6" a="1"/>
  <c r="I557" i="6" a="1"/>
  <c r="I557" i="6" s="1"/>
  <c r="J556" i="6" a="1"/>
  <c r="J556" i="6" s="1"/>
  <c r="J555" i="6"/>
  <c r="J555" i="6" a="1"/>
  <c r="J554" i="6"/>
  <c r="J554" i="6" a="1"/>
  <c r="J553" i="6" a="1"/>
  <c r="J553" i="6" s="1"/>
  <c r="K552" i="6"/>
  <c r="J552" i="6" a="1"/>
  <c r="J552" i="6" s="1"/>
  <c r="I552" i="6" s="1" a="1"/>
  <c r="I552" i="6" s="1"/>
  <c r="J551" i="6" a="1"/>
  <c r="J551" i="6" s="1"/>
  <c r="J550" i="6" a="1"/>
  <c r="J550" i="6" s="1"/>
  <c r="J549" i="6" a="1"/>
  <c r="J549" i="6" s="1"/>
  <c r="J548" i="6"/>
  <c r="J548" i="6" a="1"/>
  <c r="K547" i="6"/>
  <c r="J547" i="6" a="1"/>
  <c r="J547" i="6" s="1"/>
  <c r="I547" i="6" s="1" a="1"/>
  <c r="I547" i="6"/>
  <c r="J546" i="6" a="1"/>
  <c r="J546" i="6" s="1"/>
  <c r="J545" i="6"/>
  <c r="J545" i="6" a="1"/>
  <c r="J544" i="6" a="1"/>
  <c r="J544" i="6" s="1"/>
  <c r="J543" i="6"/>
  <c r="J543" i="6" a="1"/>
  <c r="K542" i="6"/>
  <c r="J542" i="6"/>
  <c r="I542" i="6" s="1" a="1"/>
  <c r="I542" i="6" s="1"/>
  <c r="J542" i="6" a="1"/>
  <c r="J541" i="6" a="1"/>
  <c r="J541" i="6" s="1"/>
  <c r="J540" i="6"/>
  <c r="J540" i="6" a="1"/>
  <c r="J539" i="6" a="1"/>
  <c r="J539" i="6" s="1"/>
  <c r="J538" i="6" a="1"/>
  <c r="J538" i="6" s="1"/>
  <c r="K537" i="6"/>
  <c r="J537" i="6" a="1"/>
  <c r="J537" i="6" s="1"/>
  <c r="I537" i="6" s="1" a="1"/>
  <c r="I537" i="6" s="1"/>
  <c r="J536" i="6"/>
  <c r="J536" i="6" a="1"/>
  <c r="J535" i="6"/>
  <c r="J535" i="6" a="1"/>
  <c r="J534" i="6" a="1"/>
  <c r="J534" i="6" s="1"/>
  <c r="J533" i="6"/>
  <c r="J533" i="6" a="1"/>
  <c r="K532" i="6"/>
  <c r="J532" i="6" a="1"/>
  <c r="J532" i="6" s="1"/>
  <c r="I532" i="6" s="1" a="1"/>
  <c r="I532" i="6" s="1"/>
  <c r="J531" i="6" a="1"/>
  <c r="J531" i="6" s="1"/>
  <c r="J530" i="6"/>
  <c r="J530" i="6" a="1"/>
  <c r="J529" i="6" a="1"/>
  <c r="J529" i="6" s="1"/>
  <c r="J528" i="6"/>
  <c r="J528" i="6" a="1"/>
  <c r="K527" i="6"/>
  <c r="J527" i="6" a="1"/>
  <c r="J527" i="6" s="1"/>
  <c r="I527" i="6" s="1" a="1"/>
  <c r="I527" i="6" s="1"/>
  <c r="J526" i="6" a="1"/>
  <c r="J526" i="6" s="1"/>
  <c r="J525" i="6"/>
  <c r="J525" i="6" a="1"/>
  <c r="J524" i="6" a="1"/>
  <c r="J524" i="6" s="1"/>
  <c r="J523" i="6"/>
  <c r="J523" i="6" a="1"/>
  <c r="K522" i="6"/>
  <c r="J522" i="6"/>
  <c r="I522" i="6" s="1" a="1"/>
  <c r="I522" i="6" s="1"/>
  <c r="J522" i="6" a="1"/>
  <c r="J521" i="6" a="1"/>
  <c r="J521" i="6" s="1"/>
  <c r="J520" i="6" a="1"/>
  <c r="J520" i="6" s="1"/>
  <c r="J519" i="6" a="1"/>
  <c r="J519" i="6" s="1"/>
  <c r="J518" i="6"/>
  <c r="J518" i="6" a="1"/>
  <c r="K517" i="6"/>
  <c r="J517" i="6"/>
  <c r="I517" i="6" s="1" a="1"/>
  <c r="J517" i="6" a="1"/>
  <c r="I517" i="6"/>
  <c r="J516" i="6"/>
  <c r="J516" i="6" a="1"/>
  <c r="J515" i="6"/>
  <c r="J515" i="6" a="1"/>
  <c r="J514" i="6"/>
  <c r="J514" i="6" a="1"/>
  <c r="J513" i="6"/>
  <c r="J513" i="6" a="1"/>
  <c r="K512" i="6"/>
  <c r="J512" i="6"/>
  <c r="J512" i="6" a="1"/>
  <c r="J511" i="6" a="1"/>
  <c r="J511" i="6" s="1"/>
  <c r="J510" i="6"/>
  <c r="J510" i="6" a="1"/>
  <c r="J509" i="6"/>
  <c r="J509" i="6" a="1"/>
  <c r="J508" i="6"/>
  <c r="J508" i="6" a="1"/>
  <c r="K507" i="6"/>
  <c r="J507" i="6" a="1"/>
  <c r="J507" i="6" s="1"/>
  <c r="I507" i="6" s="1" a="1"/>
  <c r="I507" i="6" s="1"/>
  <c r="J506" i="6"/>
  <c r="J506" i="6" a="1"/>
  <c r="J505" i="6"/>
  <c r="J505" i="6" a="1"/>
  <c r="J504" i="6" a="1"/>
  <c r="J504" i="6" s="1"/>
  <c r="J503" i="6" a="1"/>
  <c r="J503" i="6" s="1"/>
  <c r="K502" i="6"/>
  <c r="J502" i="6"/>
  <c r="I502" i="6" s="1" a="1"/>
  <c r="I502" i="6" s="1"/>
  <c r="J502" i="6" a="1"/>
  <c r="J501" i="6" a="1"/>
  <c r="J501" i="6" s="1"/>
  <c r="J500" i="6" a="1"/>
  <c r="J500" i="6" s="1"/>
  <c r="J499" i="6"/>
  <c r="J499" i="6" a="1"/>
  <c r="J498" i="6" a="1"/>
  <c r="J498" i="6" s="1"/>
  <c r="K497" i="6"/>
  <c r="J497" i="6" a="1"/>
  <c r="J497" i="6" s="1"/>
  <c r="I497" i="6" s="1" a="1"/>
  <c r="I497" i="6" s="1"/>
  <c r="J496" i="6"/>
  <c r="J496" i="6" a="1"/>
  <c r="J495" i="6" a="1"/>
  <c r="J495" i="6" s="1"/>
  <c r="J494" i="6" a="1"/>
  <c r="J494" i="6" s="1"/>
  <c r="J493" i="6" a="1"/>
  <c r="J493" i="6" s="1"/>
  <c r="K492" i="6"/>
  <c r="J492" i="6" a="1"/>
  <c r="J492" i="6" s="1"/>
  <c r="I492" i="6" s="1" a="1"/>
  <c r="I492" i="6" s="1"/>
  <c r="J491" i="6" a="1"/>
  <c r="J491" i="6" s="1"/>
  <c r="J490" i="6" a="1"/>
  <c r="J490" i="6" s="1"/>
  <c r="J489" i="6" a="1"/>
  <c r="J489" i="6" s="1"/>
  <c r="J488" i="6" a="1"/>
  <c r="J488" i="6" s="1"/>
  <c r="K487" i="6"/>
  <c r="J487" i="6" a="1"/>
  <c r="J487" i="6" s="1"/>
  <c r="I487" i="6" s="1" a="1"/>
  <c r="I487" i="6" s="1"/>
  <c r="J486" i="6"/>
  <c r="J486" i="6" a="1"/>
  <c r="J485" i="6" a="1"/>
  <c r="J485" i="6" s="1"/>
  <c r="J484" i="6" a="1"/>
  <c r="J484" i="6" s="1"/>
  <c r="J483" i="6"/>
  <c r="J483" i="6" a="1"/>
  <c r="K482" i="6"/>
  <c r="J482" i="6"/>
  <c r="I482" i="6" s="1" a="1"/>
  <c r="I482" i="6" s="1"/>
  <c r="J482" i="6" a="1"/>
  <c r="J481" i="6" a="1"/>
  <c r="J481" i="6" s="1"/>
  <c r="J480" i="6" a="1"/>
  <c r="J480" i="6" s="1"/>
  <c r="J479" i="6"/>
  <c r="J479" i="6" a="1"/>
  <c r="J478" i="6" a="1"/>
  <c r="J478" i="6" s="1"/>
  <c r="K477" i="6"/>
  <c r="J477" i="6"/>
  <c r="J477" i="6" a="1"/>
  <c r="I477" i="6" a="1"/>
  <c r="I477" i="6" s="1"/>
  <c r="J476" i="6"/>
  <c r="J476" i="6" a="1"/>
  <c r="J475" i="6"/>
  <c r="J475" i="6" a="1"/>
  <c r="J474" i="6"/>
  <c r="J474" i="6" a="1"/>
  <c r="J473" i="6" a="1"/>
  <c r="J473" i="6" s="1"/>
  <c r="K472" i="6"/>
  <c r="J472" i="6" a="1"/>
  <c r="J472" i="6" s="1"/>
  <c r="I472" i="6" s="1" a="1"/>
  <c r="I472" i="6" s="1"/>
  <c r="J471" i="6" a="1"/>
  <c r="J471" i="6" s="1"/>
  <c r="J470" i="6" a="1"/>
  <c r="J470" i="6" s="1"/>
  <c r="J469" i="6"/>
  <c r="J469" i="6" a="1"/>
  <c r="J468" i="6"/>
  <c r="J468" i="6" a="1"/>
  <c r="K467" i="6"/>
  <c r="J467" i="6"/>
  <c r="I467" i="6" s="1" a="1"/>
  <c r="J467" i="6" a="1"/>
  <c r="I467" i="6"/>
  <c r="J466" i="6" a="1"/>
  <c r="J466" i="6" s="1"/>
  <c r="J465" i="6"/>
  <c r="J465" i="6" a="1"/>
  <c r="J464" i="6"/>
  <c r="J464" i="6" a="1"/>
  <c r="J463" i="6"/>
  <c r="J463" i="6" a="1"/>
  <c r="K462" i="6"/>
  <c r="J462" i="6"/>
  <c r="J462" i="6" a="1"/>
  <c r="I462" i="6" a="1"/>
  <c r="I462" i="6" s="1"/>
  <c r="J461" i="6"/>
  <c r="J461" i="6" a="1"/>
  <c r="J460" i="6"/>
  <c r="J460" i="6" a="1"/>
  <c r="J459" i="6" a="1"/>
  <c r="J459" i="6" s="1"/>
  <c r="J458" i="6" a="1"/>
  <c r="J458" i="6" s="1"/>
  <c r="K457" i="6"/>
  <c r="J457" i="6"/>
  <c r="I457" i="6" s="1" a="1"/>
  <c r="I457" i="6" s="1"/>
  <c r="J457" i="6" a="1"/>
  <c r="J456" i="6"/>
  <c r="J456" i="6" a="1"/>
  <c r="J455" i="6" a="1"/>
  <c r="J455" i="6" s="1"/>
  <c r="J454" i="6"/>
  <c r="J454" i="6" a="1"/>
  <c r="J453" i="6"/>
  <c r="J453" i="6" a="1"/>
  <c r="K452" i="6"/>
  <c r="J452" i="6" a="1"/>
  <c r="J452" i="6" s="1"/>
  <c r="I452" i="6" a="1"/>
  <c r="I452" i="6" s="1"/>
  <c r="J451" i="6"/>
  <c r="J451" i="6" a="1"/>
  <c r="J450" i="6"/>
  <c r="J450" i="6" a="1"/>
  <c r="J449" i="6" a="1"/>
  <c r="J449" i="6" s="1"/>
  <c r="J448" i="6"/>
  <c r="J448" i="6" a="1"/>
  <c r="K447" i="6"/>
  <c r="J447" i="6"/>
  <c r="I447" i="6" s="1" a="1"/>
  <c r="I447" i="6" s="1"/>
  <c r="J447" i="6" a="1"/>
  <c r="J446" i="6"/>
  <c r="J446" i="6" a="1"/>
  <c r="J445" i="6" a="1"/>
  <c r="J445" i="6" s="1"/>
  <c r="J444" i="6" a="1"/>
  <c r="J444" i="6" s="1"/>
  <c r="J443" i="6"/>
  <c r="J443" i="6" a="1"/>
  <c r="K442" i="6"/>
  <c r="J442" i="6" a="1"/>
  <c r="J442" i="6" s="1"/>
  <c r="I442" i="6" s="1" a="1"/>
  <c r="I442" i="6" s="1"/>
  <c r="J441" i="6"/>
  <c r="J441" i="6" a="1"/>
  <c r="J440" i="6" a="1"/>
  <c r="J440" i="6" s="1"/>
  <c r="J439" i="6"/>
  <c r="J439" i="6" a="1"/>
  <c r="J438" i="6" a="1"/>
  <c r="J438" i="6" s="1"/>
  <c r="K437" i="6"/>
  <c r="J437" i="6"/>
  <c r="I437" i="6" s="1" a="1"/>
  <c r="J437" i="6" a="1"/>
  <c r="I437" i="6"/>
  <c r="J436" i="6" a="1"/>
  <c r="J436" i="6" s="1"/>
  <c r="J435" i="6" a="1"/>
  <c r="J435" i="6" s="1"/>
  <c r="J434" i="6"/>
  <c r="J434" i="6" a="1"/>
  <c r="J433" i="6"/>
  <c r="J433" i="6" a="1"/>
  <c r="K432" i="6"/>
  <c r="J432" i="6" a="1"/>
  <c r="J432" i="6" s="1"/>
  <c r="I432" i="6" s="1" a="1"/>
  <c r="I432" i="6" s="1"/>
  <c r="J431" i="6" a="1"/>
  <c r="J431" i="6" s="1"/>
  <c r="J430" i="6"/>
  <c r="J430" i="6" a="1"/>
  <c r="J429" i="6" a="1"/>
  <c r="J429" i="6" s="1"/>
  <c r="J428" i="6" a="1"/>
  <c r="J428" i="6" s="1"/>
  <c r="K427" i="6"/>
  <c r="J427" i="6" a="1"/>
  <c r="J427" i="6" s="1"/>
  <c r="I427" i="6" s="1" a="1"/>
  <c r="I427" i="6" s="1"/>
  <c r="J426" i="6" a="1"/>
  <c r="J426" i="6" s="1"/>
  <c r="J425" i="6"/>
  <c r="J425" i="6" a="1"/>
  <c r="J424" i="6" a="1"/>
  <c r="J424" i="6" s="1"/>
  <c r="J423" i="6"/>
  <c r="J423" i="6" a="1"/>
  <c r="K422" i="6"/>
  <c r="J422" i="6" a="1"/>
  <c r="J422" i="6" s="1"/>
  <c r="I422" i="6" s="1" a="1"/>
  <c r="I422" i="6" s="1"/>
  <c r="J421" i="6" a="1"/>
  <c r="J421" i="6" s="1"/>
  <c r="J420" i="6"/>
  <c r="J420" i="6" a="1"/>
  <c r="J419" i="6" a="1"/>
  <c r="J419" i="6" s="1"/>
  <c r="J418" i="6" a="1"/>
  <c r="J418" i="6" s="1"/>
  <c r="K417" i="6"/>
  <c r="J417" i="6" a="1"/>
  <c r="J417" i="6" s="1"/>
  <c r="J416" i="6"/>
  <c r="J416" i="6" a="1"/>
  <c r="J415" i="6" a="1"/>
  <c r="J415" i="6" s="1"/>
  <c r="J414" i="6" a="1"/>
  <c r="J414" i="6" s="1"/>
  <c r="J413" i="6"/>
  <c r="J413" i="6" a="1"/>
  <c r="K412" i="6"/>
  <c r="J412" i="6" a="1"/>
  <c r="J412" i="6" s="1"/>
  <c r="I412" i="6" a="1"/>
  <c r="I412" i="6" s="1"/>
  <c r="J411" i="6" a="1"/>
  <c r="J411" i="6" s="1"/>
  <c r="J410" i="6"/>
  <c r="J410" i="6" a="1"/>
  <c r="J409" i="6" a="1"/>
  <c r="J409" i="6" s="1"/>
  <c r="J408" i="6" a="1"/>
  <c r="J408" i="6" s="1"/>
  <c r="K407" i="6"/>
  <c r="J407" i="6" a="1"/>
  <c r="J407" i="6" s="1"/>
  <c r="I407" i="6" s="1" a="1"/>
  <c r="I407" i="6" s="1"/>
  <c r="J406" i="6" a="1"/>
  <c r="J406" i="6" s="1"/>
  <c r="J405" i="6" a="1"/>
  <c r="J405" i="6" s="1"/>
  <c r="J404" i="6"/>
  <c r="J404" i="6" a="1"/>
  <c r="J403" i="6"/>
  <c r="J403" i="6" a="1"/>
  <c r="K402" i="6"/>
  <c r="J402" i="6" a="1"/>
  <c r="J402" i="6" s="1"/>
  <c r="I402" i="6" s="1" a="1"/>
  <c r="I402" i="6" s="1"/>
  <c r="J401" i="6" a="1"/>
  <c r="J401" i="6" s="1"/>
  <c r="J400" i="6" a="1"/>
  <c r="J400" i="6" s="1"/>
  <c r="J399" i="6" a="1"/>
  <c r="J399" i="6" s="1"/>
  <c r="J398" i="6" a="1"/>
  <c r="J398" i="6" s="1"/>
  <c r="K397" i="6"/>
  <c r="J397" i="6"/>
  <c r="J397" i="6" a="1"/>
  <c r="I397" i="6"/>
  <c r="I397" i="6" a="1"/>
  <c r="J396" i="6" a="1"/>
  <c r="J396" i="6" s="1"/>
  <c r="J395" i="6" a="1"/>
  <c r="J395" i="6" s="1"/>
  <c r="J394" i="6"/>
  <c r="J394" i="6" a="1"/>
  <c r="J393" i="6"/>
  <c r="J393" i="6" a="1"/>
  <c r="K392" i="6"/>
  <c r="J392" i="6" a="1"/>
  <c r="J392" i="6" s="1"/>
  <c r="I392" i="6" s="1" a="1"/>
  <c r="I392" i="6"/>
  <c r="J391" i="6" a="1"/>
  <c r="J391" i="6" s="1"/>
  <c r="J390" i="6"/>
  <c r="J390" i="6" a="1"/>
  <c r="J389" i="6" a="1"/>
  <c r="J389" i="6" s="1"/>
  <c r="J388" i="6" a="1"/>
  <c r="J388" i="6" s="1"/>
  <c r="K387" i="6"/>
  <c r="J387" i="6"/>
  <c r="I387" i="6" s="1" a="1"/>
  <c r="I387" i="6" s="1"/>
  <c r="J387" i="6" a="1"/>
  <c r="J386" i="6" a="1"/>
  <c r="J386" i="6" s="1"/>
  <c r="J385" i="6"/>
  <c r="J385" i="6" a="1"/>
  <c r="J384" i="6"/>
  <c r="J384" i="6" a="1"/>
  <c r="J383" i="6"/>
  <c r="J383" i="6" a="1"/>
  <c r="K382" i="6"/>
  <c r="J382" i="6" a="1"/>
  <c r="J382" i="6" s="1"/>
  <c r="I382" i="6" s="1" a="1"/>
  <c r="I382" i="6" s="1"/>
  <c r="J381" i="6"/>
  <c r="J381" i="6" a="1"/>
  <c r="J380" i="6" a="1"/>
  <c r="J380" i="6" s="1"/>
  <c r="J379" i="6" a="1"/>
  <c r="J379" i="6" s="1"/>
  <c r="J378" i="6" a="1"/>
  <c r="J378" i="6" s="1"/>
  <c r="K377" i="6"/>
  <c r="J377" i="6"/>
  <c r="I377" i="6" s="1" a="1"/>
  <c r="I377" i="6" s="1"/>
  <c r="J377" i="6" a="1"/>
  <c r="J376" i="6"/>
  <c r="J376" i="6" a="1"/>
  <c r="J375" i="6"/>
  <c r="J375" i="6" a="1"/>
  <c r="J374" i="6"/>
  <c r="J374" i="6" a="1"/>
  <c r="J373" i="6" a="1"/>
  <c r="J373" i="6" s="1"/>
  <c r="K372" i="6"/>
  <c r="J372" i="6" a="1"/>
  <c r="J372" i="6" s="1"/>
  <c r="I372" i="6" s="1" a="1"/>
  <c r="I372" i="6" s="1"/>
  <c r="J371" i="6"/>
  <c r="J371" i="6" a="1"/>
  <c r="J370" i="6" a="1"/>
  <c r="J370" i="6" s="1"/>
  <c r="J369" i="6" a="1"/>
  <c r="J369" i="6" s="1"/>
  <c r="J368" i="6" a="1"/>
  <c r="J368" i="6" s="1"/>
  <c r="K367" i="6"/>
  <c r="J367" i="6"/>
  <c r="I367" i="6" s="1" a="1"/>
  <c r="I367" i="6" s="1"/>
  <c r="J367" i="6" a="1"/>
  <c r="J366" i="6" a="1"/>
  <c r="J366" i="6" s="1"/>
  <c r="J365" i="6" a="1"/>
  <c r="J365" i="6" s="1"/>
  <c r="J364" i="6" a="1"/>
  <c r="J364" i="6" s="1"/>
  <c r="J363" i="6"/>
  <c r="J363" i="6" a="1"/>
  <c r="K362" i="6"/>
  <c r="J362" i="6" a="1"/>
  <c r="J362" i="6" s="1"/>
  <c r="I362" i="6" s="1" a="1"/>
  <c r="I362" i="6" s="1"/>
  <c r="J361" i="6"/>
  <c r="J361" i="6" a="1"/>
  <c r="J360" i="6" a="1"/>
  <c r="J360" i="6" s="1"/>
  <c r="J359" i="6" a="1"/>
  <c r="J359" i="6" s="1"/>
  <c r="J358" i="6" a="1"/>
  <c r="J358" i="6" s="1"/>
  <c r="K357" i="6"/>
  <c r="J357" i="6"/>
  <c r="I357" i="6" s="1" a="1"/>
  <c r="I357" i="6" s="1"/>
  <c r="J357" i="6" a="1"/>
  <c r="J356" i="6" a="1"/>
  <c r="J356" i="6" s="1"/>
  <c r="J355" i="6"/>
  <c r="J355" i="6" a="1"/>
  <c r="J354" i="6"/>
  <c r="J354" i="6" a="1"/>
  <c r="J353" i="6" a="1"/>
  <c r="J353" i="6" s="1"/>
  <c r="K352" i="6"/>
  <c r="J352" i="6" a="1"/>
  <c r="J352" i="6" s="1"/>
  <c r="I352" i="6" a="1"/>
  <c r="I352" i="6" s="1"/>
  <c r="J351" i="6" a="1"/>
  <c r="J351" i="6" s="1"/>
  <c r="J350" i="6" a="1"/>
  <c r="J350" i="6" s="1"/>
  <c r="J349" i="6" a="1"/>
  <c r="J349" i="6" s="1"/>
  <c r="J348" i="6"/>
  <c r="J348" i="6" a="1"/>
  <c r="K347" i="6"/>
  <c r="J347" i="6"/>
  <c r="I347" i="6" s="1" a="1"/>
  <c r="I347" i="6" s="1"/>
  <c r="J347" i="6" a="1"/>
  <c r="J346" i="6" a="1"/>
  <c r="J346" i="6" s="1"/>
  <c r="J345" i="6"/>
  <c r="J345" i="6" a="1"/>
  <c r="J344" i="6"/>
  <c r="J344" i="6" a="1"/>
  <c r="J343" i="6" a="1"/>
  <c r="J343" i="6" s="1"/>
  <c r="K342" i="6"/>
  <c r="J342" i="6"/>
  <c r="I342" i="6" s="1" a="1"/>
  <c r="I342" i="6" s="1"/>
  <c r="J342" i="6" a="1"/>
  <c r="J341" i="6"/>
  <c r="J341" i="6" a="1"/>
  <c r="J340" i="6" a="1"/>
  <c r="J340" i="6" s="1"/>
  <c r="J339" i="6" a="1"/>
  <c r="J339" i="6" s="1"/>
  <c r="J338" i="6" a="1"/>
  <c r="J338" i="6" s="1"/>
  <c r="K337" i="6"/>
  <c r="J337" i="6"/>
  <c r="I337" i="6" s="1" a="1"/>
  <c r="I337" i="6" s="1"/>
  <c r="J337" i="6" a="1"/>
  <c r="J336" i="6"/>
  <c r="J336" i="6" a="1"/>
  <c r="J335" i="6" a="1"/>
  <c r="J335" i="6" s="1"/>
  <c r="J334" i="6"/>
  <c r="J334" i="6" a="1"/>
  <c r="J333" i="6" a="1"/>
  <c r="J333" i="6" s="1"/>
  <c r="K332" i="6"/>
  <c r="J332" i="6" a="1"/>
  <c r="J332" i="6" s="1"/>
  <c r="I332" i="6" s="1" a="1"/>
  <c r="I332" i="6" s="1"/>
  <c r="J331" i="6"/>
  <c r="J331" i="6" a="1"/>
  <c r="J330" i="6" a="1"/>
  <c r="J330" i="6" s="1"/>
  <c r="J329" i="6" a="1"/>
  <c r="J329" i="6" s="1"/>
  <c r="J328" i="6"/>
  <c r="J328" i="6" a="1"/>
  <c r="K327" i="6"/>
  <c r="J327" i="6"/>
  <c r="J327" i="6" a="1"/>
  <c r="J326" i="6" a="1"/>
  <c r="J326" i="6" s="1"/>
  <c r="J325" i="6"/>
  <c r="J325" i="6" a="1"/>
  <c r="J324" i="6"/>
  <c r="J324" i="6" a="1"/>
  <c r="J323" i="6"/>
  <c r="J323" i="6" a="1"/>
  <c r="K322" i="6"/>
  <c r="J322" i="6" a="1"/>
  <c r="J322" i="6" s="1"/>
  <c r="I322" i="6" a="1"/>
  <c r="I322" i="6" s="1"/>
  <c r="J321" i="6"/>
  <c r="J321" i="6" a="1"/>
  <c r="J320" i="6" a="1"/>
  <c r="J320" i="6" s="1"/>
  <c r="J319" i="6" a="1"/>
  <c r="J319" i="6" s="1"/>
  <c r="J318" i="6"/>
  <c r="J318" i="6" a="1"/>
  <c r="K317" i="6"/>
  <c r="J317" i="6"/>
  <c r="I317" i="6" s="1" a="1"/>
  <c r="I317" i="6" s="1"/>
  <c r="J317" i="6" a="1"/>
  <c r="J316" i="6" a="1"/>
  <c r="J316" i="6" s="1"/>
  <c r="J315" i="6" a="1"/>
  <c r="J315" i="6" s="1"/>
  <c r="J314" i="6"/>
  <c r="J314" i="6" a="1"/>
  <c r="J313" i="6" a="1"/>
  <c r="J313" i="6" s="1"/>
  <c r="K312" i="6"/>
  <c r="J312" i="6"/>
  <c r="I312" i="6" s="1" a="1"/>
  <c r="I312" i="6" s="1"/>
  <c r="J312" i="6" a="1"/>
  <c r="J311" i="6" a="1"/>
  <c r="J311" i="6" s="1"/>
  <c r="J310" i="6" a="1"/>
  <c r="J310" i="6" s="1"/>
  <c r="J309" i="6" a="1"/>
  <c r="J309" i="6" s="1"/>
  <c r="J308" i="6" a="1"/>
  <c r="J308" i="6" s="1"/>
  <c r="K307" i="6"/>
  <c r="J307" i="6"/>
  <c r="J307" i="6" a="1"/>
  <c r="I307" i="6"/>
  <c r="I307" i="6" a="1"/>
  <c r="J306" i="6"/>
  <c r="J306" i="6" a="1"/>
  <c r="J305" i="6"/>
  <c r="J305" i="6" a="1"/>
  <c r="J304" i="6"/>
  <c r="J304" i="6" a="1"/>
  <c r="J303" i="6"/>
  <c r="J303" i="6" a="1"/>
  <c r="K302" i="6"/>
  <c r="J302" i="6" a="1"/>
  <c r="J302" i="6" s="1"/>
  <c r="J301" i="6"/>
  <c r="J301" i="6" a="1"/>
  <c r="J300" i="6"/>
  <c r="J300" i="6" a="1"/>
  <c r="J299" i="6"/>
  <c r="J299" i="6" a="1"/>
  <c r="J298" i="6" a="1"/>
  <c r="J298" i="6" s="1"/>
  <c r="K297" i="6"/>
  <c r="J297" i="6" a="1"/>
  <c r="J297" i="6" s="1"/>
  <c r="I297" i="6" s="1" a="1"/>
  <c r="I297" i="6"/>
  <c r="J296" i="6"/>
  <c r="J296" i="6" a="1"/>
  <c r="J295" i="6"/>
  <c r="J295" i="6" a="1"/>
  <c r="J294" i="6" a="1"/>
  <c r="J294" i="6" s="1"/>
  <c r="J293" i="6"/>
  <c r="J293" i="6" a="1"/>
  <c r="K292" i="6"/>
  <c r="I292" i="6" s="1" a="1"/>
  <c r="I292" i="6" s="1"/>
  <c r="J292" i="6" a="1"/>
  <c r="J292" i="6" s="1"/>
  <c r="J291" i="6" a="1"/>
  <c r="J291" i="6" s="1"/>
  <c r="J290" i="6"/>
  <c r="J290" i="6" a="1"/>
  <c r="J289" i="6" a="1"/>
  <c r="J289" i="6" s="1"/>
  <c r="J288" i="6" a="1"/>
  <c r="J288" i="6" s="1"/>
  <c r="K287" i="6"/>
  <c r="J287" i="6" a="1"/>
  <c r="J287" i="6" s="1"/>
  <c r="I287" i="6" s="1" a="1"/>
  <c r="I287" i="6" s="1"/>
  <c r="J286" i="6" a="1"/>
  <c r="J286" i="6" s="1"/>
  <c r="J285" i="6" a="1"/>
  <c r="J285" i="6" s="1"/>
  <c r="J284" i="6"/>
  <c r="J284" i="6" a="1"/>
  <c r="J283" i="6"/>
  <c r="J283" i="6" a="1"/>
  <c r="K282" i="6"/>
  <c r="J282" i="6"/>
  <c r="I282" i="6" s="1" a="1"/>
  <c r="J282" i="6" a="1"/>
  <c r="I282" i="6"/>
  <c r="J281" i="6" a="1"/>
  <c r="J281" i="6" s="1"/>
  <c r="J280" i="6" a="1"/>
  <c r="J280" i="6" s="1"/>
  <c r="J279" i="6" a="1"/>
  <c r="J279" i="6" s="1"/>
  <c r="J278" i="6" a="1"/>
  <c r="J278" i="6" s="1"/>
  <c r="K277" i="6"/>
  <c r="I277" i="6" s="1" a="1"/>
  <c r="I277" i="6" s="1"/>
  <c r="J277" i="6"/>
  <c r="J277" i="6" a="1"/>
  <c r="J276" i="6"/>
  <c r="J276" i="6" a="1"/>
  <c r="J275" i="6"/>
  <c r="J275" i="6" a="1"/>
  <c r="J274" i="6"/>
  <c r="J274" i="6" a="1"/>
  <c r="J273" i="6"/>
  <c r="J273" i="6" a="1"/>
  <c r="K272" i="6"/>
  <c r="J272" i="6" a="1"/>
  <c r="J272" i="6" s="1"/>
  <c r="J271" i="6" a="1"/>
  <c r="J271" i="6" s="1"/>
  <c r="J270" i="6"/>
  <c r="J270" i="6" a="1"/>
  <c r="J269" i="6"/>
  <c r="J269" i="6" a="1"/>
  <c r="J268" i="6"/>
  <c r="J268" i="6" a="1"/>
  <c r="K267" i="6"/>
  <c r="J267" i="6" a="1"/>
  <c r="J267" i="6" s="1"/>
  <c r="I267" i="6" a="1"/>
  <c r="I267" i="6" s="1"/>
  <c r="J266" i="6" a="1"/>
  <c r="J266" i="6" s="1"/>
  <c r="J265" i="6"/>
  <c r="J265" i="6" a="1"/>
  <c r="J264" i="6" a="1"/>
  <c r="J264" i="6" s="1"/>
  <c r="J263" i="6" a="1"/>
  <c r="J263" i="6" s="1"/>
  <c r="K262" i="6"/>
  <c r="J262" i="6" a="1"/>
  <c r="J262" i="6" s="1"/>
  <c r="I262" i="6" s="1" a="1"/>
  <c r="I262" i="6" s="1"/>
  <c r="J261" i="6" a="1"/>
  <c r="J261" i="6" s="1"/>
  <c r="J260" i="6" a="1"/>
  <c r="J260" i="6" s="1"/>
  <c r="J259" i="6" a="1"/>
  <c r="J259" i="6" s="1"/>
  <c r="J258" i="6" a="1"/>
  <c r="J258" i="6" s="1"/>
  <c r="K257" i="6"/>
  <c r="J257" i="6" a="1"/>
  <c r="J257" i="6" s="1"/>
  <c r="I257" i="6" a="1"/>
  <c r="I257" i="6" s="1"/>
  <c r="J256" i="6"/>
  <c r="J256" i="6" a="1"/>
  <c r="J255" i="6"/>
  <c r="J255" i="6" a="1"/>
  <c r="J254" i="6" a="1"/>
  <c r="J254" i="6" s="1"/>
  <c r="J253" i="6" a="1"/>
  <c r="J253" i="6" s="1"/>
  <c r="K252" i="6"/>
  <c r="J252" i="6" a="1"/>
  <c r="J252" i="6" s="1"/>
  <c r="I252" i="6" s="1" a="1"/>
  <c r="I252" i="6"/>
  <c r="J251" i="6" a="1"/>
  <c r="J251" i="6" s="1"/>
  <c r="J250" i="6" a="1"/>
  <c r="J250" i="6" s="1"/>
  <c r="J249" i="6" a="1"/>
  <c r="J249" i="6" s="1"/>
  <c r="J248" i="6"/>
  <c r="J248" i="6" a="1"/>
  <c r="K247" i="6"/>
  <c r="J247" i="6" a="1"/>
  <c r="J247" i="6" s="1"/>
  <c r="I247" i="6" s="1" a="1"/>
  <c r="I247" i="6" s="1"/>
  <c r="J246" i="6"/>
  <c r="J246" i="6" a="1"/>
  <c r="J245" i="6" a="1"/>
  <c r="J245" i="6" s="1"/>
  <c r="J244" i="6" a="1"/>
  <c r="J244" i="6" s="1"/>
  <c r="J243" i="6"/>
  <c r="J243" i="6" a="1"/>
  <c r="K242" i="6"/>
  <c r="J242" i="6" a="1"/>
  <c r="J242" i="6" s="1"/>
  <c r="I242" i="6" s="1" a="1"/>
  <c r="I242" i="6" s="1"/>
  <c r="J241" i="6" a="1"/>
  <c r="J241" i="6" s="1"/>
  <c r="J240" i="6" a="1"/>
  <c r="J240" i="6" s="1"/>
  <c r="J239" i="6"/>
  <c r="J239" i="6" a="1"/>
  <c r="J238" i="6" a="1"/>
  <c r="J238" i="6" s="1"/>
  <c r="K237" i="6"/>
  <c r="J237" i="6"/>
  <c r="J237" i="6" a="1"/>
  <c r="I237" i="6"/>
  <c r="I237" i="6" a="1"/>
  <c r="J236" i="6" a="1"/>
  <c r="J236" i="6" s="1"/>
  <c r="J235" i="6"/>
  <c r="J235" i="6" a="1"/>
  <c r="J234" i="6"/>
  <c r="J234" i="6" a="1"/>
  <c r="J233" i="6"/>
  <c r="J233" i="6" a="1"/>
  <c r="K232" i="6"/>
  <c r="J232" i="6" a="1"/>
  <c r="J232" i="6" s="1"/>
  <c r="I232" i="6" s="1" a="1"/>
  <c r="I232" i="6" s="1"/>
  <c r="J231" i="6" a="1"/>
  <c r="J231" i="6" s="1"/>
  <c r="J230" i="6" a="1"/>
  <c r="J230" i="6" s="1"/>
  <c r="J229" i="6"/>
  <c r="J229" i="6" a="1"/>
  <c r="J228" i="6"/>
  <c r="J228" i="6" a="1"/>
  <c r="K227" i="6"/>
  <c r="J227" i="6"/>
  <c r="I227" i="6" s="1" a="1"/>
  <c r="I227" i="6" s="1"/>
  <c r="J227" i="6" a="1"/>
  <c r="J226" i="6"/>
  <c r="J226" i="6" a="1"/>
  <c r="J225" i="6"/>
  <c r="J225" i="6" a="1"/>
  <c r="J224" i="6"/>
  <c r="J224" i="6" a="1"/>
  <c r="J223" i="6" a="1"/>
  <c r="J223" i="6" s="1"/>
  <c r="K222" i="6"/>
  <c r="J222" i="6"/>
  <c r="J222" i="6" a="1"/>
  <c r="J221" i="6" a="1"/>
  <c r="J221" i="6" s="1"/>
  <c r="J220" i="6" a="1"/>
  <c r="J220" i="6" s="1"/>
  <c r="J219" i="6"/>
  <c r="J219" i="6" a="1"/>
  <c r="J218" i="6" a="1"/>
  <c r="J218" i="6" s="1"/>
  <c r="K217" i="6"/>
  <c r="J217" i="6" a="1"/>
  <c r="J217" i="6" s="1"/>
  <c r="I217" i="6" s="1" a="1"/>
  <c r="I217" i="6" s="1"/>
  <c r="J216" i="6"/>
  <c r="J216" i="6" a="1"/>
  <c r="J215" i="6" a="1"/>
  <c r="J215" i="6" s="1"/>
  <c r="J214" i="6" a="1"/>
  <c r="J214" i="6" s="1"/>
  <c r="J213" i="6" a="1"/>
  <c r="J213" i="6" s="1"/>
  <c r="K212" i="6"/>
  <c r="I212" i="6" s="1" a="1"/>
  <c r="I212" i="6" s="1"/>
  <c r="J212" i="6" a="1"/>
  <c r="J212" i="6" s="1"/>
  <c r="J211" i="6" a="1"/>
  <c r="J211" i="6" s="1"/>
  <c r="J210" i="6" a="1"/>
  <c r="J210" i="6" s="1"/>
  <c r="J209" i="6" a="1"/>
  <c r="J209" i="6" s="1"/>
  <c r="J208" i="6"/>
  <c r="J208" i="6" a="1"/>
  <c r="K207" i="6"/>
  <c r="J207" i="6" a="1"/>
  <c r="J207" i="6" s="1"/>
  <c r="I207" i="6" s="1" a="1"/>
  <c r="I207" i="6" s="1"/>
  <c r="J206" i="6" a="1"/>
  <c r="J206" i="6" s="1"/>
  <c r="J205" i="6"/>
  <c r="J205" i="6" a="1"/>
  <c r="J204" i="6" a="1"/>
  <c r="J204" i="6" s="1"/>
  <c r="J203" i="6"/>
  <c r="J203" i="6" a="1"/>
  <c r="K202" i="6"/>
  <c r="J202" i="6"/>
  <c r="I202" i="6" s="1" a="1"/>
  <c r="I202" i="6" s="1"/>
  <c r="J202" i="6" a="1"/>
  <c r="J201" i="6" a="1"/>
  <c r="J201" i="6" s="1"/>
  <c r="J200" i="6" a="1"/>
  <c r="J200" i="6" s="1"/>
  <c r="J199" i="6" a="1"/>
  <c r="J199" i="6" s="1"/>
  <c r="J198" i="6"/>
  <c r="J198" i="6" a="1"/>
  <c r="K197" i="6"/>
  <c r="J197" i="6"/>
  <c r="I197" i="6" s="1" a="1"/>
  <c r="I197" i="6" s="1"/>
  <c r="J197" i="6" a="1"/>
  <c r="J196" i="6"/>
  <c r="J196" i="6" a="1"/>
  <c r="J195" i="6" a="1"/>
  <c r="J195" i="6" s="1"/>
  <c r="J194" i="6"/>
  <c r="J194" i="6" a="1"/>
  <c r="J193" i="6" a="1"/>
  <c r="J193" i="6" s="1"/>
  <c r="K192" i="6"/>
  <c r="J192" i="6"/>
  <c r="J192" i="6" a="1"/>
  <c r="I192" i="6" a="1"/>
  <c r="I192" i="6" s="1"/>
  <c r="J191" i="6" a="1"/>
  <c r="J191" i="6" s="1"/>
  <c r="J190" i="6" a="1"/>
  <c r="J190" i="6" s="1"/>
  <c r="J189" i="6"/>
  <c r="J189" i="6" a="1"/>
  <c r="J188" i="6" a="1"/>
  <c r="J188" i="6" s="1"/>
  <c r="K187" i="6"/>
  <c r="J187" i="6"/>
  <c r="I187" i="6" s="1" a="1"/>
  <c r="I187" i="6" s="1"/>
  <c r="J187" i="6" a="1"/>
  <c r="J186" i="6"/>
  <c r="J186" i="6" a="1"/>
  <c r="J185" i="6"/>
  <c r="J185" i="6" a="1"/>
  <c r="J184" i="6"/>
  <c r="J184" i="6" a="1"/>
  <c r="J183" i="6" a="1"/>
  <c r="J183" i="6" s="1"/>
  <c r="K182" i="6"/>
  <c r="J182" i="6" a="1"/>
  <c r="J182" i="6" s="1"/>
  <c r="I182" i="6" s="1" a="1"/>
  <c r="I182" i="6" s="1"/>
  <c r="J181" i="6"/>
  <c r="J181" i="6" a="1"/>
  <c r="J180" i="6" a="1"/>
  <c r="J180" i="6" s="1"/>
  <c r="J179" i="6"/>
  <c r="J179" i="6" a="1"/>
  <c r="J178" i="6" a="1"/>
  <c r="J178" i="6" s="1"/>
  <c r="K177" i="6"/>
  <c r="J177" i="6"/>
  <c r="I177" i="6" s="1" a="1"/>
  <c r="I177" i="6" s="1"/>
  <c r="J177" i="6" a="1"/>
  <c r="J176" i="6"/>
  <c r="J176" i="6" a="1"/>
  <c r="J175" i="6" a="1"/>
  <c r="J175" i="6" s="1"/>
  <c r="J174" i="6"/>
  <c r="J174" i="6" a="1"/>
  <c r="J173" i="6" a="1"/>
  <c r="J173" i="6" s="1"/>
  <c r="K172" i="6"/>
  <c r="J172" i="6" a="1"/>
  <c r="J172" i="6" s="1"/>
  <c r="I172" i="6" a="1"/>
  <c r="I172" i="6" s="1"/>
  <c r="J171" i="6"/>
  <c r="J171" i="6" a="1"/>
  <c r="J170" i="6" a="1"/>
  <c r="J170" i="6" s="1"/>
  <c r="J169" i="6" a="1"/>
  <c r="J169" i="6" s="1"/>
  <c r="J168" i="6" a="1"/>
  <c r="J168" i="6" s="1"/>
  <c r="K167" i="6"/>
  <c r="J167" i="6"/>
  <c r="I167" i="6" s="1" a="1"/>
  <c r="I167" i="6" s="1"/>
  <c r="J167" i="6" a="1"/>
  <c r="J166" i="6"/>
  <c r="J166" i="6" a="1"/>
  <c r="J165" i="6" a="1"/>
  <c r="J165" i="6" s="1"/>
  <c r="J164" i="6" a="1"/>
  <c r="J164" i="6" s="1"/>
  <c r="J163" i="6"/>
  <c r="J163" i="6" a="1"/>
  <c r="K162" i="6"/>
  <c r="I162" i="6" s="1" a="1"/>
  <c r="I162" i="6" s="1"/>
  <c r="J162" i="6"/>
  <c r="J162" i="6" a="1"/>
  <c r="J161" i="6"/>
  <c r="J161" i="6" a="1"/>
  <c r="J160" i="6" a="1"/>
  <c r="J160" i="6" s="1"/>
  <c r="J159" i="6"/>
  <c r="J159" i="6" a="1"/>
  <c r="J158" i="6" a="1"/>
  <c r="J158" i="6" s="1"/>
  <c r="K157" i="6"/>
  <c r="J157" i="6"/>
  <c r="I157" i="6" s="1" a="1"/>
  <c r="I157" i="6" s="1"/>
  <c r="J157" i="6" a="1"/>
  <c r="J156" i="6"/>
  <c r="J156" i="6" a="1"/>
  <c r="J155" i="6" a="1"/>
  <c r="J155" i="6" s="1"/>
  <c r="J154" i="6"/>
  <c r="J154" i="6" a="1"/>
  <c r="J153" i="6" a="1"/>
  <c r="J153" i="6" s="1"/>
  <c r="K152" i="6"/>
  <c r="J152" i="6" a="1"/>
  <c r="J152" i="6" s="1"/>
  <c r="I152" i="6" s="1" a="1"/>
  <c r="I152" i="6" s="1"/>
  <c r="J151" i="6" a="1"/>
  <c r="J151" i="6" s="1"/>
  <c r="J150" i="6" a="1"/>
  <c r="J150" i="6" s="1"/>
  <c r="J149" i="6"/>
  <c r="J149" i="6" a="1"/>
  <c r="J148" i="6" a="1"/>
  <c r="J148" i="6" s="1"/>
  <c r="K147" i="6"/>
  <c r="J147" i="6" a="1"/>
  <c r="J147" i="6" s="1"/>
  <c r="I147" i="6" s="1" a="1"/>
  <c r="I147" i="6" s="1"/>
  <c r="J146" i="6" a="1"/>
  <c r="J146" i="6" s="1"/>
  <c r="J145" i="6"/>
  <c r="J145" i="6" a="1"/>
  <c r="J144" i="6" a="1"/>
  <c r="J144" i="6" s="1"/>
  <c r="J143" i="6"/>
  <c r="J143" i="6" a="1"/>
  <c r="K142" i="6"/>
  <c r="J142" i="6" a="1"/>
  <c r="J142" i="6" s="1"/>
  <c r="I142" i="6" s="1" a="1"/>
  <c r="I142" i="6" s="1"/>
  <c r="J141" i="6" a="1"/>
  <c r="J141" i="6" s="1"/>
  <c r="J140" i="6"/>
  <c r="J140" i="6" a="1"/>
  <c r="J139" i="6" a="1"/>
  <c r="J139" i="6" s="1"/>
  <c r="J138" i="6" a="1"/>
  <c r="J138" i="6" s="1"/>
  <c r="K137" i="6"/>
  <c r="J137" i="6" a="1"/>
  <c r="J137" i="6" s="1"/>
  <c r="I137" i="6" s="1" a="1"/>
  <c r="I137" i="6" s="1"/>
  <c r="J136" i="6"/>
  <c r="J136" i="6" a="1"/>
  <c r="J135" i="6" a="1"/>
  <c r="J135" i="6" s="1"/>
  <c r="J134" i="6" a="1"/>
  <c r="J134" i="6" s="1"/>
  <c r="J133" i="6"/>
  <c r="J133" i="6" a="1"/>
  <c r="K132" i="6"/>
  <c r="J132" i="6" a="1"/>
  <c r="J132" i="6" s="1"/>
  <c r="I132" i="6" a="1"/>
  <c r="I132" i="6" s="1"/>
  <c r="J131" i="6" a="1"/>
  <c r="J131" i="6" s="1"/>
  <c r="J130" i="6"/>
  <c r="J130" i="6" a="1"/>
  <c r="J129" i="6" a="1"/>
  <c r="J129" i="6" s="1"/>
  <c r="J128" i="6" a="1"/>
  <c r="J128" i="6" s="1"/>
  <c r="K127" i="6"/>
  <c r="J127" i="6" a="1"/>
  <c r="J127" i="6" s="1"/>
  <c r="I127" i="6" s="1" a="1"/>
  <c r="I127" i="6" s="1"/>
  <c r="J126" i="6"/>
  <c r="J126" i="6" a="1"/>
  <c r="J125" i="6" a="1"/>
  <c r="J125" i="6" s="1"/>
  <c r="J124" i="6"/>
  <c r="J124" i="6" a="1"/>
  <c r="J123" i="6"/>
  <c r="J123" i="6" a="1"/>
  <c r="K122" i="6"/>
  <c r="J122" i="6" a="1"/>
  <c r="J122" i="6" s="1"/>
  <c r="I122" i="6" s="1" a="1"/>
  <c r="I122" i="6" s="1"/>
  <c r="J121" i="6" a="1"/>
  <c r="J121" i="6" s="1"/>
  <c r="J120" i="6" a="1"/>
  <c r="J120" i="6" s="1"/>
  <c r="J119" i="6"/>
  <c r="J119" i="6" a="1"/>
  <c r="J118" i="6" a="1"/>
  <c r="J118" i="6" s="1"/>
  <c r="K117" i="6"/>
  <c r="I117" i="6" s="1" a="1"/>
  <c r="I117" i="6" s="1"/>
  <c r="J117" i="6"/>
  <c r="J117" i="6" a="1"/>
  <c r="J116" i="6" a="1"/>
  <c r="J116" i="6" s="1"/>
  <c r="J115" i="6" a="1"/>
  <c r="J115" i="6" s="1"/>
  <c r="J114" i="6"/>
  <c r="J114" i="6" a="1"/>
  <c r="J113" i="6"/>
  <c r="J113" i="6" a="1"/>
  <c r="K112" i="6"/>
  <c r="J112" i="6" a="1"/>
  <c r="J112" i="6" s="1"/>
  <c r="I112" i="6" s="1" a="1"/>
  <c r="I112" i="6" s="1"/>
  <c r="J111" i="6" a="1"/>
  <c r="J111" i="6" s="1"/>
  <c r="J110" i="6"/>
  <c r="J110" i="6" a="1"/>
  <c r="J109" i="6" a="1"/>
  <c r="J109" i="6" s="1"/>
  <c r="J108" i="6" a="1"/>
  <c r="J108" i="6" s="1"/>
  <c r="K107" i="6"/>
  <c r="J107" i="6"/>
  <c r="I107" i="6" s="1" a="1"/>
  <c r="I107" i="6" s="1"/>
  <c r="J107" i="6" a="1"/>
  <c r="J106" i="6" a="1"/>
  <c r="J106" i="6" s="1"/>
  <c r="J105" i="6"/>
  <c r="J105" i="6" a="1"/>
  <c r="J104" i="6"/>
  <c r="J104" i="6" a="1"/>
  <c r="J103" i="6"/>
  <c r="J103" i="6" a="1"/>
  <c r="K102" i="6"/>
  <c r="J102" i="6" a="1"/>
  <c r="J102" i="6" s="1"/>
  <c r="I102" i="6" s="1" a="1"/>
  <c r="I102" i="6" s="1"/>
  <c r="J101" i="6" a="1"/>
  <c r="J101" i="6" s="1"/>
  <c r="J100" i="6"/>
  <c r="J100" i="6" a="1"/>
  <c r="J99" i="6" a="1"/>
  <c r="J99" i="6" s="1"/>
  <c r="J98" i="6" a="1"/>
  <c r="J98" i="6" s="1"/>
  <c r="K97" i="6"/>
  <c r="J97" i="6" a="1"/>
  <c r="J97" i="6" s="1"/>
  <c r="I97" i="6" s="1" a="1"/>
  <c r="I97" i="6" s="1"/>
  <c r="J96" i="6"/>
  <c r="J96" i="6" a="1"/>
  <c r="J95" i="6"/>
  <c r="J95" i="6" a="1"/>
  <c r="J94" i="6" a="1"/>
  <c r="J94" i="6" s="1"/>
  <c r="J93" i="6"/>
  <c r="J93" i="6" a="1"/>
  <c r="K92" i="6"/>
  <c r="J92" i="6" a="1"/>
  <c r="J92" i="6" s="1"/>
  <c r="I92" i="6" s="1" a="1"/>
  <c r="I92" i="6" s="1"/>
  <c r="J91" i="6" a="1"/>
  <c r="J91" i="6" s="1"/>
  <c r="J90" i="6"/>
  <c r="J90" i="6" a="1"/>
  <c r="J89" i="6" a="1"/>
  <c r="J89" i="6" s="1"/>
  <c r="J88" i="6" a="1"/>
  <c r="J88" i="6" s="1"/>
  <c r="K87" i="6"/>
  <c r="J87" i="6" a="1"/>
  <c r="J87" i="6" s="1"/>
  <c r="I87" i="6" s="1" a="1"/>
  <c r="I87" i="6" s="1"/>
  <c r="J86" i="6" a="1"/>
  <c r="J86" i="6" s="1"/>
  <c r="J85" i="6" a="1"/>
  <c r="J85" i="6" s="1"/>
  <c r="J84" i="6" a="1"/>
  <c r="J84" i="6" s="1"/>
  <c r="J83" i="6"/>
  <c r="J83" i="6" a="1"/>
  <c r="K82" i="6"/>
  <c r="J82" i="6" a="1"/>
  <c r="J82" i="6" s="1"/>
  <c r="I82" i="6" s="1" a="1"/>
  <c r="I82" i="6" s="1"/>
  <c r="J81" i="6" a="1"/>
  <c r="J81" i="6" s="1"/>
  <c r="J80" i="6" a="1"/>
  <c r="J80" i="6" s="1"/>
  <c r="J79" i="6" a="1"/>
  <c r="J79" i="6" s="1"/>
  <c r="J78" i="6" a="1"/>
  <c r="J78" i="6" s="1"/>
  <c r="K77" i="6"/>
  <c r="J77" i="6"/>
  <c r="I77" i="6" s="1" a="1"/>
  <c r="I77" i="6" s="1"/>
  <c r="J77" i="6" a="1"/>
  <c r="J76" i="6" a="1"/>
  <c r="J76" i="6" s="1"/>
  <c r="J75" i="6"/>
  <c r="J75" i="6" a="1"/>
  <c r="J74" i="6"/>
  <c r="J74" i="6" a="1"/>
  <c r="J73" i="6"/>
  <c r="J73" i="6" a="1"/>
  <c r="K72" i="6"/>
  <c r="J72" i="6" a="1"/>
  <c r="J72" i="6" s="1"/>
  <c r="I72" i="6" s="1" a="1"/>
  <c r="I72" i="6" s="1"/>
  <c r="J71" i="6" a="1"/>
  <c r="J71" i="6" s="1"/>
  <c r="J70" i="6" a="1"/>
  <c r="J70" i="6" s="1"/>
  <c r="J69" i="6" a="1"/>
  <c r="J69" i="6" s="1"/>
  <c r="J68" i="6"/>
  <c r="J68" i="6" a="1"/>
  <c r="K67" i="6"/>
  <c r="J67" i="6"/>
  <c r="I67" i="6" s="1" a="1"/>
  <c r="I67" i="6" s="1"/>
  <c r="J67" i="6" a="1"/>
  <c r="J66" i="6" a="1"/>
  <c r="J66" i="6" s="1"/>
  <c r="J65" i="6" a="1"/>
  <c r="J65" i="6" s="1"/>
  <c r="J64" i="6"/>
  <c r="J64" i="6" a="1"/>
  <c r="J63" i="6" a="1"/>
  <c r="J63" i="6" s="1"/>
  <c r="K62" i="6"/>
  <c r="J62" i="6"/>
  <c r="I62" i="6" s="1" a="1"/>
  <c r="I62" i="6" s="1"/>
  <c r="J62" i="6" a="1"/>
  <c r="J61" i="6"/>
  <c r="J61" i="6" a="1"/>
  <c r="J60" i="6" a="1"/>
  <c r="J60" i="6" s="1"/>
  <c r="J59" i="6"/>
  <c r="J59" i="6" a="1"/>
  <c r="J58" i="6" a="1"/>
  <c r="J58" i="6" s="1"/>
  <c r="K57" i="6"/>
  <c r="J57" i="6" a="1"/>
  <c r="J57" i="6" s="1"/>
  <c r="I57" i="6" s="1" a="1"/>
  <c r="I57" i="6" s="1"/>
  <c r="J56" i="6" a="1"/>
  <c r="J56" i="6" s="1"/>
  <c r="J55" i="6"/>
  <c r="J55" i="6" a="1"/>
  <c r="J54" i="6" a="1"/>
  <c r="J54" i="6" s="1"/>
  <c r="J53" i="6" a="1"/>
  <c r="J53" i="6" s="1"/>
  <c r="K52" i="6"/>
  <c r="J52" i="6" a="1"/>
  <c r="J52" i="6" s="1"/>
  <c r="I52" i="6" s="1" a="1"/>
  <c r="I52" i="6" s="1"/>
  <c r="J51" i="6" a="1"/>
  <c r="J51" i="6" s="1"/>
  <c r="J50" i="6"/>
  <c r="J50" i="6" a="1"/>
  <c r="J49" i="6" a="1"/>
  <c r="J49" i="6" s="1"/>
  <c r="J48" i="6"/>
  <c r="J48" i="6" a="1"/>
  <c r="K47" i="6"/>
  <c r="J47" i="6" a="1"/>
  <c r="J47" i="6" s="1"/>
  <c r="I47" i="6" s="1" a="1"/>
  <c r="I47" i="6" s="1"/>
  <c r="J46" i="6"/>
  <c r="J46" i="6" a="1"/>
  <c r="J45" i="6" a="1"/>
  <c r="J45" i="6" s="1"/>
  <c r="J44" i="6" a="1"/>
  <c r="J44" i="6" s="1"/>
  <c r="J43" i="6" a="1"/>
  <c r="J43" i="6" s="1"/>
  <c r="K42" i="6"/>
  <c r="J42" i="6"/>
  <c r="J42" i="6" a="1"/>
  <c r="I42" i="6" a="1"/>
  <c r="I42" i="6" s="1"/>
  <c r="J41" i="6"/>
  <c r="J41" i="6" a="1"/>
  <c r="J40" i="6" a="1"/>
  <c r="J40" i="6" s="1"/>
  <c r="J39" i="6" a="1"/>
  <c r="J39" i="6" s="1"/>
  <c r="J38" i="6" a="1"/>
  <c r="J38" i="6" s="1"/>
  <c r="K37" i="6"/>
  <c r="J37" i="6" a="1"/>
  <c r="J37" i="6" s="1"/>
  <c r="I37" i="6" s="1" a="1"/>
  <c r="I37" i="6" s="1"/>
  <c r="J36" i="6" a="1"/>
  <c r="J36" i="6" s="1"/>
  <c r="J35" i="6" a="1"/>
  <c r="J35" i="6" s="1"/>
  <c r="J34" i="6" a="1"/>
  <c r="J34" i="6" s="1"/>
  <c r="J33" i="6"/>
  <c r="J33" i="6" a="1"/>
  <c r="K32" i="6"/>
  <c r="J32" i="6" a="1"/>
  <c r="J32" i="6" s="1"/>
  <c r="I32" i="6" s="1" a="1"/>
  <c r="I32" i="6" s="1"/>
  <c r="J31" i="6" a="1"/>
  <c r="J31" i="6" s="1"/>
  <c r="J30" i="6" a="1"/>
  <c r="J30" i="6" s="1"/>
  <c r="J29" i="6" a="1"/>
  <c r="J29" i="6" s="1"/>
  <c r="J28" i="6"/>
  <c r="J28" i="6" a="1"/>
  <c r="K27" i="6"/>
  <c r="J27" i="6"/>
  <c r="I27" i="6" s="1" a="1"/>
  <c r="I27" i="6" s="1"/>
  <c r="J27" i="6" a="1"/>
  <c r="J26" i="6" a="1"/>
  <c r="J26" i="6" s="1"/>
  <c r="J25" i="6" a="1"/>
  <c r="J25" i="6" s="1"/>
  <c r="J24" i="6"/>
  <c r="J24" i="6" a="1"/>
  <c r="J23" i="6" a="1"/>
  <c r="J23" i="6" s="1"/>
  <c r="K22" i="6"/>
  <c r="J22" i="6"/>
  <c r="I22" i="6" s="1" a="1"/>
  <c r="I22" i="6" s="1"/>
  <c r="J22" i="6" a="1"/>
  <c r="J21" i="6"/>
  <c r="J21" i="6" a="1"/>
  <c r="J20" i="6" a="1"/>
  <c r="J20" i="6" s="1"/>
  <c r="J19" i="6"/>
  <c r="J19" i="6" a="1"/>
  <c r="J18" i="6" a="1"/>
  <c r="J18" i="6" s="1"/>
  <c r="K17" i="6"/>
  <c r="J17" i="6" a="1"/>
  <c r="J17" i="6" s="1"/>
  <c r="I17" i="6" s="1" a="1"/>
  <c r="I17" i="6" s="1"/>
  <c r="J16" i="6" a="1"/>
  <c r="J16" i="6" s="1"/>
  <c r="J15" i="6"/>
  <c r="J15" i="6" a="1"/>
  <c r="J14" i="6" a="1"/>
  <c r="J14" i="6" s="1"/>
  <c r="J13" i="6" a="1"/>
  <c r="J13" i="6" s="1"/>
  <c r="K12" i="6"/>
  <c r="J12" i="6" a="1"/>
  <c r="J12" i="6" s="1"/>
  <c r="I12" i="6" s="1" a="1"/>
  <c r="I12" i="6" s="1"/>
  <c r="K7" i="6"/>
  <c r="H1456" i="6"/>
  <c r="H1455" i="6"/>
  <c r="H1454" i="6"/>
  <c r="H1453" i="6"/>
  <c r="H1452" i="6"/>
  <c r="H1451" i="6"/>
  <c r="H1450" i="6"/>
  <c r="H1449" i="6"/>
  <c r="H1448" i="6"/>
  <c r="H1447" i="6"/>
  <c r="H1446" i="6"/>
  <c r="H1445" i="6"/>
  <c r="H1444" i="6"/>
  <c r="H1443" i="6"/>
  <c r="H1442" i="6"/>
  <c r="H1441" i="6"/>
  <c r="H1440" i="6"/>
  <c r="H1439" i="6"/>
  <c r="H1438" i="6"/>
  <c r="H1437" i="6"/>
  <c r="H1436" i="6"/>
  <c r="H1435" i="6"/>
  <c r="H1434" i="6"/>
  <c r="H1433" i="6"/>
  <c r="H1432" i="6"/>
  <c r="H1431" i="6"/>
  <c r="H1430" i="6"/>
  <c r="H1429" i="6"/>
  <c r="H1428" i="6"/>
  <c r="H1427" i="6"/>
  <c r="H1426" i="6"/>
  <c r="H1425" i="6"/>
  <c r="H1424" i="6"/>
  <c r="H1423" i="6"/>
  <c r="H1422" i="6"/>
  <c r="H1421" i="6"/>
  <c r="H1420" i="6"/>
  <c r="H1419" i="6"/>
  <c r="H1418" i="6"/>
  <c r="H1417" i="6"/>
  <c r="H1416" i="6"/>
  <c r="H1415" i="6"/>
  <c r="H1414" i="6"/>
  <c r="H1413" i="6"/>
  <c r="H1412" i="6"/>
  <c r="H1411" i="6"/>
  <c r="H1410" i="6"/>
  <c r="H1409" i="6"/>
  <c r="H1408" i="6"/>
  <c r="H1407" i="6"/>
  <c r="H1406" i="6"/>
  <c r="H1405" i="6"/>
  <c r="H1404" i="6"/>
  <c r="H1403" i="6"/>
  <c r="H1402" i="6"/>
  <c r="H1401" i="6"/>
  <c r="H1400" i="6"/>
  <c r="H1399" i="6"/>
  <c r="H1398" i="6"/>
  <c r="H1397" i="6"/>
  <c r="H1396" i="6"/>
  <c r="H1395" i="6"/>
  <c r="H1394" i="6"/>
  <c r="H1393" i="6"/>
  <c r="H1392" i="6"/>
  <c r="H1391" i="6"/>
  <c r="H1390" i="6"/>
  <c r="H1389" i="6"/>
  <c r="H1388" i="6"/>
  <c r="H1387" i="6"/>
  <c r="H1386" i="6"/>
  <c r="H1385" i="6"/>
  <c r="H1384" i="6"/>
  <c r="H1383" i="6"/>
  <c r="H1382" i="6"/>
  <c r="H1381" i="6"/>
  <c r="H1380" i="6"/>
  <c r="H1379" i="6"/>
  <c r="H1378" i="6"/>
  <c r="H1377" i="6"/>
  <c r="H1376" i="6"/>
  <c r="H1375" i="6"/>
  <c r="H1374" i="6"/>
  <c r="H1373" i="6"/>
  <c r="H1372" i="6"/>
  <c r="H1371" i="6"/>
  <c r="H1370" i="6"/>
  <c r="H1369" i="6"/>
  <c r="H1368" i="6"/>
  <c r="H1367" i="6"/>
  <c r="H1366" i="6"/>
  <c r="H1365" i="6"/>
  <c r="H1364" i="6"/>
  <c r="H1363" i="6"/>
  <c r="H1362" i="6"/>
  <c r="H1361" i="6"/>
  <c r="H1360" i="6"/>
  <c r="H1359" i="6"/>
  <c r="H1358" i="6"/>
  <c r="H1357" i="6"/>
  <c r="H1356" i="6"/>
  <c r="H1355" i="6"/>
  <c r="H1354" i="6"/>
  <c r="H1353" i="6"/>
  <c r="H1352" i="6"/>
  <c r="H1351" i="6"/>
  <c r="H1350" i="6"/>
  <c r="H1349" i="6"/>
  <c r="H1348" i="6"/>
  <c r="H1347" i="6"/>
  <c r="H1346" i="6"/>
  <c r="H1345" i="6"/>
  <c r="H1344" i="6"/>
  <c r="H1343" i="6"/>
  <c r="H1342" i="6"/>
  <c r="H1341" i="6"/>
  <c r="H1340" i="6"/>
  <c r="H1339" i="6"/>
  <c r="H1338" i="6"/>
  <c r="H1337" i="6"/>
  <c r="H1336" i="6"/>
  <c r="H1335" i="6"/>
  <c r="H1334" i="6"/>
  <c r="H1333" i="6"/>
  <c r="H1332" i="6"/>
  <c r="H1331" i="6"/>
  <c r="H1330" i="6"/>
  <c r="H1329" i="6"/>
  <c r="H1328" i="6"/>
  <c r="H1327" i="6"/>
  <c r="H1326" i="6"/>
  <c r="H1325" i="6"/>
  <c r="H1324" i="6"/>
  <c r="H1323" i="6"/>
  <c r="H1322" i="6"/>
  <c r="H1321" i="6"/>
  <c r="H1320" i="6"/>
  <c r="H1319" i="6"/>
  <c r="H1318" i="6"/>
  <c r="H1317" i="6"/>
  <c r="H1316" i="6"/>
  <c r="H1315" i="6"/>
  <c r="H1314" i="6"/>
  <c r="H1313" i="6"/>
  <c r="H1312" i="6"/>
  <c r="H1311" i="6"/>
  <c r="H1310" i="6"/>
  <c r="H1309" i="6"/>
  <c r="H1308" i="6"/>
  <c r="H1307" i="6"/>
  <c r="H1306" i="6"/>
  <c r="H1305" i="6"/>
  <c r="H1304" i="6"/>
  <c r="H1303" i="6"/>
  <c r="H1302" i="6"/>
  <c r="H1301" i="6"/>
  <c r="H1300" i="6"/>
  <c r="H1299" i="6"/>
  <c r="H1298" i="6"/>
  <c r="H1297" i="6"/>
  <c r="H1296" i="6"/>
  <c r="H1295" i="6"/>
  <c r="H1294" i="6"/>
  <c r="H1293" i="6"/>
  <c r="H1292" i="6"/>
  <c r="H1291" i="6"/>
  <c r="H1290" i="6"/>
  <c r="H1289" i="6"/>
  <c r="H1288" i="6"/>
  <c r="H1287" i="6"/>
  <c r="H1286" i="6"/>
  <c r="H1285" i="6"/>
  <c r="H1284" i="6"/>
  <c r="H1283" i="6"/>
  <c r="H1282" i="6"/>
  <c r="H1281" i="6"/>
  <c r="H1280" i="6"/>
  <c r="H1279" i="6"/>
  <c r="H1278" i="6"/>
  <c r="H1277" i="6"/>
  <c r="H1276" i="6"/>
  <c r="H1275" i="6"/>
  <c r="H1274" i="6"/>
  <c r="H1273" i="6"/>
  <c r="H1272" i="6"/>
  <c r="H1271" i="6"/>
  <c r="H1270" i="6"/>
  <c r="H1269" i="6"/>
  <c r="H1268" i="6"/>
  <c r="H1267" i="6"/>
  <c r="H1266" i="6"/>
  <c r="H1265" i="6"/>
  <c r="H1264" i="6"/>
  <c r="H1263" i="6"/>
  <c r="H1262" i="6"/>
  <c r="H1261" i="6"/>
  <c r="H1260" i="6"/>
  <c r="H1259" i="6"/>
  <c r="H1258" i="6"/>
  <c r="H1257" i="6"/>
  <c r="H1256" i="6"/>
  <c r="H1255" i="6"/>
  <c r="H1254" i="6"/>
  <c r="H1253" i="6"/>
  <c r="H1252" i="6"/>
  <c r="H1251" i="6"/>
  <c r="H1250" i="6"/>
  <c r="H1249" i="6"/>
  <c r="H1248" i="6"/>
  <c r="H1247" i="6"/>
  <c r="H1246" i="6"/>
  <c r="H1245" i="6"/>
  <c r="H1244" i="6"/>
  <c r="H1243" i="6"/>
  <c r="H1242" i="6"/>
  <c r="H1241" i="6"/>
  <c r="H1240" i="6"/>
  <c r="H1239" i="6"/>
  <c r="H1238" i="6"/>
  <c r="H1237" i="6"/>
  <c r="H1236" i="6"/>
  <c r="H1235" i="6"/>
  <c r="H1234" i="6"/>
  <c r="H1233" i="6"/>
  <c r="H1232" i="6"/>
  <c r="H1231" i="6"/>
  <c r="H1230" i="6"/>
  <c r="H1229" i="6"/>
  <c r="H1228" i="6"/>
  <c r="H1227" i="6"/>
  <c r="H1226" i="6"/>
  <c r="H1225" i="6"/>
  <c r="H1224" i="6"/>
  <c r="H1223" i="6"/>
  <c r="H1222" i="6"/>
  <c r="H1221" i="6"/>
  <c r="H1220" i="6"/>
  <c r="H1219" i="6"/>
  <c r="H1218" i="6"/>
  <c r="H1217" i="6"/>
  <c r="H1216" i="6"/>
  <c r="H1215" i="6"/>
  <c r="H1214" i="6"/>
  <c r="H1213" i="6"/>
  <c r="H1212" i="6"/>
  <c r="H1211" i="6"/>
  <c r="H1210" i="6"/>
  <c r="H1209" i="6"/>
  <c r="H1208" i="6"/>
  <c r="H1207" i="6"/>
  <c r="H1206" i="6"/>
  <c r="H1205" i="6"/>
  <c r="H1204" i="6"/>
  <c r="H1203" i="6"/>
  <c r="H1202" i="6"/>
  <c r="H1201" i="6"/>
  <c r="H1200" i="6"/>
  <c r="H1199" i="6"/>
  <c r="H1198" i="6"/>
  <c r="H1197" i="6"/>
  <c r="H1196" i="6"/>
  <c r="H1195" i="6"/>
  <c r="H1194" i="6"/>
  <c r="H1193" i="6"/>
  <c r="H1192" i="6"/>
  <c r="H1191" i="6"/>
  <c r="H1190" i="6"/>
  <c r="H1189" i="6"/>
  <c r="H1188" i="6"/>
  <c r="H1187" i="6"/>
  <c r="H1186" i="6"/>
  <c r="H1185" i="6"/>
  <c r="H1184" i="6"/>
  <c r="H1183" i="6"/>
  <c r="H1182" i="6"/>
  <c r="H1181" i="6"/>
  <c r="H1180" i="6"/>
  <c r="H1179" i="6"/>
  <c r="H1178" i="6"/>
  <c r="H1177" i="6"/>
  <c r="H1176" i="6"/>
  <c r="H1175" i="6"/>
  <c r="H1174" i="6"/>
  <c r="H1173" i="6"/>
  <c r="H1172" i="6"/>
  <c r="H1171" i="6"/>
  <c r="H1170" i="6"/>
  <c r="H1169" i="6"/>
  <c r="H1168" i="6"/>
  <c r="H1167" i="6"/>
  <c r="H1166" i="6"/>
  <c r="H1165" i="6"/>
  <c r="H1164" i="6"/>
  <c r="H1163" i="6"/>
  <c r="H1162" i="6"/>
  <c r="H1161" i="6"/>
  <c r="H1160" i="6"/>
  <c r="H1159" i="6"/>
  <c r="H1158" i="6"/>
  <c r="H1157" i="6"/>
  <c r="H1156" i="6"/>
  <c r="H1155" i="6"/>
  <c r="H1154" i="6"/>
  <c r="H1153" i="6"/>
  <c r="H1152" i="6"/>
  <c r="H1151" i="6"/>
  <c r="H1150" i="6"/>
  <c r="H1149" i="6"/>
  <c r="H1148" i="6"/>
  <c r="H1147" i="6"/>
  <c r="H1146" i="6"/>
  <c r="H1145" i="6"/>
  <c r="H1144" i="6"/>
  <c r="H1143" i="6"/>
  <c r="H1142" i="6"/>
  <c r="H1141" i="6"/>
  <c r="H1140" i="6"/>
  <c r="H1139" i="6"/>
  <c r="H1138" i="6"/>
  <c r="H1137" i="6"/>
  <c r="H1136" i="6"/>
  <c r="H1135" i="6"/>
  <c r="H1134" i="6"/>
  <c r="H1133" i="6"/>
  <c r="H1132" i="6"/>
  <c r="H1131" i="6"/>
  <c r="H1130" i="6"/>
  <c r="H1129" i="6"/>
  <c r="H1128" i="6"/>
  <c r="H1127" i="6"/>
  <c r="H1126" i="6"/>
  <c r="H1125" i="6"/>
  <c r="H1124" i="6"/>
  <c r="H1123" i="6"/>
  <c r="H1122" i="6"/>
  <c r="H1121" i="6"/>
  <c r="H1120" i="6"/>
  <c r="H1119" i="6"/>
  <c r="H1118" i="6"/>
  <c r="H1117" i="6"/>
  <c r="H1116" i="6"/>
  <c r="H1115" i="6"/>
  <c r="H1114" i="6"/>
  <c r="H1113" i="6"/>
  <c r="H1112" i="6"/>
  <c r="H1111" i="6"/>
  <c r="H1110" i="6"/>
  <c r="H1109" i="6"/>
  <c r="H1108" i="6"/>
  <c r="H1107" i="6"/>
  <c r="H1106" i="6"/>
  <c r="H1105" i="6"/>
  <c r="H1104" i="6"/>
  <c r="H1103" i="6"/>
  <c r="H1102" i="6"/>
  <c r="H1101" i="6"/>
  <c r="H1100" i="6"/>
  <c r="H1099" i="6"/>
  <c r="H1098" i="6"/>
  <c r="H1097" i="6"/>
  <c r="H1096" i="6"/>
  <c r="H1095" i="6"/>
  <c r="H1094" i="6"/>
  <c r="H1093" i="6"/>
  <c r="H1092" i="6"/>
  <c r="H1091" i="6"/>
  <c r="H1090" i="6"/>
  <c r="H1089" i="6"/>
  <c r="H1088" i="6"/>
  <c r="H1087" i="6"/>
  <c r="H1086" i="6"/>
  <c r="H1085" i="6"/>
  <c r="H1084" i="6"/>
  <c r="H1083" i="6"/>
  <c r="H1082" i="6"/>
  <c r="H1081" i="6"/>
  <c r="H1080" i="6"/>
  <c r="H1079" i="6"/>
  <c r="H1078" i="6"/>
  <c r="H1077" i="6"/>
  <c r="H1076" i="6"/>
  <c r="H1075" i="6"/>
  <c r="H1074" i="6"/>
  <c r="H1073" i="6"/>
  <c r="H1072" i="6"/>
  <c r="H1071" i="6"/>
  <c r="H1070" i="6"/>
  <c r="H1069" i="6"/>
  <c r="H1068" i="6"/>
  <c r="H1067" i="6"/>
  <c r="H1066" i="6"/>
  <c r="H1065" i="6"/>
  <c r="H1064" i="6"/>
  <c r="H1063" i="6"/>
  <c r="H1062" i="6"/>
  <c r="H1061" i="6"/>
  <c r="H1060" i="6"/>
  <c r="H1059" i="6"/>
  <c r="H1058" i="6"/>
  <c r="H1057" i="6"/>
  <c r="H1056" i="6"/>
  <c r="H1055" i="6"/>
  <c r="H1054" i="6"/>
  <c r="H1053" i="6"/>
  <c r="H1052" i="6"/>
  <c r="H1051" i="6"/>
  <c r="H1050" i="6"/>
  <c r="H1049" i="6"/>
  <c r="H1048" i="6"/>
  <c r="H1047" i="6"/>
  <c r="H1046" i="6"/>
  <c r="H1045" i="6"/>
  <c r="H1044" i="6"/>
  <c r="H1043" i="6"/>
  <c r="H1042" i="6"/>
  <c r="H1041" i="6"/>
  <c r="H1040" i="6"/>
  <c r="H1039" i="6"/>
  <c r="H1038" i="6"/>
  <c r="H1037" i="6"/>
  <c r="H1036" i="6"/>
  <c r="H1035" i="6"/>
  <c r="H1034" i="6"/>
  <c r="H1033" i="6"/>
  <c r="H1032" i="6"/>
  <c r="H1031" i="6"/>
  <c r="H1030" i="6"/>
  <c r="H1029" i="6"/>
  <c r="H1028" i="6"/>
  <c r="H1027" i="6"/>
  <c r="H1026" i="6"/>
  <c r="H1025" i="6"/>
  <c r="H1024" i="6"/>
  <c r="H1023" i="6"/>
  <c r="H1022" i="6"/>
  <c r="H1021" i="6"/>
  <c r="H1020" i="6"/>
  <c r="H1019" i="6"/>
  <c r="H1018" i="6"/>
  <c r="H1017" i="6"/>
  <c r="H1016" i="6"/>
  <c r="H1015" i="6"/>
  <c r="H1014" i="6"/>
  <c r="H1013" i="6"/>
  <c r="H1012" i="6"/>
  <c r="H1011" i="6"/>
  <c r="H1010" i="6"/>
  <c r="H1009" i="6"/>
  <c r="H1008" i="6"/>
  <c r="H1007" i="6"/>
  <c r="H1006" i="6"/>
  <c r="H1005" i="6"/>
  <c r="H1004" i="6"/>
  <c r="H1003" i="6"/>
  <c r="H1002" i="6"/>
  <c r="H1001" i="6"/>
  <c r="H1000" i="6"/>
  <c r="H999" i="6"/>
  <c r="H998" i="6"/>
  <c r="H997" i="6"/>
  <c r="H996" i="6"/>
  <c r="H995" i="6"/>
  <c r="H994" i="6"/>
  <c r="H993" i="6"/>
  <c r="H992" i="6"/>
  <c r="H991" i="6"/>
  <c r="H990" i="6"/>
  <c r="H989" i="6"/>
  <c r="H988" i="6"/>
  <c r="H987" i="6"/>
  <c r="H986" i="6"/>
  <c r="H985" i="6"/>
  <c r="H984" i="6"/>
  <c r="H983" i="6"/>
  <c r="H982" i="6"/>
  <c r="H981" i="6"/>
  <c r="H980" i="6"/>
  <c r="H979" i="6"/>
  <c r="H978" i="6"/>
  <c r="H977" i="6"/>
  <c r="H976" i="6"/>
  <c r="H975" i="6"/>
  <c r="H974" i="6"/>
  <c r="H973" i="6"/>
  <c r="H972" i="6"/>
  <c r="H971" i="6"/>
  <c r="H970" i="6"/>
  <c r="H969" i="6"/>
  <c r="H968" i="6"/>
  <c r="H967" i="6"/>
  <c r="H966" i="6"/>
  <c r="H965" i="6"/>
  <c r="H964" i="6"/>
  <c r="H963" i="6"/>
  <c r="H962" i="6"/>
  <c r="H961" i="6"/>
  <c r="H960" i="6"/>
  <c r="H959" i="6"/>
  <c r="H958" i="6"/>
  <c r="H957" i="6"/>
  <c r="H956" i="6"/>
  <c r="H955" i="6"/>
  <c r="H954" i="6"/>
  <c r="H953" i="6"/>
  <c r="H952" i="6"/>
  <c r="H951" i="6"/>
  <c r="H950" i="6"/>
  <c r="H949" i="6"/>
  <c r="H948" i="6"/>
  <c r="H947" i="6"/>
  <c r="H946" i="6"/>
  <c r="H945" i="6"/>
  <c r="H944" i="6"/>
  <c r="H943" i="6"/>
  <c r="H942" i="6"/>
  <c r="H941" i="6"/>
  <c r="H940" i="6"/>
  <c r="H939" i="6"/>
  <c r="H938" i="6"/>
  <c r="H937" i="6"/>
  <c r="H936" i="6"/>
  <c r="H935" i="6"/>
  <c r="H934" i="6"/>
  <c r="H933" i="6"/>
  <c r="H932" i="6"/>
  <c r="H931" i="6"/>
  <c r="H930" i="6"/>
  <c r="H929" i="6"/>
  <c r="H928" i="6"/>
  <c r="H927" i="6"/>
  <c r="H926" i="6"/>
  <c r="H925" i="6"/>
  <c r="H924" i="6"/>
  <c r="H923" i="6"/>
  <c r="H922" i="6"/>
  <c r="H921" i="6"/>
  <c r="H920" i="6"/>
  <c r="H919" i="6"/>
  <c r="H918" i="6"/>
  <c r="H917" i="6"/>
  <c r="H916" i="6"/>
  <c r="H915" i="6"/>
  <c r="H914" i="6"/>
  <c r="H913" i="6"/>
  <c r="H912" i="6"/>
  <c r="H911" i="6"/>
  <c r="H910" i="6"/>
  <c r="H909" i="6"/>
  <c r="H908" i="6"/>
  <c r="H907" i="6"/>
  <c r="H906" i="6"/>
  <c r="H905" i="6"/>
  <c r="H904" i="6"/>
  <c r="H903" i="6"/>
  <c r="H902" i="6"/>
  <c r="H901" i="6"/>
  <c r="H900" i="6"/>
  <c r="H899" i="6"/>
  <c r="H898" i="6"/>
  <c r="H897" i="6"/>
  <c r="H896" i="6"/>
  <c r="H895" i="6"/>
  <c r="H894" i="6"/>
  <c r="H893" i="6"/>
  <c r="H892" i="6"/>
  <c r="H891" i="6"/>
  <c r="H890" i="6"/>
  <c r="H889" i="6"/>
  <c r="H888" i="6"/>
  <c r="H887" i="6"/>
  <c r="H886" i="6"/>
  <c r="H885" i="6"/>
  <c r="H884" i="6"/>
  <c r="H883" i="6"/>
  <c r="H882" i="6"/>
  <c r="H881" i="6"/>
  <c r="H880" i="6"/>
  <c r="H879" i="6"/>
  <c r="H878" i="6"/>
  <c r="H877" i="6"/>
  <c r="H876" i="6"/>
  <c r="H875" i="6"/>
  <c r="H874" i="6"/>
  <c r="H873" i="6"/>
  <c r="H872" i="6"/>
  <c r="H871" i="6"/>
  <c r="H870" i="6"/>
  <c r="H869" i="6"/>
  <c r="H868" i="6"/>
  <c r="H867" i="6"/>
  <c r="H866" i="6"/>
  <c r="H865" i="6"/>
  <c r="H864" i="6"/>
  <c r="H863" i="6"/>
  <c r="H862" i="6"/>
  <c r="H861" i="6"/>
  <c r="H860" i="6"/>
  <c r="H859" i="6"/>
  <c r="H858" i="6"/>
  <c r="H857" i="6"/>
  <c r="H856" i="6"/>
  <c r="H855" i="6"/>
  <c r="H854" i="6"/>
  <c r="H853" i="6"/>
  <c r="H852" i="6"/>
  <c r="H851" i="6"/>
  <c r="H850" i="6"/>
  <c r="H849" i="6"/>
  <c r="H848" i="6"/>
  <c r="H847" i="6"/>
  <c r="H846" i="6"/>
  <c r="H845" i="6"/>
  <c r="H844" i="6"/>
  <c r="H843" i="6"/>
  <c r="H842" i="6"/>
  <c r="H841" i="6"/>
  <c r="H840" i="6"/>
  <c r="H839" i="6"/>
  <c r="H838" i="6"/>
  <c r="H837" i="6"/>
  <c r="H836" i="6"/>
  <c r="H835" i="6"/>
  <c r="H834" i="6"/>
  <c r="H833" i="6"/>
  <c r="H832" i="6"/>
  <c r="H831" i="6"/>
  <c r="H830" i="6"/>
  <c r="H829" i="6"/>
  <c r="H828" i="6"/>
  <c r="H827" i="6"/>
  <c r="H826" i="6"/>
  <c r="H825" i="6"/>
  <c r="H824" i="6"/>
  <c r="H823" i="6"/>
  <c r="H822" i="6"/>
  <c r="H821" i="6"/>
  <c r="H820" i="6"/>
  <c r="H819" i="6"/>
  <c r="H818" i="6"/>
  <c r="H817" i="6"/>
  <c r="H816" i="6"/>
  <c r="H815" i="6"/>
  <c r="H814" i="6"/>
  <c r="H813" i="6"/>
  <c r="H812" i="6"/>
  <c r="H811" i="6"/>
  <c r="H810" i="6"/>
  <c r="H809" i="6"/>
  <c r="H808" i="6"/>
  <c r="H807" i="6"/>
  <c r="H806" i="6"/>
  <c r="H805" i="6"/>
  <c r="H804" i="6"/>
  <c r="H803" i="6"/>
  <c r="H802" i="6"/>
  <c r="H801" i="6"/>
  <c r="H800" i="6"/>
  <c r="H799" i="6"/>
  <c r="H798" i="6"/>
  <c r="H797" i="6"/>
  <c r="H796" i="6"/>
  <c r="H795" i="6"/>
  <c r="H794" i="6"/>
  <c r="H793" i="6"/>
  <c r="H792" i="6"/>
  <c r="H791" i="6"/>
  <c r="H790" i="6"/>
  <c r="H789" i="6"/>
  <c r="H788" i="6"/>
  <c r="H787" i="6"/>
  <c r="H786" i="6"/>
  <c r="H785" i="6"/>
  <c r="H784" i="6"/>
  <c r="H783" i="6"/>
  <c r="H782" i="6"/>
  <c r="H781" i="6"/>
  <c r="H780" i="6"/>
  <c r="H779" i="6"/>
  <c r="H778" i="6"/>
  <c r="H777" i="6"/>
  <c r="H776" i="6"/>
  <c r="H775" i="6"/>
  <c r="H774" i="6"/>
  <c r="H773" i="6"/>
  <c r="H772" i="6"/>
  <c r="H771" i="6"/>
  <c r="H770" i="6"/>
  <c r="H769" i="6"/>
  <c r="H768" i="6"/>
  <c r="H767" i="6"/>
  <c r="H766" i="6"/>
  <c r="H765" i="6"/>
  <c r="H764" i="6"/>
  <c r="H763" i="6"/>
  <c r="H762" i="6"/>
  <c r="H761" i="6"/>
  <c r="H760" i="6"/>
  <c r="H759" i="6"/>
  <c r="H758" i="6"/>
  <c r="H757" i="6"/>
  <c r="H756" i="6"/>
  <c r="H755" i="6"/>
  <c r="H754" i="6"/>
  <c r="H753" i="6"/>
  <c r="H752" i="6"/>
  <c r="H751" i="6"/>
  <c r="H750" i="6"/>
  <c r="H749" i="6"/>
  <c r="H748" i="6"/>
  <c r="H747" i="6"/>
  <c r="H746" i="6"/>
  <c r="H745" i="6"/>
  <c r="H744" i="6"/>
  <c r="H743" i="6"/>
  <c r="H742" i="6"/>
  <c r="H741" i="6"/>
  <c r="H740" i="6"/>
  <c r="H739" i="6"/>
  <c r="H738" i="6"/>
  <c r="H737" i="6"/>
  <c r="H736" i="6"/>
  <c r="H735" i="6"/>
  <c r="H734" i="6"/>
  <c r="H733" i="6"/>
  <c r="H732" i="6"/>
  <c r="H731" i="6"/>
  <c r="H730" i="6"/>
  <c r="H729" i="6"/>
  <c r="H728" i="6"/>
  <c r="H727" i="6"/>
  <c r="H726" i="6"/>
  <c r="H725" i="6"/>
  <c r="H724" i="6"/>
  <c r="H723" i="6"/>
  <c r="H722" i="6"/>
  <c r="H721" i="6"/>
  <c r="H720" i="6"/>
  <c r="H719" i="6"/>
  <c r="H718" i="6"/>
  <c r="H717" i="6"/>
  <c r="H716" i="6"/>
  <c r="H715" i="6"/>
  <c r="H714" i="6"/>
  <c r="H713" i="6"/>
  <c r="H712" i="6"/>
  <c r="H711" i="6"/>
  <c r="H710" i="6"/>
  <c r="H709" i="6"/>
  <c r="H708" i="6"/>
  <c r="H707" i="6"/>
  <c r="H706" i="6"/>
  <c r="H705" i="6"/>
  <c r="H704" i="6"/>
  <c r="H703" i="6"/>
  <c r="H702" i="6"/>
  <c r="H701" i="6"/>
  <c r="H700" i="6"/>
  <c r="H699" i="6"/>
  <c r="H698" i="6"/>
  <c r="H697" i="6"/>
  <c r="H696" i="6"/>
  <c r="H695" i="6"/>
  <c r="H694" i="6"/>
  <c r="H693" i="6"/>
  <c r="H692" i="6"/>
  <c r="H691" i="6"/>
  <c r="H690" i="6"/>
  <c r="H689" i="6"/>
  <c r="H688" i="6"/>
  <c r="H687" i="6"/>
  <c r="H686" i="6"/>
  <c r="H685" i="6"/>
  <c r="H684" i="6"/>
  <c r="H683" i="6"/>
  <c r="H682" i="6"/>
  <c r="H681" i="6"/>
  <c r="H680" i="6"/>
  <c r="H679" i="6"/>
  <c r="H678" i="6"/>
  <c r="H677" i="6"/>
  <c r="H676" i="6"/>
  <c r="H675" i="6"/>
  <c r="H674" i="6"/>
  <c r="H673" i="6"/>
  <c r="H672" i="6"/>
  <c r="H671" i="6"/>
  <c r="H670" i="6"/>
  <c r="H669" i="6"/>
  <c r="H668" i="6"/>
  <c r="H667" i="6"/>
  <c r="H666" i="6"/>
  <c r="H665" i="6"/>
  <c r="H664" i="6"/>
  <c r="H663" i="6"/>
  <c r="H662" i="6"/>
  <c r="H661" i="6"/>
  <c r="H660" i="6"/>
  <c r="H659" i="6"/>
  <c r="H658" i="6"/>
  <c r="H657" i="6"/>
  <c r="H656" i="6"/>
  <c r="H655" i="6"/>
  <c r="H654" i="6"/>
  <c r="H653" i="6"/>
  <c r="H652" i="6"/>
  <c r="H651" i="6"/>
  <c r="H650" i="6"/>
  <c r="H649" i="6"/>
  <c r="H648" i="6"/>
  <c r="H647" i="6"/>
  <c r="H646" i="6"/>
  <c r="H645" i="6"/>
  <c r="H644" i="6"/>
  <c r="H643" i="6"/>
  <c r="H642" i="6"/>
  <c r="H641" i="6"/>
  <c r="H640" i="6"/>
  <c r="H639" i="6"/>
  <c r="H638" i="6"/>
  <c r="H637" i="6"/>
  <c r="H636" i="6"/>
  <c r="H635" i="6"/>
  <c r="H634" i="6"/>
  <c r="H633" i="6"/>
  <c r="H632" i="6"/>
  <c r="H631" i="6"/>
  <c r="H630" i="6"/>
  <c r="H629" i="6"/>
  <c r="H628" i="6"/>
  <c r="H627" i="6"/>
  <c r="H626" i="6"/>
  <c r="H625" i="6"/>
  <c r="H624" i="6"/>
  <c r="H623" i="6"/>
  <c r="H622" i="6"/>
  <c r="H621" i="6"/>
  <c r="H620" i="6"/>
  <c r="H619" i="6"/>
  <c r="H618" i="6"/>
  <c r="H617" i="6"/>
  <c r="H616" i="6"/>
  <c r="H615" i="6"/>
  <c r="H614" i="6"/>
  <c r="H613" i="6"/>
  <c r="H612" i="6"/>
  <c r="H611" i="6"/>
  <c r="H610" i="6"/>
  <c r="H609" i="6"/>
  <c r="H608" i="6"/>
  <c r="H607" i="6"/>
  <c r="H606" i="6"/>
  <c r="H605" i="6"/>
  <c r="H604" i="6"/>
  <c r="H603" i="6"/>
  <c r="H602" i="6"/>
  <c r="H601" i="6"/>
  <c r="H600" i="6"/>
  <c r="H599" i="6"/>
  <c r="H598" i="6"/>
  <c r="H597" i="6"/>
  <c r="H596" i="6"/>
  <c r="H595" i="6"/>
  <c r="H594" i="6"/>
  <c r="H593" i="6"/>
  <c r="H592" i="6"/>
  <c r="H591" i="6"/>
  <c r="H590" i="6"/>
  <c r="H589" i="6"/>
  <c r="H588" i="6"/>
  <c r="H587" i="6"/>
  <c r="H586" i="6"/>
  <c r="H585" i="6"/>
  <c r="H584" i="6"/>
  <c r="H583" i="6"/>
  <c r="H582" i="6"/>
  <c r="H581" i="6"/>
  <c r="H580" i="6"/>
  <c r="H579" i="6"/>
  <c r="H578" i="6"/>
  <c r="H577" i="6"/>
  <c r="H576" i="6"/>
  <c r="H575" i="6"/>
  <c r="H574" i="6"/>
  <c r="H573" i="6"/>
  <c r="H572" i="6"/>
  <c r="H571" i="6"/>
  <c r="H570" i="6"/>
  <c r="H569" i="6"/>
  <c r="H568" i="6"/>
  <c r="H567" i="6"/>
  <c r="H566" i="6"/>
  <c r="H565" i="6"/>
  <c r="H564" i="6"/>
  <c r="H563" i="6"/>
  <c r="H562" i="6"/>
  <c r="H561" i="6"/>
  <c r="H560" i="6"/>
  <c r="H559" i="6"/>
  <c r="H558" i="6"/>
  <c r="H557" i="6"/>
  <c r="H556" i="6"/>
  <c r="H555" i="6"/>
  <c r="H554" i="6"/>
  <c r="H553" i="6"/>
  <c r="H552" i="6"/>
  <c r="H551" i="6"/>
  <c r="H550" i="6"/>
  <c r="H549" i="6"/>
  <c r="H548" i="6"/>
  <c r="H547" i="6"/>
  <c r="H546" i="6"/>
  <c r="H545" i="6"/>
  <c r="H544" i="6"/>
  <c r="H543" i="6"/>
  <c r="H542" i="6"/>
  <c r="H541" i="6"/>
  <c r="H540" i="6"/>
  <c r="H539" i="6"/>
  <c r="H538" i="6"/>
  <c r="H537" i="6"/>
  <c r="H536" i="6"/>
  <c r="H535" i="6"/>
  <c r="H534" i="6"/>
  <c r="H533" i="6"/>
  <c r="H532" i="6"/>
  <c r="H531" i="6"/>
  <c r="H530" i="6"/>
  <c r="H529" i="6"/>
  <c r="H528" i="6"/>
  <c r="H527" i="6"/>
  <c r="H526" i="6"/>
  <c r="H525" i="6"/>
  <c r="H524" i="6"/>
  <c r="H523" i="6"/>
  <c r="H522" i="6"/>
  <c r="H521" i="6"/>
  <c r="H520" i="6"/>
  <c r="H519" i="6"/>
  <c r="H518" i="6"/>
  <c r="H517" i="6"/>
  <c r="H516" i="6"/>
  <c r="H515" i="6"/>
  <c r="H514" i="6"/>
  <c r="H513" i="6"/>
  <c r="H512" i="6"/>
  <c r="H511" i="6"/>
  <c r="H510" i="6"/>
  <c r="H509" i="6"/>
  <c r="H508" i="6"/>
  <c r="H507" i="6"/>
  <c r="H506" i="6"/>
  <c r="H505" i="6"/>
  <c r="H504" i="6"/>
  <c r="H503" i="6"/>
  <c r="H502" i="6"/>
  <c r="H501" i="6"/>
  <c r="H500" i="6"/>
  <c r="H499" i="6"/>
  <c r="H498" i="6"/>
  <c r="H497" i="6"/>
  <c r="H496" i="6"/>
  <c r="H495" i="6"/>
  <c r="H494" i="6"/>
  <c r="H493" i="6"/>
  <c r="H492" i="6"/>
  <c r="H491" i="6"/>
  <c r="H490" i="6"/>
  <c r="H489" i="6"/>
  <c r="H488" i="6"/>
  <c r="H487" i="6"/>
  <c r="H486" i="6"/>
  <c r="H485" i="6"/>
  <c r="H484" i="6"/>
  <c r="H483" i="6"/>
  <c r="H482" i="6"/>
  <c r="H481" i="6"/>
  <c r="H480" i="6"/>
  <c r="H479" i="6"/>
  <c r="H478" i="6"/>
  <c r="H477" i="6"/>
  <c r="H476" i="6"/>
  <c r="H475" i="6"/>
  <c r="H474" i="6"/>
  <c r="H473" i="6"/>
  <c r="H472" i="6"/>
  <c r="H471" i="6"/>
  <c r="H470" i="6"/>
  <c r="H469" i="6"/>
  <c r="H468" i="6"/>
  <c r="H467" i="6"/>
  <c r="H466" i="6"/>
  <c r="H465" i="6"/>
  <c r="H464" i="6"/>
  <c r="H463" i="6"/>
  <c r="H462" i="6"/>
  <c r="H461" i="6"/>
  <c r="H460" i="6"/>
  <c r="H459" i="6"/>
  <c r="H458" i="6"/>
  <c r="H457" i="6"/>
  <c r="H456" i="6"/>
  <c r="H455" i="6"/>
  <c r="H454" i="6"/>
  <c r="H453" i="6"/>
  <c r="H452" i="6"/>
  <c r="H451" i="6"/>
  <c r="H450" i="6"/>
  <c r="H449" i="6"/>
  <c r="H448" i="6"/>
  <c r="H447" i="6"/>
  <c r="H446" i="6"/>
  <c r="H445" i="6"/>
  <c r="H444" i="6"/>
  <c r="H443" i="6"/>
  <c r="H442" i="6"/>
  <c r="H441" i="6"/>
  <c r="H440" i="6"/>
  <c r="H439" i="6"/>
  <c r="H438" i="6"/>
  <c r="H437" i="6"/>
  <c r="H436" i="6"/>
  <c r="H435" i="6"/>
  <c r="H434" i="6"/>
  <c r="H433" i="6"/>
  <c r="H432" i="6"/>
  <c r="H431" i="6"/>
  <c r="H430" i="6"/>
  <c r="H429" i="6"/>
  <c r="H428" i="6"/>
  <c r="H427" i="6"/>
  <c r="H426" i="6"/>
  <c r="H425" i="6"/>
  <c r="H424" i="6"/>
  <c r="H423" i="6"/>
  <c r="H422" i="6"/>
  <c r="H421" i="6"/>
  <c r="H420" i="6"/>
  <c r="H419" i="6"/>
  <c r="H418" i="6"/>
  <c r="H417" i="6"/>
  <c r="H416" i="6"/>
  <c r="H415" i="6"/>
  <c r="H414" i="6"/>
  <c r="H413" i="6"/>
  <c r="H412" i="6"/>
  <c r="H411" i="6"/>
  <c r="H410" i="6"/>
  <c r="H409" i="6"/>
  <c r="H408" i="6"/>
  <c r="H407" i="6"/>
  <c r="H406" i="6"/>
  <c r="H405" i="6"/>
  <c r="H404" i="6"/>
  <c r="H403" i="6"/>
  <c r="H402" i="6"/>
  <c r="H401" i="6"/>
  <c r="H400" i="6"/>
  <c r="H399" i="6"/>
  <c r="H398" i="6"/>
  <c r="H397" i="6"/>
  <c r="H396" i="6"/>
  <c r="H395" i="6"/>
  <c r="H394" i="6"/>
  <c r="H393" i="6"/>
  <c r="H392" i="6"/>
  <c r="H391" i="6"/>
  <c r="H390" i="6"/>
  <c r="H389" i="6"/>
  <c r="H388" i="6"/>
  <c r="H387" i="6"/>
  <c r="H386" i="6"/>
  <c r="H385" i="6"/>
  <c r="H384" i="6"/>
  <c r="H383" i="6"/>
  <c r="H382" i="6"/>
  <c r="H381" i="6"/>
  <c r="H380" i="6"/>
  <c r="H379" i="6"/>
  <c r="H378" i="6"/>
  <c r="H377" i="6"/>
  <c r="H376" i="6"/>
  <c r="H375" i="6"/>
  <c r="H374" i="6"/>
  <c r="H373" i="6"/>
  <c r="H372" i="6"/>
  <c r="H371" i="6"/>
  <c r="H370" i="6"/>
  <c r="H369" i="6"/>
  <c r="H368" i="6"/>
  <c r="H367" i="6"/>
  <c r="H366" i="6"/>
  <c r="H365" i="6"/>
  <c r="H364" i="6"/>
  <c r="H363" i="6"/>
  <c r="H362" i="6"/>
  <c r="H361" i="6"/>
  <c r="H360" i="6"/>
  <c r="H359" i="6"/>
  <c r="H358" i="6"/>
  <c r="H357" i="6"/>
  <c r="H356" i="6"/>
  <c r="H355" i="6"/>
  <c r="H354" i="6"/>
  <c r="H353" i="6"/>
  <c r="H352" i="6"/>
  <c r="H351" i="6"/>
  <c r="H350" i="6"/>
  <c r="H349" i="6"/>
  <c r="H348" i="6"/>
  <c r="H347" i="6"/>
  <c r="H346" i="6"/>
  <c r="H345" i="6"/>
  <c r="H344" i="6"/>
  <c r="H343" i="6"/>
  <c r="H342" i="6"/>
  <c r="H341" i="6"/>
  <c r="H340" i="6"/>
  <c r="H339" i="6"/>
  <c r="H338" i="6"/>
  <c r="H337" i="6"/>
  <c r="H336" i="6"/>
  <c r="H335" i="6"/>
  <c r="H334" i="6"/>
  <c r="H333" i="6"/>
  <c r="H332" i="6"/>
  <c r="H331" i="6"/>
  <c r="H330" i="6"/>
  <c r="H329" i="6"/>
  <c r="H328" i="6"/>
  <c r="H327" i="6"/>
  <c r="H326" i="6"/>
  <c r="H325" i="6"/>
  <c r="H324" i="6"/>
  <c r="H323" i="6"/>
  <c r="H322" i="6"/>
  <c r="H321" i="6"/>
  <c r="H320" i="6"/>
  <c r="H319" i="6"/>
  <c r="H318" i="6"/>
  <c r="H317" i="6"/>
  <c r="H316" i="6"/>
  <c r="H315" i="6"/>
  <c r="H314" i="6"/>
  <c r="H313" i="6"/>
  <c r="H312" i="6"/>
  <c r="H311" i="6"/>
  <c r="H310" i="6"/>
  <c r="H309" i="6"/>
  <c r="H308" i="6"/>
  <c r="H307" i="6"/>
  <c r="H306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C1453" i="6"/>
  <c r="C1454" i="6" s="1"/>
  <c r="C1455" i="6" s="1"/>
  <c r="C1456" i="6" s="1"/>
  <c r="B1453" i="6"/>
  <c r="B1454" i="6" s="1"/>
  <c r="B1455" i="6" s="1"/>
  <c r="B1456" i="6" s="1"/>
  <c r="C1448" i="6"/>
  <c r="C1449" i="6" s="1"/>
  <c r="C1450" i="6" s="1"/>
  <c r="C1451" i="6" s="1"/>
  <c r="B1448" i="6"/>
  <c r="B1449" i="6" s="1"/>
  <c r="B1450" i="6" s="1"/>
  <c r="B1451" i="6" s="1"/>
  <c r="B1444" i="6"/>
  <c r="B1445" i="6" s="1"/>
  <c r="B1446" i="6" s="1"/>
  <c r="C1443" i="6"/>
  <c r="C1444" i="6" s="1"/>
  <c r="C1445" i="6" s="1"/>
  <c r="C1446" i="6" s="1"/>
  <c r="B1443" i="6"/>
  <c r="C1438" i="6"/>
  <c r="C1439" i="6" s="1"/>
  <c r="C1440" i="6" s="1"/>
  <c r="C1441" i="6" s="1"/>
  <c r="B1438" i="6"/>
  <c r="B1439" i="6" s="1"/>
  <c r="B1440" i="6" s="1"/>
  <c r="B1441" i="6" s="1"/>
  <c r="C1436" i="6"/>
  <c r="B1436" i="6"/>
  <c r="C1435" i="6"/>
  <c r="B1434" i="6"/>
  <c r="B1435" i="6" s="1"/>
  <c r="C1433" i="6"/>
  <c r="C1434" i="6" s="1"/>
  <c r="B1433" i="6"/>
  <c r="C1431" i="6"/>
  <c r="B1431" i="6"/>
  <c r="C1430" i="6"/>
  <c r="B1429" i="6"/>
  <c r="B1430" i="6" s="1"/>
  <c r="C1428" i="6"/>
  <c r="C1429" i="6" s="1"/>
  <c r="B1428" i="6"/>
  <c r="C1425" i="6"/>
  <c r="C1426" i="6" s="1"/>
  <c r="B1424" i="6"/>
  <c r="B1425" i="6" s="1"/>
  <c r="B1426" i="6" s="1"/>
  <c r="C1423" i="6"/>
  <c r="C1424" i="6" s="1"/>
  <c r="B1423" i="6"/>
  <c r="C1418" i="6"/>
  <c r="C1419" i="6" s="1"/>
  <c r="C1420" i="6" s="1"/>
  <c r="C1421" i="6" s="1"/>
  <c r="B1418" i="6"/>
  <c r="B1419" i="6" s="1"/>
  <c r="B1420" i="6" s="1"/>
  <c r="B1421" i="6" s="1"/>
  <c r="C1416" i="6"/>
  <c r="B1416" i="6"/>
  <c r="C1415" i="6"/>
  <c r="B1414" i="6"/>
  <c r="B1415" i="6" s="1"/>
  <c r="C1413" i="6"/>
  <c r="C1414" i="6" s="1"/>
  <c r="B1413" i="6"/>
  <c r="C1411" i="6"/>
  <c r="B1411" i="6"/>
  <c r="C1410" i="6"/>
  <c r="B1409" i="6"/>
  <c r="B1410" i="6" s="1"/>
  <c r="C1408" i="6"/>
  <c r="C1409" i="6" s="1"/>
  <c r="B1408" i="6"/>
  <c r="C1405" i="6"/>
  <c r="C1406" i="6" s="1"/>
  <c r="C1403" i="6"/>
  <c r="C1404" i="6" s="1"/>
  <c r="B1403" i="6"/>
  <c r="B1404" i="6" s="1"/>
  <c r="B1405" i="6" s="1"/>
  <c r="B1406" i="6" s="1"/>
  <c r="C1398" i="6"/>
  <c r="C1399" i="6" s="1"/>
  <c r="C1400" i="6" s="1"/>
  <c r="C1401" i="6" s="1"/>
  <c r="B1398" i="6"/>
  <c r="B1399" i="6" s="1"/>
  <c r="B1400" i="6" s="1"/>
  <c r="B1401" i="6" s="1"/>
  <c r="C1396" i="6"/>
  <c r="B1396" i="6"/>
  <c r="C1395" i="6"/>
  <c r="B1394" i="6"/>
  <c r="B1395" i="6" s="1"/>
  <c r="C1393" i="6"/>
  <c r="C1394" i="6" s="1"/>
  <c r="B1393" i="6"/>
  <c r="C1391" i="6"/>
  <c r="C1390" i="6"/>
  <c r="B1389" i="6"/>
  <c r="B1390" i="6" s="1"/>
  <c r="B1391" i="6" s="1"/>
  <c r="C1388" i="6"/>
  <c r="C1389" i="6" s="1"/>
  <c r="B1388" i="6"/>
  <c r="C1385" i="6"/>
  <c r="C1386" i="6" s="1"/>
  <c r="B1384" i="6"/>
  <c r="B1385" i="6" s="1"/>
  <c r="B1386" i="6" s="1"/>
  <c r="C1383" i="6"/>
  <c r="C1384" i="6" s="1"/>
  <c r="B1383" i="6"/>
  <c r="C1378" i="6"/>
  <c r="C1379" i="6" s="1"/>
  <c r="C1380" i="6" s="1"/>
  <c r="C1381" i="6" s="1"/>
  <c r="B1378" i="6"/>
  <c r="B1379" i="6" s="1"/>
  <c r="B1380" i="6" s="1"/>
  <c r="B1381" i="6" s="1"/>
  <c r="B1376" i="6"/>
  <c r="B1374" i="6"/>
  <c r="B1375" i="6" s="1"/>
  <c r="C1373" i="6"/>
  <c r="C1374" i="6" s="1"/>
  <c r="C1375" i="6" s="1"/>
  <c r="C1376" i="6" s="1"/>
  <c r="B1373" i="6"/>
  <c r="B1371" i="6"/>
  <c r="C1370" i="6"/>
  <c r="C1371" i="6" s="1"/>
  <c r="B1369" i="6"/>
  <c r="B1370" i="6" s="1"/>
  <c r="C1368" i="6"/>
  <c r="C1369" i="6" s="1"/>
  <c r="B1368" i="6"/>
  <c r="C1365" i="6"/>
  <c r="C1366" i="6" s="1"/>
  <c r="C1363" i="6"/>
  <c r="C1364" i="6" s="1"/>
  <c r="B1363" i="6"/>
  <c r="B1364" i="6" s="1"/>
  <c r="B1365" i="6" s="1"/>
  <c r="B1366" i="6" s="1"/>
  <c r="C1358" i="6"/>
  <c r="C1359" i="6" s="1"/>
  <c r="C1360" i="6" s="1"/>
  <c r="C1361" i="6" s="1"/>
  <c r="B1358" i="6"/>
  <c r="B1359" i="6" s="1"/>
  <c r="B1360" i="6" s="1"/>
  <c r="B1361" i="6" s="1"/>
  <c r="C1356" i="6"/>
  <c r="B1356" i="6"/>
  <c r="C1355" i="6"/>
  <c r="B1354" i="6"/>
  <c r="B1355" i="6" s="1"/>
  <c r="C1353" i="6"/>
  <c r="C1354" i="6" s="1"/>
  <c r="B1353" i="6"/>
  <c r="C1350" i="6"/>
  <c r="C1351" i="6" s="1"/>
  <c r="B1349" i="6"/>
  <c r="B1350" i="6" s="1"/>
  <c r="B1351" i="6" s="1"/>
  <c r="C1348" i="6"/>
  <c r="C1349" i="6" s="1"/>
  <c r="B1348" i="6"/>
  <c r="C1343" i="6"/>
  <c r="C1344" i="6" s="1"/>
  <c r="C1345" i="6" s="1"/>
  <c r="C1346" i="6" s="1"/>
  <c r="B1343" i="6"/>
  <c r="B1344" i="6" s="1"/>
  <c r="B1345" i="6" s="1"/>
  <c r="B1346" i="6" s="1"/>
  <c r="C1338" i="6"/>
  <c r="C1339" i="6" s="1"/>
  <c r="C1340" i="6" s="1"/>
  <c r="C1341" i="6" s="1"/>
  <c r="B1338" i="6"/>
  <c r="B1339" i="6" s="1"/>
  <c r="B1340" i="6" s="1"/>
  <c r="B1341" i="6" s="1"/>
  <c r="C1336" i="6"/>
  <c r="B1336" i="6"/>
  <c r="C1335" i="6"/>
  <c r="B1334" i="6"/>
  <c r="B1335" i="6" s="1"/>
  <c r="C1333" i="6"/>
  <c r="C1334" i="6" s="1"/>
  <c r="B1333" i="6"/>
  <c r="B1331" i="6"/>
  <c r="B1329" i="6"/>
  <c r="B1330" i="6" s="1"/>
  <c r="C1328" i="6"/>
  <c r="C1329" i="6" s="1"/>
  <c r="C1330" i="6" s="1"/>
  <c r="C1331" i="6" s="1"/>
  <c r="B1328" i="6"/>
  <c r="C1325" i="6"/>
  <c r="C1326" i="6" s="1"/>
  <c r="C1323" i="6"/>
  <c r="C1324" i="6" s="1"/>
  <c r="B1323" i="6"/>
  <c r="B1324" i="6" s="1"/>
  <c r="B1325" i="6" s="1"/>
  <c r="B1326" i="6" s="1"/>
  <c r="C1318" i="6"/>
  <c r="C1319" i="6" s="1"/>
  <c r="C1320" i="6" s="1"/>
  <c r="C1321" i="6" s="1"/>
  <c r="B1318" i="6"/>
  <c r="B1319" i="6" s="1"/>
  <c r="B1320" i="6" s="1"/>
  <c r="B1321" i="6" s="1"/>
  <c r="C1316" i="6"/>
  <c r="B1316" i="6"/>
  <c r="C1315" i="6"/>
  <c r="B1314" i="6"/>
  <c r="B1315" i="6" s="1"/>
  <c r="C1313" i="6"/>
  <c r="C1314" i="6" s="1"/>
  <c r="B1313" i="6"/>
  <c r="C1311" i="6"/>
  <c r="C1310" i="6"/>
  <c r="B1309" i="6"/>
  <c r="B1310" i="6" s="1"/>
  <c r="B1311" i="6" s="1"/>
  <c r="C1308" i="6"/>
  <c r="C1309" i="6" s="1"/>
  <c r="B1308" i="6"/>
  <c r="B1304" i="6"/>
  <c r="B1305" i="6" s="1"/>
  <c r="B1306" i="6" s="1"/>
  <c r="C1303" i="6"/>
  <c r="C1304" i="6" s="1"/>
  <c r="C1305" i="6" s="1"/>
  <c r="C1306" i="6" s="1"/>
  <c r="B1303" i="6"/>
  <c r="C1298" i="6"/>
  <c r="C1299" i="6" s="1"/>
  <c r="C1300" i="6" s="1"/>
  <c r="C1301" i="6" s="1"/>
  <c r="B1298" i="6"/>
  <c r="B1299" i="6" s="1"/>
  <c r="B1300" i="6" s="1"/>
  <c r="B1301" i="6" s="1"/>
  <c r="C1296" i="6"/>
  <c r="B1296" i="6"/>
  <c r="C1295" i="6"/>
  <c r="B1294" i="6"/>
  <c r="B1295" i="6" s="1"/>
  <c r="C1293" i="6"/>
  <c r="C1294" i="6" s="1"/>
  <c r="B1293" i="6"/>
  <c r="C1290" i="6"/>
  <c r="C1291" i="6" s="1"/>
  <c r="B1289" i="6"/>
  <c r="B1290" i="6" s="1"/>
  <c r="B1291" i="6" s="1"/>
  <c r="C1288" i="6"/>
  <c r="C1289" i="6" s="1"/>
  <c r="B1288" i="6"/>
  <c r="C1285" i="6"/>
  <c r="C1286" i="6" s="1"/>
  <c r="C1283" i="6"/>
  <c r="C1284" i="6" s="1"/>
  <c r="B1283" i="6"/>
  <c r="B1284" i="6" s="1"/>
  <c r="B1285" i="6" s="1"/>
  <c r="B1286" i="6" s="1"/>
  <c r="C1278" i="6"/>
  <c r="C1279" i="6" s="1"/>
  <c r="C1280" i="6" s="1"/>
  <c r="C1281" i="6" s="1"/>
  <c r="B1278" i="6"/>
  <c r="B1279" i="6" s="1"/>
  <c r="B1280" i="6" s="1"/>
  <c r="B1281" i="6" s="1"/>
  <c r="C1276" i="6"/>
  <c r="B1276" i="6"/>
  <c r="C1275" i="6"/>
  <c r="B1274" i="6"/>
  <c r="B1275" i="6" s="1"/>
  <c r="C1273" i="6"/>
  <c r="C1274" i="6" s="1"/>
  <c r="B1273" i="6"/>
  <c r="C1271" i="6"/>
  <c r="C1270" i="6"/>
  <c r="B1269" i="6"/>
  <c r="B1270" i="6" s="1"/>
  <c r="B1271" i="6" s="1"/>
  <c r="C1268" i="6"/>
  <c r="C1269" i="6" s="1"/>
  <c r="B1268" i="6"/>
  <c r="C1263" i="6"/>
  <c r="C1264" i="6" s="1"/>
  <c r="C1265" i="6" s="1"/>
  <c r="C1266" i="6" s="1"/>
  <c r="B1263" i="6"/>
  <c r="B1264" i="6" s="1"/>
  <c r="B1265" i="6" s="1"/>
  <c r="B1266" i="6" s="1"/>
  <c r="C1258" i="6"/>
  <c r="C1259" i="6" s="1"/>
  <c r="C1260" i="6" s="1"/>
  <c r="C1261" i="6" s="1"/>
  <c r="B1258" i="6"/>
  <c r="B1259" i="6" s="1"/>
  <c r="B1260" i="6" s="1"/>
  <c r="B1261" i="6" s="1"/>
  <c r="C1256" i="6"/>
  <c r="B1256" i="6"/>
  <c r="C1255" i="6"/>
  <c r="B1254" i="6"/>
  <c r="B1255" i="6" s="1"/>
  <c r="C1253" i="6"/>
  <c r="C1254" i="6" s="1"/>
  <c r="B1253" i="6"/>
  <c r="C1251" i="6"/>
  <c r="B1251" i="6"/>
  <c r="C1250" i="6"/>
  <c r="B1249" i="6"/>
  <c r="B1250" i="6" s="1"/>
  <c r="C1248" i="6"/>
  <c r="C1249" i="6" s="1"/>
  <c r="B1248" i="6"/>
  <c r="C1245" i="6"/>
  <c r="C1246" i="6" s="1"/>
  <c r="C1243" i="6"/>
  <c r="C1244" i="6" s="1"/>
  <c r="B1243" i="6"/>
  <c r="B1244" i="6" s="1"/>
  <c r="B1245" i="6" s="1"/>
  <c r="B1246" i="6" s="1"/>
  <c r="C1238" i="6"/>
  <c r="C1239" i="6" s="1"/>
  <c r="C1240" i="6" s="1"/>
  <c r="C1241" i="6" s="1"/>
  <c r="B1238" i="6"/>
  <c r="B1239" i="6" s="1"/>
  <c r="B1240" i="6" s="1"/>
  <c r="B1241" i="6" s="1"/>
  <c r="C1236" i="6"/>
  <c r="B1236" i="6"/>
  <c r="C1235" i="6"/>
  <c r="B1234" i="6"/>
  <c r="B1235" i="6" s="1"/>
  <c r="C1233" i="6"/>
  <c r="C1234" i="6" s="1"/>
  <c r="B1233" i="6"/>
  <c r="C1231" i="6"/>
  <c r="C1230" i="6"/>
  <c r="B1229" i="6"/>
  <c r="B1230" i="6" s="1"/>
  <c r="B1231" i="6" s="1"/>
  <c r="C1228" i="6"/>
  <c r="C1229" i="6" s="1"/>
  <c r="B1228" i="6"/>
  <c r="B1224" i="6"/>
  <c r="B1225" i="6" s="1"/>
  <c r="B1226" i="6" s="1"/>
  <c r="C1223" i="6"/>
  <c r="C1224" i="6" s="1"/>
  <c r="C1225" i="6" s="1"/>
  <c r="C1226" i="6" s="1"/>
  <c r="B1223" i="6"/>
  <c r="C1218" i="6"/>
  <c r="C1219" i="6" s="1"/>
  <c r="C1220" i="6" s="1"/>
  <c r="C1221" i="6" s="1"/>
  <c r="B1218" i="6"/>
  <c r="B1219" i="6" s="1"/>
  <c r="B1220" i="6" s="1"/>
  <c r="B1221" i="6" s="1"/>
  <c r="C1216" i="6"/>
  <c r="B1216" i="6"/>
  <c r="C1215" i="6"/>
  <c r="B1214" i="6"/>
  <c r="B1215" i="6" s="1"/>
  <c r="C1213" i="6"/>
  <c r="C1214" i="6" s="1"/>
  <c r="B1213" i="6"/>
  <c r="B1209" i="6"/>
  <c r="B1210" i="6" s="1"/>
  <c r="B1211" i="6" s="1"/>
  <c r="C1208" i="6"/>
  <c r="C1209" i="6" s="1"/>
  <c r="C1210" i="6" s="1"/>
  <c r="C1211" i="6" s="1"/>
  <c r="B1208" i="6"/>
  <c r="C1205" i="6"/>
  <c r="C1206" i="6" s="1"/>
  <c r="C1203" i="6"/>
  <c r="C1204" i="6" s="1"/>
  <c r="B1203" i="6"/>
  <c r="B1204" i="6" s="1"/>
  <c r="B1205" i="6" s="1"/>
  <c r="B1206" i="6" s="1"/>
  <c r="C1198" i="6"/>
  <c r="C1199" i="6" s="1"/>
  <c r="C1200" i="6" s="1"/>
  <c r="C1201" i="6" s="1"/>
  <c r="B1198" i="6"/>
  <c r="B1199" i="6" s="1"/>
  <c r="B1200" i="6" s="1"/>
  <c r="B1201" i="6" s="1"/>
  <c r="C1193" i="6"/>
  <c r="C1194" i="6" s="1"/>
  <c r="C1195" i="6" s="1"/>
  <c r="C1196" i="6" s="1"/>
  <c r="B1193" i="6"/>
  <c r="B1194" i="6" s="1"/>
  <c r="B1195" i="6" s="1"/>
  <c r="B1196" i="6" s="1"/>
  <c r="C1191" i="6"/>
  <c r="C1190" i="6"/>
  <c r="C1188" i="6"/>
  <c r="C1189" i="6" s="1"/>
  <c r="B1188" i="6"/>
  <c r="B1189" i="6" s="1"/>
  <c r="B1190" i="6" s="1"/>
  <c r="B1191" i="6" s="1"/>
  <c r="B1186" i="6"/>
  <c r="B1184" i="6"/>
  <c r="B1185" i="6" s="1"/>
  <c r="C1183" i="6"/>
  <c r="C1184" i="6" s="1"/>
  <c r="C1185" i="6" s="1"/>
  <c r="C1186" i="6" s="1"/>
  <c r="B1183" i="6"/>
  <c r="C1180" i="6"/>
  <c r="C1181" i="6" s="1"/>
  <c r="B1180" i="6"/>
  <c r="B1181" i="6" s="1"/>
  <c r="B1179" i="6"/>
  <c r="C1178" i="6"/>
  <c r="C1179" i="6" s="1"/>
  <c r="B1178" i="6"/>
  <c r="C1175" i="6"/>
  <c r="C1176" i="6" s="1"/>
  <c r="B1175" i="6"/>
  <c r="B1176" i="6" s="1"/>
  <c r="B1174" i="6"/>
  <c r="C1173" i="6"/>
  <c r="C1174" i="6" s="1"/>
  <c r="B1173" i="6"/>
  <c r="B1169" i="6"/>
  <c r="B1170" i="6" s="1"/>
  <c r="B1171" i="6" s="1"/>
  <c r="C1168" i="6"/>
  <c r="C1169" i="6" s="1"/>
  <c r="C1170" i="6" s="1"/>
  <c r="C1171" i="6" s="1"/>
  <c r="B1168" i="6"/>
  <c r="B1165" i="6"/>
  <c r="B1166" i="6" s="1"/>
  <c r="B1164" i="6"/>
  <c r="C1163" i="6"/>
  <c r="C1164" i="6" s="1"/>
  <c r="C1165" i="6" s="1"/>
  <c r="C1166" i="6" s="1"/>
  <c r="B1163" i="6"/>
  <c r="C1158" i="6"/>
  <c r="C1159" i="6" s="1"/>
  <c r="C1160" i="6" s="1"/>
  <c r="C1161" i="6" s="1"/>
  <c r="B1158" i="6"/>
  <c r="B1159" i="6" s="1"/>
  <c r="B1160" i="6" s="1"/>
  <c r="B1161" i="6" s="1"/>
  <c r="C1156" i="6"/>
  <c r="C1153" i="6"/>
  <c r="C1154" i="6" s="1"/>
  <c r="C1155" i="6" s="1"/>
  <c r="B1153" i="6"/>
  <c r="B1154" i="6" s="1"/>
  <c r="B1155" i="6" s="1"/>
  <c r="B1156" i="6" s="1"/>
  <c r="C1151" i="6"/>
  <c r="C1150" i="6"/>
  <c r="C1148" i="6"/>
  <c r="C1149" i="6" s="1"/>
  <c r="B1148" i="6"/>
  <c r="B1149" i="6" s="1"/>
  <c r="B1150" i="6" s="1"/>
  <c r="B1151" i="6" s="1"/>
  <c r="C1146" i="6"/>
  <c r="B1146" i="6"/>
  <c r="C1145" i="6"/>
  <c r="B1144" i="6"/>
  <c r="B1145" i="6" s="1"/>
  <c r="C1143" i="6"/>
  <c r="C1144" i="6" s="1"/>
  <c r="B1143" i="6"/>
  <c r="C1141" i="6"/>
  <c r="C1140" i="6"/>
  <c r="B1140" i="6"/>
  <c r="B1141" i="6" s="1"/>
  <c r="B1139" i="6"/>
  <c r="C1138" i="6"/>
  <c r="C1139" i="6" s="1"/>
  <c r="B1138" i="6"/>
  <c r="C1135" i="6"/>
  <c r="C1136" i="6" s="1"/>
  <c r="B1134" i="6"/>
  <c r="B1135" i="6" s="1"/>
  <c r="B1136" i="6" s="1"/>
  <c r="C1133" i="6"/>
  <c r="C1134" i="6" s="1"/>
  <c r="B1133" i="6"/>
  <c r="B1129" i="6"/>
  <c r="B1130" i="6" s="1"/>
  <c r="B1131" i="6" s="1"/>
  <c r="C1128" i="6"/>
  <c r="C1129" i="6" s="1"/>
  <c r="C1130" i="6" s="1"/>
  <c r="C1131" i="6" s="1"/>
  <c r="B1128" i="6"/>
  <c r="B1125" i="6"/>
  <c r="B1126" i="6" s="1"/>
  <c r="B1124" i="6"/>
  <c r="C1123" i="6"/>
  <c r="C1124" i="6" s="1"/>
  <c r="C1125" i="6" s="1"/>
  <c r="C1126" i="6" s="1"/>
  <c r="B1123" i="6"/>
  <c r="C1118" i="6"/>
  <c r="C1119" i="6" s="1"/>
  <c r="C1120" i="6" s="1"/>
  <c r="C1121" i="6" s="1"/>
  <c r="B1118" i="6"/>
  <c r="B1119" i="6" s="1"/>
  <c r="B1120" i="6" s="1"/>
  <c r="B1121" i="6" s="1"/>
  <c r="C1113" i="6"/>
  <c r="C1114" i="6" s="1"/>
  <c r="C1115" i="6" s="1"/>
  <c r="C1116" i="6" s="1"/>
  <c r="B1113" i="6"/>
  <c r="B1114" i="6" s="1"/>
  <c r="B1115" i="6" s="1"/>
  <c r="B1116" i="6" s="1"/>
  <c r="C1111" i="6"/>
  <c r="C1110" i="6"/>
  <c r="C1108" i="6"/>
  <c r="C1109" i="6" s="1"/>
  <c r="B1108" i="6"/>
  <c r="B1109" i="6" s="1"/>
  <c r="B1110" i="6" s="1"/>
  <c r="B1111" i="6" s="1"/>
  <c r="C1105" i="6"/>
  <c r="C1106" i="6" s="1"/>
  <c r="B1104" i="6"/>
  <c r="B1105" i="6" s="1"/>
  <c r="B1106" i="6" s="1"/>
  <c r="C1103" i="6"/>
  <c r="C1104" i="6" s="1"/>
  <c r="B1103" i="6"/>
  <c r="C1100" i="6"/>
  <c r="C1101" i="6" s="1"/>
  <c r="B1100" i="6"/>
  <c r="B1101" i="6" s="1"/>
  <c r="B1099" i="6"/>
  <c r="C1098" i="6"/>
  <c r="C1099" i="6" s="1"/>
  <c r="B1098" i="6"/>
  <c r="C1095" i="6"/>
  <c r="C1096" i="6" s="1"/>
  <c r="B1095" i="6"/>
  <c r="B1096" i="6" s="1"/>
  <c r="B1094" i="6"/>
  <c r="C1093" i="6"/>
  <c r="C1094" i="6" s="1"/>
  <c r="B1093" i="6"/>
  <c r="C1090" i="6"/>
  <c r="C1091" i="6" s="1"/>
  <c r="B1089" i="6"/>
  <c r="B1090" i="6" s="1"/>
  <c r="B1091" i="6" s="1"/>
  <c r="C1088" i="6"/>
  <c r="C1089" i="6" s="1"/>
  <c r="B1088" i="6"/>
  <c r="B1084" i="6"/>
  <c r="B1085" i="6" s="1"/>
  <c r="B1086" i="6" s="1"/>
  <c r="C1083" i="6"/>
  <c r="C1084" i="6" s="1"/>
  <c r="C1085" i="6" s="1"/>
  <c r="C1086" i="6" s="1"/>
  <c r="B1083" i="6"/>
  <c r="C1078" i="6"/>
  <c r="C1079" i="6" s="1"/>
  <c r="C1080" i="6" s="1"/>
  <c r="C1081" i="6" s="1"/>
  <c r="B1078" i="6"/>
  <c r="B1079" i="6" s="1"/>
  <c r="B1080" i="6" s="1"/>
  <c r="B1081" i="6" s="1"/>
  <c r="C1073" i="6"/>
  <c r="C1074" i="6" s="1"/>
  <c r="C1075" i="6" s="1"/>
  <c r="C1076" i="6" s="1"/>
  <c r="B1073" i="6"/>
  <c r="B1074" i="6" s="1"/>
  <c r="B1075" i="6" s="1"/>
  <c r="B1076" i="6" s="1"/>
  <c r="C1071" i="6"/>
  <c r="B1071" i="6"/>
  <c r="C1070" i="6"/>
  <c r="C1068" i="6"/>
  <c r="C1069" i="6" s="1"/>
  <c r="B1068" i="6"/>
  <c r="B1069" i="6" s="1"/>
  <c r="B1070" i="6" s="1"/>
  <c r="C1065" i="6"/>
  <c r="C1066" i="6" s="1"/>
  <c r="B1064" i="6"/>
  <c r="B1065" i="6" s="1"/>
  <c r="B1066" i="6" s="1"/>
  <c r="C1063" i="6"/>
  <c r="C1064" i="6" s="1"/>
  <c r="B1063" i="6"/>
  <c r="C1060" i="6"/>
  <c r="C1061" i="6" s="1"/>
  <c r="B1060" i="6"/>
  <c r="B1061" i="6" s="1"/>
  <c r="B1059" i="6"/>
  <c r="C1058" i="6"/>
  <c r="C1059" i="6" s="1"/>
  <c r="B1058" i="6"/>
  <c r="C1055" i="6"/>
  <c r="C1056" i="6" s="1"/>
  <c r="B1054" i="6"/>
  <c r="B1055" i="6" s="1"/>
  <c r="B1056" i="6" s="1"/>
  <c r="C1053" i="6"/>
  <c r="C1054" i="6" s="1"/>
  <c r="B1053" i="6"/>
  <c r="C1050" i="6"/>
  <c r="C1051" i="6" s="1"/>
  <c r="B1050" i="6"/>
  <c r="B1051" i="6" s="1"/>
  <c r="B1049" i="6"/>
  <c r="C1048" i="6"/>
  <c r="C1049" i="6" s="1"/>
  <c r="B1048" i="6"/>
  <c r="B1045" i="6"/>
  <c r="B1046" i="6" s="1"/>
  <c r="C1043" i="6"/>
  <c r="C1044" i="6" s="1"/>
  <c r="C1045" i="6" s="1"/>
  <c r="C1046" i="6" s="1"/>
  <c r="B1043" i="6"/>
  <c r="B1044" i="6" s="1"/>
  <c r="B1039" i="6"/>
  <c r="B1040" i="6" s="1"/>
  <c r="B1041" i="6" s="1"/>
  <c r="C1038" i="6"/>
  <c r="C1039" i="6" s="1"/>
  <c r="C1040" i="6" s="1"/>
  <c r="C1041" i="6" s="1"/>
  <c r="B1038" i="6"/>
  <c r="C1033" i="6"/>
  <c r="C1034" i="6" s="1"/>
  <c r="C1035" i="6" s="1"/>
  <c r="C1036" i="6" s="1"/>
  <c r="B1033" i="6"/>
  <c r="B1034" i="6" s="1"/>
  <c r="B1035" i="6" s="1"/>
  <c r="B1036" i="6" s="1"/>
  <c r="C1031" i="6"/>
  <c r="B1031" i="6"/>
  <c r="C1028" i="6"/>
  <c r="C1029" i="6" s="1"/>
  <c r="C1030" i="6" s="1"/>
  <c r="B1028" i="6"/>
  <c r="B1029" i="6" s="1"/>
  <c r="B1030" i="6" s="1"/>
  <c r="C1023" i="6"/>
  <c r="C1024" i="6" s="1"/>
  <c r="C1025" i="6" s="1"/>
  <c r="C1026" i="6" s="1"/>
  <c r="B1023" i="6"/>
  <c r="B1024" i="6" s="1"/>
  <c r="B1025" i="6" s="1"/>
  <c r="B1026" i="6" s="1"/>
  <c r="B1021" i="6"/>
  <c r="C1018" i="6"/>
  <c r="C1019" i="6" s="1"/>
  <c r="C1020" i="6" s="1"/>
  <c r="C1021" i="6" s="1"/>
  <c r="B1018" i="6"/>
  <c r="B1019" i="6" s="1"/>
  <c r="B1020" i="6" s="1"/>
  <c r="C1013" i="6"/>
  <c r="C1014" i="6" s="1"/>
  <c r="C1015" i="6" s="1"/>
  <c r="C1016" i="6" s="1"/>
  <c r="B1013" i="6"/>
  <c r="B1014" i="6" s="1"/>
  <c r="B1015" i="6" s="1"/>
  <c r="B1016" i="6" s="1"/>
  <c r="B1011" i="6"/>
  <c r="C1008" i="6"/>
  <c r="C1009" i="6" s="1"/>
  <c r="C1010" i="6" s="1"/>
  <c r="C1011" i="6" s="1"/>
  <c r="B1008" i="6"/>
  <c r="B1009" i="6" s="1"/>
  <c r="B1010" i="6" s="1"/>
  <c r="C1003" i="6"/>
  <c r="C1004" i="6" s="1"/>
  <c r="C1005" i="6" s="1"/>
  <c r="C1006" i="6" s="1"/>
  <c r="B1003" i="6"/>
  <c r="B1004" i="6" s="1"/>
  <c r="B1005" i="6" s="1"/>
  <c r="B1006" i="6" s="1"/>
  <c r="B1001" i="6"/>
  <c r="C998" i="6"/>
  <c r="C999" i="6" s="1"/>
  <c r="C1000" i="6" s="1"/>
  <c r="C1001" i="6" s="1"/>
  <c r="B998" i="6"/>
  <c r="B999" i="6" s="1"/>
  <c r="B1000" i="6" s="1"/>
  <c r="C993" i="6"/>
  <c r="C994" i="6" s="1"/>
  <c r="C995" i="6" s="1"/>
  <c r="C996" i="6" s="1"/>
  <c r="B993" i="6"/>
  <c r="B994" i="6" s="1"/>
  <c r="B995" i="6" s="1"/>
  <c r="B996" i="6" s="1"/>
  <c r="C991" i="6"/>
  <c r="B991" i="6"/>
  <c r="C988" i="6"/>
  <c r="C989" i="6" s="1"/>
  <c r="C990" i="6" s="1"/>
  <c r="B988" i="6"/>
  <c r="B989" i="6" s="1"/>
  <c r="B990" i="6" s="1"/>
  <c r="C983" i="6"/>
  <c r="C984" i="6" s="1"/>
  <c r="C985" i="6" s="1"/>
  <c r="C986" i="6" s="1"/>
  <c r="B983" i="6"/>
  <c r="B984" i="6" s="1"/>
  <c r="B985" i="6" s="1"/>
  <c r="B986" i="6" s="1"/>
  <c r="B981" i="6"/>
  <c r="C978" i="6"/>
  <c r="C979" i="6" s="1"/>
  <c r="C980" i="6" s="1"/>
  <c r="C981" i="6" s="1"/>
  <c r="B978" i="6"/>
  <c r="B979" i="6" s="1"/>
  <c r="B980" i="6" s="1"/>
  <c r="C973" i="6"/>
  <c r="C974" i="6" s="1"/>
  <c r="C975" i="6" s="1"/>
  <c r="C976" i="6" s="1"/>
  <c r="B973" i="6"/>
  <c r="B974" i="6" s="1"/>
  <c r="B975" i="6" s="1"/>
  <c r="B976" i="6" s="1"/>
  <c r="B971" i="6"/>
  <c r="C968" i="6"/>
  <c r="C969" i="6" s="1"/>
  <c r="C970" i="6" s="1"/>
  <c r="C971" i="6" s="1"/>
  <c r="B968" i="6"/>
  <c r="B969" i="6" s="1"/>
  <c r="B970" i="6" s="1"/>
  <c r="C963" i="6"/>
  <c r="C964" i="6" s="1"/>
  <c r="C965" i="6" s="1"/>
  <c r="C966" i="6" s="1"/>
  <c r="B963" i="6"/>
  <c r="B964" i="6" s="1"/>
  <c r="B965" i="6" s="1"/>
  <c r="B966" i="6" s="1"/>
  <c r="C961" i="6"/>
  <c r="B961" i="6"/>
  <c r="C958" i="6"/>
  <c r="C959" i="6" s="1"/>
  <c r="C960" i="6" s="1"/>
  <c r="B958" i="6"/>
  <c r="B959" i="6" s="1"/>
  <c r="B960" i="6" s="1"/>
  <c r="C953" i="6"/>
  <c r="C954" i="6" s="1"/>
  <c r="C955" i="6" s="1"/>
  <c r="C956" i="6" s="1"/>
  <c r="B953" i="6"/>
  <c r="B954" i="6" s="1"/>
  <c r="B955" i="6" s="1"/>
  <c r="B956" i="6" s="1"/>
  <c r="C951" i="6"/>
  <c r="B951" i="6"/>
  <c r="C950" i="6"/>
  <c r="B950" i="6"/>
  <c r="C948" i="6"/>
  <c r="C949" i="6" s="1"/>
  <c r="B948" i="6"/>
  <c r="B949" i="6" s="1"/>
  <c r="B945" i="6"/>
  <c r="B946" i="6" s="1"/>
  <c r="C943" i="6"/>
  <c r="C944" i="6" s="1"/>
  <c r="C945" i="6" s="1"/>
  <c r="C946" i="6" s="1"/>
  <c r="B943" i="6"/>
  <c r="B944" i="6" s="1"/>
  <c r="C940" i="6"/>
  <c r="C941" i="6" s="1"/>
  <c r="C938" i="6"/>
  <c r="C939" i="6" s="1"/>
  <c r="B938" i="6"/>
  <c r="B939" i="6" s="1"/>
  <c r="B940" i="6" s="1"/>
  <c r="B941" i="6" s="1"/>
  <c r="C936" i="6"/>
  <c r="C933" i="6"/>
  <c r="C934" i="6" s="1"/>
  <c r="C935" i="6" s="1"/>
  <c r="B933" i="6"/>
  <c r="B934" i="6" s="1"/>
  <c r="B935" i="6" s="1"/>
  <c r="B936" i="6" s="1"/>
  <c r="B931" i="6"/>
  <c r="C930" i="6"/>
  <c r="C931" i="6" s="1"/>
  <c r="B930" i="6"/>
  <c r="C928" i="6"/>
  <c r="C929" i="6" s="1"/>
  <c r="B928" i="6"/>
  <c r="B929" i="6" s="1"/>
  <c r="B925" i="6"/>
  <c r="B926" i="6" s="1"/>
  <c r="C923" i="6"/>
  <c r="C924" i="6" s="1"/>
  <c r="C925" i="6" s="1"/>
  <c r="C926" i="6" s="1"/>
  <c r="B923" i="6"/>
  <c r="B924" i="6" s="1"/>
  <c r="C918" i="6"/>
  <c r="C919" i="6" s="1"/>
  <c r="C920" i="6" s="1"/>
  <c r="C921" i="6" s="1"/>
  <c r="B918" i="6"/>
  <c r="B919" i="6" s="1"/>
  <c r="B920" i="6" s="1"/>
  <c r="B921" i="6" s="1"/>
  <c r="C913" i="6"/>
  <c r="C914" i="6" s="1"/>
  <c r="C915" i="6" s="1"/>
  <c r="C916" i="6" s="1"/>
  <c r="B913" i="6"/>
  <c r="B914" i="6" s="1"/>
  <c r="B915" i="6" s="1"/>
  <c r="B916" i="6" s="1"/>
  <c r="C911" i="6"/>
  <c r="B911" i="6"/>
  <c r="C910" i="6"/>
  <c r="B910" i="6"/>
  <c r="C908" i="6"/>
  <c r="C909" i="6" s="1"/>
  <c r="B908" i="6"/>
  <c r="B909" i="6" s="1"/>
  <c r="B905" i="6"/>
  <c r="B906" i="6" s="1"/>
  <c r="C903" i="6"/>
  <c r="C904" i="6" s="1"/>
  <c r="C905" i="6" s="1"/>
  <c r="C906" i="6" s="1"/>
  <c r="B903" i="6"/>
  <c r="B904" i="6" s="1"/>
  <c r="C898" i="6"/>
  <c r="C899" i="6" s="1"/>
  <c r="C900" i="6" s="1"/>
  <c r="C901" i="6" s="1"/>
  <c r="B898" i="6"/>
  <c r="B899" i="6" s="1"/>
  <c r="B900" i="6" s="1"/>
  <c r="B901" i="6" s="1"/>
  <c r="C893" i="6"/>
  <c r="C894" i="6" s="1"/>
  <c r="C895" i="6" s="1"/>
  <c r="C896" i="6" s="1"/>
  <c r="B893" i="6"/>
  <c r="B894" i="6" s="1"/>
  <c r="B895" i="6" s="1"/>
  <c r="B896" i="6" s="1"/>
  <c r="B891" i="6"/>
  <c r="B890" i="6"/>
  <c r="C888" i="6"/>
  <c r="C889" i="6" s="1"/>
  <c r="C890" i="6" s="1"/>
  <c r="C891" i="6" s="1"/>
  <c r="B888" i="6"/>
  <c r="B889" i="6" s="1"/>
  <c r="B885" i="6"/>
  <c r="B886" i="6" s="1"/>
  <c r="C883" i="6"/>
  <c r="C884" i="6" s="1"/>
  <c r="C885" i="6" s="1"/>
  <c r="C886" i="6" s="1"/>
  <c r="B883" i="6"/>
  <c r="B884" i="6" s="1"/>
  <c r="C878" i="6"/>
  <c r="C879" i="6" s="1"/>
  <c r="C880" i="6" s="1"/>
  <c r="C881" i="6" s="1"/>
  <c r="B878" i="6"/>
  <c r="B879" i="6" s="1"/>
  <c r="B880" i="6" s="1"/>
  <c r="B881" i="6" s="1"/>
  <c r="C873" i="6"/>
  <c r="C874" i="6" s="1"/>
  <c r="C875" i="6" s="1"/>
  <c r="C876" i="6" s="1"/>
  <c r="B873" i="6"/>
  <c r="B874" i="6" s="1"/>
  <c r="B875" i="6" s="1"/>
  <c r="B876" i="6" s="1"/>
  <c r="B871" i="6"/>
  <c r="B870" i="6"/>
  <c r="C868" i="6"/>
  <c r="C869" i="6" s="1"/>
  <c r="C870" i="6" s="1"/>
  <c r="C871" i="6" s="1"/>
  <c r="B868" i="6"/>
  <c r="B869" i="6" s="1"/>
  <c r="C865" i="6"/>
  <c r="C866" i="6" s="1"/>
  <c r="B865" i="6"/>
  <c r="B866" i="6" s="1"/>
  <c r="C863" i="6"/>
  <c r="C864" i="6" s="1"/>
  <c r="B863" i="6"/>
  <c r="B864" i="6" s="1"/>
  <c r="C858" i="6"/>
  <c r="C859" i="6" s="1"/>
  <c r="C860" i="6" s="1"/>
  <c r="C861" i="6" s="1"/>
  <c r="B858" i="6"/>
  <c r="B859" i="6" s="1"/>
  <c r="B860" i="6" s="1"/>
  <c r="B861" i="6" s="1"/>
  <c r="C853" i="6"/>
  <c r="C854" i="6" s="1"/>
  <c r="C855" i="6" s="1"/>
  <c r="C856" i="6" s="1"/>
  <c r="B853" i="6"/>
  <c r="B854" i="6" s="1"/>
  <c r="B855" i="6" s="1"/>
  <c r="B856" i="6" s="1"/>
  <c r="B851" i="6"/>
  <c r="B850" i="6"/>
  <c r="C848" i="6"/>
  <c r="C849" i="6" s="1"/>
  <c r="C850" i="6" s="1"/>
  <c r="C851" i="6" s="1"/>
  <c r="B848" i="6"/>
  <c r="B849" i="6" s="1"/>
  <c r="B845" i="6"/>
  <c r="B846" i="6" s="1"/>
  <c r="C843" i="6"/>
  <c r="C844" i="6" s="1"/>
  <c r="C845" i="6" s="1"/>
  <c r="C846" i="6" s="1"/>
  <c r="B843" i="6"/>
  <c r="B844" i="6" s="1"/>
  <c r="C840" i="6"/>
  <c r="C841" i="6" s="1"/>
  <c r="C838" i="6"/>
  <c r="C839" i="6" s="1"/>
  <c r="B838" i="6"/>
  <c r="B839" i="6" s="1"/>
  <c r="B840" i="6" s="1"/>
  <c r="B841" i="6" s="1"/>
  <c r="B834" i="6"/>
  <c r="B835" i="6" s="1"/>
  <c r="B836" i="6" s="1"/>
  <c r="C833" i="6"/>
  <c r="C834" i="6" s="1"/>
  <c r="C835" i="6" s="1"/>
  <c r="C836" i="6" s="1"/>
  <c r="B833" i="6"/>
  <c r="B830" i="6"/>
  <c r="B831" i="6" s="1"/>
  <c r="C828" i="6"/>
  <c r="C829" i="6" s="1"/>
  <c r="C830" i="6" s="1"/>
  <c r="C831" i="6" s="1"/>
  <c r="B828" i="6"/>
  <c r="B829" i="6" s="1"/>
  <c r="B824" i="6"/>
  <c r="B825" i="6" s="1"/>
  <c r="B826" i="6" s="1"/>
  <c r="C823" i="6"/>
  <c r="C824" i="6" s="1"/>
  <c r="C825" i="6" s="1"/>
  <c r="C826" i="6" s="1"/>
  <c r="B823" i="6"/>
  <c r="C818" i="6"/>
  <c r="C819" i="6" s="1"/>
  <c r="C820" i="6" s="1"/>
  <c r="C821" i="6" s="1"/>
  <c r="B818" i="6"/>
  <c r="B819" i="6" s="1"/>
  <c r="B820" i="6" s="1"/>
  <c r="B821" i="6" s="1"/>
  <c r="B814" i="6"/>
  <c r="B815" i="6" s="1"/>
  <c r="B816" i="6" s="1"/>
  <c r="C813" i="6"/>
  <c r="C814" i="6" s="1"/>
  <c r="C815" i="6" s="1"/>
  <c r="C816" i="6" s="1"/>
  <c r="B813" i="6"/>
  <c r="B810" i="6"/>
  <c r="B811" i="6" s="1"/>
  <c r="C808" i="6"/>
  <c r="C809" i="6" s="1"/>
  <c r="C810" i="6" s="1"/>
  <c r="C811" i="6" s="1"/>
  <c r="B808" i="6"/>
  <c r="B809" i="6" s="1"/>
  <c r="B804" i="6"/>
  <c r="B805" i="6" s="1"/>
  <c r="B806" i="6" s="1"/>
  <c r="C803" i="6"/>
  <c r="C804" i="6" s="1"/>
  <c r="C805" i="6" s="1"/>
  <c r="C806" i="6" s="1"/>
  <c r="B803" i="6"/>
  <c r="C798" i="6"/>
  <c r="C799" i="6" s="1"/>
  <c r="C800" i="6" s="1"/>
  <c r="C801" i="6" s="1"/>
  <c r="B798" i="6"/>
  <c r="B799" i="6" s="1"/>
  <c r="B800" i="6" s="1"/>
  <c r="B801" i="6" s="1"/>
  <c r="B794" i="6"/>
  <c r="B795" i="6" s="1"/>
  <c r="B796" i="6" s="1"/>
  <c r="C793" i="6"/>
  <c r="C794" i="6" s="1"/>
  <c r="C795" i="6" s="1"/>
  <c r="C796" i="6" s="1"/>
  <c r="B793" i="6"/>
  <c r="B790" i="6"/>
  <c r="B791" i="6" s="1"/>
  <c r="C788" i="6"/>
  <c r="C789" i="6" s="1"/>
  <c r="C790" i="6" s="1"/>
  <c r="C791" i="6" s="1"/>
  <c r="B788" i="6"/>
  <c r="B789" i="6" s="1"/>
  <c r="B784" i="6"/>
  <c r="B785" i="6" s="1"/>
  <c r="B786" i="6" s="1"/>
  <c r="C783" i="6"/>
  <c r="C784" i="6" s="1"/>
  <c r="C785" i="6" s="1"/>
  <c r="C786" i="6" s="1"/>
  <c r="B783" i="6"/>
  <c r="C778" i="6"/>
  <c r="C779" i="6" s="1"/>
  <c r="C780" i="6" s="1"/>
  <c r="C781" i="6" s="1"/>
  <c r="B778" i="6"/>
  <c r="B779" i="6" s="1"/>
  <c r="B780" i="6" s="1"/>
  <c r="B781" i="6" s="1"/>
  <c r="B774" i="6"/>
  <c r="B775" i="6" s="1"/>
  <c r="B776" i="6" s="1"/>
  <c r="C773" i="6"/>
  <c r="C774" i="6" s="1"/>
  <c r="C775" i="6" s="1"/>
  <c r="C776" i="6" s="1"/>
  <c r="B773" i="6"/>
  <c r="B770" i="6"/>
  <c r="B771" i="6" s="1"/>
  <c r="C768" i="6"/>
  <c r="C769" i="6" s="1"/>
  <c r="C770" i="6" s="1"/>
  <c r="C771" i="6" s="1"/>
  <c r="B768" i="6"/>
  <c r="B769" i="6" s="1"/>
  <c r="B764" i="6"/>
  <c r="B765" i="6" s="1"/>
  <c r="B766" i="6" s="1"/>
  <c r="C763" i="6"/>
  <c r="C764" i="6" s="1"/>
  <c r="C765" i="6" s="1"/>
  <c r="C766" i="6" s="1"/>
  <c r="B763" i="6"/>
  <c r="C758" i="6"/>
  <c r="C759" i="6" s="1"/>
  <c r="C760" i="6" s="1"/>
  <c r="C761" i="6" s="1"/>
  <c r="B758" i="6"/>
  <c r="B759" i="6" s="1"/>
  <c r="B760" i="6" s="1"/>
  <c r="B761" i="6" s="1"/>
  <c r="B754" i="6"/>
  <c r="B755" i="6" s="1"/>
  <c r="B756" i="6" s="1"/>
  <c r="C753" i="6"/>
  <c r="C754" i="6" s="1"/>
  <c r="C755" i="6" s="1"/>
  <c r="C756" i="6" s="1"/>
  <c r="B753" i="6"/>
  <c r="B750" i="6"/>
  <c r="B751" i="6" s="1"/>
  <c r="C748" i="6"/>
  <c r="C749" i="6" s="1"/>
  <c r="C750" i="6" s="1"/>
  <c r="C751" i="6" s="1"/>
  <c r="B748" i="6"/>
  <c r="B749" i="6" s="1"/>
  <c r="B744" i="6"/>
  <c r="B745" i="6" s="1"/>
  <c r="B746" i="6" s="1"/>
  <c r="C743" i="6"/>
  <c r="C744" i="6" s="1"/>
  <c r="C745" i="6" s="1"/>
  <c r="C746" i="6" s="1"/>
  <c r="B743" i="6"/>
  <c r="C738" i="6"/>
  <c r="C739" i="6" s="1"/>
  <c r="C740" i="6" s="1"/>
  <c r="C741" i="6" s="1"/>
  <c r="B738" i="6"/>
  <c r="B739" i="6" s="1"/>
  <c r="B740" i="6" s="1"/>
  <c r="B741" i="6" s="1"/>
  <c r="B734" i="6"/>
  <c r="B735" i="6" s="1"/>
  <c r="B736" i="6" s="1"/>
  <c r="C733" i="6"/>
  <c r="C734" i="6" s="1"/>
  <c r="C735" i="6" s="1"/>
  <c r="C736" i="6" s="1"/>
  <c r="B733" i="6"/>
  <c r="B730" i="6"/>
  <c r="B731" i="6" s="1"/>
  <c r="C728" i="6"/>
  <c r="C729" i="6" s="1"/>
  <c r="C730" i="6" s="1"/>
  <c r="C731" i="6" s="1"/>
  <c r="B728" i="6"/>
  <c r="B729" i="6" s="1"/>
  <c r="B724" i="6"/>
  <c r="B725" i="6" s="1"/>
  <c r="B726" i="6" s="1"/>
  <c r="C723" i="6"/>
  <c r="C724" i="6" s="1"/>
  <c r="C725" i="6" s="1"/>
  <c r="C726" i="6" s="1"/>
  <c r="B723" i="6"/>
  <c r="B719" i="6"/>
  <c r="B720" i="6" s="1"/>
  <c r="B721" i="6" s="1"/>
  <c r="C718" i="6"/>
  <c r="C719" i="6" s="1"/>
  <c r="C720" i="6" s="1"/>
  <c r="C721" i="6" s="1"/>
  <c r="B718" i="6"/>
  <c r="B714" i="6"/>
  <c r="B715" i="6" s="1"/>
  <c r="B716" i="6" s="1"/>
  <c r="C713" i="6"/>
  <c r="C714" i="6" s="1"/>
  <c r="C715" i="6" s="1"/>
  <c r="C716" i="6" s="1"/>
  <c r="B713" i="6"/>
  <c r="C708" i="6"/>
  <c r="C709" i="6" s="1"/>
  <c r="C710" i="6" s="1"/>
  <c r="C711" i="6" s="1"/>
  <c r="B708" i="6"/>
  <c r="B709" i="6" s="1"/>
  <c r="B710" i="6" s="1"/>
  <c r="B711" i="6" s="1"/>
  <c r="B704" i="6"/>
  <c r="B705" i="6" s="1"/>
  <c r="B706" i="6" s="1"/>
  <c r="C703" i="6"/>
  <c r="C704" i="6" s="1"/>
  <c r="C705" i="6" s="1"/>
  <c r="C706" i="6" s="1"/>
  <c r="B703" i="6"/>
  <c r="C698" i="6"/>
  <c r="C699" i="6" s="1"/>
  <c r="C700" i="6" s="1"/>
  <c r="C701" i="6" s="1"/>
  <c r="B698" i="6"/>
  <c r="B699" i="6" s="1"/>
  <c r="B700" i="6" s="1"/>
  <c r="B701" i="6" s="1"/>
  <c r="B694" i="6"/>
  <c r="B695" i="6" s="1"/>
  <c r="B696" i="6" s="1"/>
  <c r="C693" i="6"/>
  <c r="C694" i="6" s="1"/>
  <c r="C695" i="6" s="1"/>
  <c r="C696" i="6" s="1"/>
  <c r="B693" i="6"/>
  <c r="B689" i="6"/>
  <c r="B690" i="6" s="1"/>
  <c r="B691" i="6" s="1"/>
  <c r="C688" i="6"/>
  <c r="C689" i="6" s="1"/>
  <c r="C690" i="6" s="1"/>
  <c r="C691" i="6" s="1"/>
  <c r="B688" i="6"/>
  <c r="B684" i="6"/>
  <c r="B685" i="6" s="1"/>
  <c r="B686" i="6" s="1"/>
  <c r="C683" i="6"/>
  <c r="C684" i="6" s="1"/>
  <c r="C685" i="6" s="1"/>
  <c r="C686" i="6" s="1"/>
  <c r="B683" i="6"/>
  <c r="C678" i="6"/>
  <c r="C679" i="6" s="1"/>
  <c r="C680" i="6" s="1"/>
  <c r="C681" i="6" s="1"/>
  <c r="B678" i="6"/>
  <c r="B679" i="6" s="1"/>
  <c r="B680" i="6" s="1"/>
  <c r="B681" i="6" s="1"/>
  <c r="B674" i="6"/>
  <c r="B675" i="6" s="1"/>
  <c r="B676" i="6" s="1"/>
  <c r="C673" i="6"/>
  <c r="C674" i="6" s="1"/>
  <c r="C675" i="6" s="1"/>
  <c r="C676" i="6" s="1"/>
  <c r="B673" i="6"/>
  <c r="C668" i="6"/>
  <c r="C669" i="6" s="1"/>
  <c r="C670" i="6" s="1"/>
  <c r="C671" i="6" s="1"/>
  <c r="B668" i="6"/>
  <c r="B669" i="6" s="1"/>
  <c r="B670" i="6" s="1"/>
  <c r="B671" i="6" s="1"/>
  <c r="B664" i="6"/>
  <c r="B665" i="6" s="1"/>
  <c r="B666" i="6" s="1"/>
  <c r="C663" i="6"/>
  <c r="C664" i="6" s="1"/>
  <c r="C665" i="6" s="1"/>
  <c r="C666" i="6" s="1"/>
  <c r="B663" i="6"/>
  <c r="B660" i="6"/>
  <c r="B661" i="6" s="1"/>
  <c r="B659" i="6"/>
  <c r="C658" i="6"/>
  <c r="C659" i="6" s="1"/>
  <c r="C660" i="6" s="1"/>
  <c r="C661" i="6" s="1"/>
  <c r="B658" i="6"/>
  <c r="B654" i="6"/>
  <c r="B655" i="6" s="1"/>
  <c r="B656" i="6" s="1"/>
  <c r="C653" i="6"/>
  <c r="C654" i="6" s="1"/>
  <c r="C655" i="6" s="1"/>
  <c r="C656" i="6" s="1"/>
  <c r="B653" i="6"/>
  <c r="B650" i="6"/>
  <c r="B651" i="6" s="1"/>
  <c r="B649" i="6"/>
  <c r="C648" i="6"/>
  <c r="C649" i="6" s="1"/>
  <c r="C650" i="6" s="1"/>
  <c r="C651" i="6" s="1"/>
  <c r="B648" i="6"/>
  <c r="B644" i="6"/>
  <c r="B645" i="6" s="1"/>
  <c r="B646" i="6" s="1"/>
  <c r="C643" i="6"/>
  <c r="C644" i="6" s="1"/>
  <c r="C645" i="6" s="1"/>
  <c r="C646" i="6" s="1"/>
  <c r="B643" i="6"/>
  <c r="B639" i="6"/>
  <c r="B640" i="6" s="1"/>
  <c r="B641" i="6" s="1"/>
  <c r="C638" i="6"/>
  <c r="C639" i="6" s="1"/>
  <c r="C640" i="6" s="1"/>
  <c r="C641" i="6" s="1"/>
  <c r="B638" i="6"/>
  <c r="B634" i="6"/>
  <c r="B635" i="6" s="1"/>
  <c r="B636" i="6" s="1"/>
  <c r="C633" i="6"/>
  <c r="C634" i="6" s="1"/>
  <c r="C635" i="6" s="1"/>
  <c r="C636" i="6" s="1"/>
  <c r="B633" i="6"/>
  <c r="C628" i="6"/>
  <c r="C629" i="6" s="1"/>
  <c r="C630" i="6" s="1"/>
  <c r="C631" i="6" s="1"/>
  <c r="B628" i="6"/>
  <c r="B629" i="6" s="1"/>
  <c r="B630" i="6" s="1"/>
  <c r="B631" i="6" s="1"/>
  <c r="B624" i="6"/>
  <c r="B625" i="6" s="1"/>
  <c r="B626" i="6" s="1"/>
  <c r="C623" i="6"/>
  <c r="C624" i="6" s="1"/>
  <c r="C625" i="6" s="1"/>
  <c r="C626" i="6" s="1"/>
  <c r="B623" i="6"/>
  <c r="C618" i="6"/>
  <c r="C619" i="6" s="1"/>
  <c r="C620" i="6" s="1"/>
  <c r="C621" i="6" s="1"/>
  <c r="B618" i="6"/>
  <c r="B619" i="6" s="1"/>
  <c r="B620" i="6" s="1"/>
  <c r="B621" i="6" s="1"/>
  <c r="B614" i="6"/>
  <c r="B615" i="6" s="1"/>
  <c r="B616" i="6" s="1"/>
  <c r="C613" i="6"/>
  <c r="C614" i="6" s="1"/>
  <c r="C615" i="6" s="1"/>
  <c r="C616" i="6" s="1"/>
  <c r="B613" i="6"/>
  <c r="B609" i="6"/>
  <c r="B610" i="6" s="1"/>
  <c r="B611" i="6" s="1"/>
  <c r="C608" i="6"/>
  <c r="C609" i="6" s="1"/>
  <c r="C610" i="6" s="1"/>
  <c r="C611" i="6" s="1"/>
  <c r="B608" i="6"/>
  <c r="B604" i="6"/>
  <c r="B605" i="6" s="1"/>
  <c r="B606" i="6" s="1"/>
  <c r="C603" i="6"/>
  <c r="C604" i="6" s="1"/>
  <c r="C605" i="6" s="1"/>
  <c r="C606" i="6" s="1"/>
  <c r="B603" i="6"/>
  <c r="C598" i="6"/>
  <c r="C599" i="6" s="1"/>
  <c r="C600" i="6" s="1"/>
  <c r="C601" i="6" s="1"/>
  <c r="B598" i="6"/>
  <c r="B599" i="6" s="1"/>
  <c r="B600" i="6" s="1"/>
  <c r="B601" i="6" s="1"/>
  <c r="B594" i="6"/>
  <c r="B595" i="6" s="1"/>
  <c r="B596" i="6" s="1"/>
  <c r="C593" i="6"/>
  <c r="C594" i="6" s="1"/>
  <c r="C595" i="6" s="1"/>
  <c r="C596" i="6" s="1"/>
  <c r="B593" i="6"/>
  <c r="C588" i="6"/>
  <c r="C589" i="6" s="1"/>
  <c r="C590" i="6" s="1"/>
  <c r="C591" i="6" s="1"/>
  <c r="B588" i="6"/>
  <c r="B589" i="6" s="1"/>
  <c r="B590" i="6" s="1"/>
  <c r="B591" i="6" s="1"/>
  <c r="B584" i="6"/>
  <c r="B585" i="6" s="1"/>
  <c r="B586" i="6" s="1"/>
  <c r="C583" i="6"/>
  <c r="C584" i="6" s="1"/>
  <c r="C585" i="6" s="1"/>
  <c r="C586" i="6" s="1"/>
  <c r="B583" i="6"/>
  <c r="C578" i="6"/>
  <c r="C579" i="6" s="1"/>
  <c r="C580" i="6" s="1"/>
  <c r="C581" i="6" s="1"/>
  <c r="B578" i="6"/>
  <c r="B579" i="6" s="1"/>
  <c r="B580" i="6" s="1"/>
  <c r="B581" i="6" s="1"/>
  <c r="B574" i="6"/>
  <c r="B575" i="6" s="1"/>
  <c r="B576" i="6" s="1"/>
  <c r="C573" i="6"/>
  <c r="C574" i="6" s="1"/>
  <c r="C575" i="6" s="1"/>
  <c r="C576" i="6" s="1"/>
  <c r="B573" i="6"/>
  <c r="C568" i="6"/>
  <c r="C569" i="6" s="1"/>
  <c r="C570" i="6" s="1"/>
  <c r="C571" i="6" s="1"/>
  <c r="B568" i="6"/>
  <c r="B569" i="6" s="1"/>
  <c r="B570" i="6" s="1"/>
  <c r="B571" i="6" s="1"/>
  <c r="B565" i="6"/>
  <c r="B566" i="6" s="1"/>
  <c r="C563" i="6"/>
  <c r="C564" i="6" s="1"/>
  <c r="C565" i="6" s="1"/>
  <c r="C566" i="6" s="1"/>
  <c r="B563" i="6"/>
  <c r="B564" i="6" s="1"/>
  <c r="C559" i="6"/>
  <c r="C560" i="6" s="1"/>
  <c r="C561" i="6" s="1"/>
  <c r="C558" i="6"/>
  <c r="B558" i="6"/>
  <c r="B559" i="6" s="1"/>
  <c r="B560" i="6" s="1"/>
  <c r="B561" i="6" s="1"/>
  <c r="C553" i="6"/>
  <c r="C554" i="6" s="1"/>
  <c r="C555" i="6" s="1"/>
  <c r="C556" i="6" s="1"/>
  <c r="B553" i="6"/>
  <c r="B554" i="6" s="1"/>
  <c r="B555" i="6" s="1"/>
  <c r="B556" i="6" s="1"/>
  <c r="C548" i="6"/>
  <c r="C549" i="6" s="1"/>
  <c r="C550" i="6" s="1"/>
  <c r="C551" i="6" s="1"/>
  <c r="B548" i="6"/>
  <c r="B549" i="6" s="1"/>
  <c r="B550" i="6" s="1"/>
  <c r="B551" i="6" s="1"/>
  <c r="C543" i="6"/>
  <c r="C544" i="6" s="1"/>
  <c r="C545" i="6" s="1"/>
  <c r="C546" i="6" s="1"/>
  <c r="B543" i="6"/>
  <c r="B544" i="6" s="1"/>
  <c r="B545" i="6" s="1"/>
  <c r="B546" i="6" s="1"/>
  <c r="C538" i="6"/>
  <c r="C539" i="6" s="1"/>
  <c r="C540" i="6" s="1"/>
  <c r="C541" i="6" s="1"/>
  <c r="B538" i="6"/>
  <c r="B539" i="6" s="1"/>
  <c r="B540" i="6" s="1"/>
  <c r="B541" i="6" s="1"/>
  <c r="C533" i="6"/>
  <c r="C534" i="6" s="1"/>
  <c r="C535" i="6" s="1"/>
  <c r="C536" i="6" s="1"/>
  <c r="B533" i="6"/>
  <c r="B534" i="6" s="1"/>
  <c r="B535" i="6" s="1"/>
  <c r="B536" i="6" s="1"/>
  <c r="B530" i="6"/>
  <c r="B531" i="6" s="1"/>
  <c r="C529" i="6"/>
  <c r="C530" i="6" s="1"/>
  <c r="C531" i="6" s="1"/>
  <c r="C528" i="6"/>
  <c r="B528" i="6"/>
  <c r="B529" i="6" s="1"/>
  <c r="B525" i="6"/>
  <c r="B526" i="6" s="1"/>
  <c r="C524" i="6"/>
  <c r="C525" i="6" s="1"/>
  <c r="C526" i="6" s="1"/>
  <c r="C523" i="6"/>
  <c r="B523" i="6"/>
  <c r="B524" i="6" s="1"/>
  <c r="C518" i="6"/>
  <c r="C519" i="6" s="1"/>
  <c r="C520" i="6" s="1"/>
  <c r="C521" i="6" s="1"/>
  <c r="B518" i="6"/>
  <c r="B519" i="6" s="1"/>
  <c r="B520" i="6" s="1"/>
  <c r="B521" i="6" s="1"/>
  <c r="C513" i="6"/>
  <c r="C514" i="6" s="1"/>
  <c r="C515" i="6" s="1"/>
  <c r="C516" i="6" s="1"/>
  <c r="B513" i="6"/>
  <c r="B514" i="6" s="1"/>
  <c r="B515" i="6" s="1"/>
  <c r="B516" i="6" s="1"/>
  <c r="C509" i="6"/>
  <c r="C510" i="6" s="1"/>
  <c r="C511" i="6" s="1"/>
  <c r="C508" i="6"/>
  <c r="B508" i="6"/>
  <c r="B509" i="6" s="1"/>
  <c r="B510" i="6" s="1"/>
  <c r="B511" i="6" s="1"/>
  <c r="C503" i="6"/>
  <c r="C504" i="6" s="1"/>
  <c r="C505" i="6" s="1"/>
  <c r="C506" i="6" s="1"/>
  <c r="B503" i="6"/>
  <c r="B504" i="6" s="1"/>
  <c r="B505" i="6" s="1"/>
  <c r="B506" i="6" s="1"/>
  <c r="C498" i="6"/>
  <c r="C499" i="6" s="1"/>
  <c r="C500" i="6" s="1"/>
  <c r="C501" i="6" s="1"/>
  <c r="B498" i="6"/>
  <c r="B499" i="6" s="1"/>
  <c r="B500" i="6" s="1"/>
  <c r="B501" i="6" s="1"/>
  <c r="B496" i="6"/>
  <c r="B495" i="6"/>
  <c r="C493" i="6"/>
  <c r="C494" i="6" s="1"/>
  <c r="C495" i="6" s="1"/>
  <c r="C496" i="6" s="1"/>
  <c r="B493" i="6"/>
  <c r="B494" i="6" s="1"/>
  <c r="C490" i="6"/>
  <c r="C491" i="6" s="1"/>
  <c r="B490" i="6"/>
  <c r="B491" i="6" s="1"/>
  <c r="C489" i="6"/>
  <c r="C488" i="6"/>
  <c r="B488" i="6"/>
  <c r="B489" i="6" s="1"/>
  <c r="B485" i="6"/>
  <c r="B486" i="6" s="1"/>
  <c r="C484" i="6"/>
  <c r="C485" i="6" s="1"/>
  <c r="C486" i="6" s="1"/>
  <c r="C483" i="6"/>
  <c r="B483" i="6"/>
  <c r="B484" i="6" s="1"/>
  <c r="C479" i="6"/>
  <c r="C480" i="6" s="1"/>
  <c r="C481" i="6" s="1"/>
  <c r="C478" i="6"/>
  <c r="B478" i="6"/>
  <c r="B479" i="6" s="1"/>
  <c r="B480" i="6" s="1"/>
  <c r="B481" i="6" s="1"/>
  <c r="C473" i="6"/>
  <c r="C474" i="6" s="1"/>
  <c r="C475" i="6" s="1"/>
  <c r="C476" i="6" s="1"/>
  <c r="B473" i="6"/>
  <c r="B474" i="6" s="1"/>
  <c r="B475" i="6" s="1"/>
  <c r="B476" i="6" s="1"/>
  <c r="C468" i="6"/>
  <c r="C469" i="6" s="1"/>
  <c r="C470" i="6" s="1"/>
  <c r="C471" i="6" s="1"/>
  <c r="B468" i="6"/>
  <c r="B469" i="6" s="1"/>
  <c r="B470" i="6" s="1"/>
  <c r="B471" i="6" s="1"/>
  <c r="C463" i="6"/>
  <c r="C464" i="6" s="1"/>
  <c r="C465" i="6" s="1"/>
  <c r="C466" i="6" s="1"/>
  <c r="B463" i="6"/>
  <c r="B464" i="6" s="1"/>
  <c r="B465" i="6" s="1"/>
  <c r="B466" i="6" s="1"/>
  <c r="C458" i="6"/>
  <c r="C459" i="6" s="1"/>
  <c r="C460" i="6" s="1"/>
  <c r="C461" i="6" s="1"/>
  <c r="B458" i="6"/>
  <c r="B459" i="6" s="1"/>
  <c r="B460" i="6" s="1"/>
  <c r="B461" i="6" s="1"/>
  <c r="B456" i="6"/>
  <c r="B455" i="6"/>
  <c r="C453" i="6"/>
  <c r="C454" i="6" s="1"/>
  <c r="C455" i="6" s="1"/>
  <c r="C456" i="6" s="1"/>
  <c r="B453" i="6"/>
  <c r="B454" i="6" s="1"/>
  <c r="C450" i="6"/>
  <c r="C451" i="6" s="1"/>
  <c r="B450" i="6"/>
  <c r="B451" i="6" s="1"/>
  <c r="C449" i="6"/>
  <c r="C448" i="6"/>
  <c r="B448" i="6"/>
  <c r="B449" i="6" s="1"/>
  <c r="B445" i="6"/>
  <c r="B446" i="6" s="1"/>
  <c r="C444" i="6"/>
  <c r="C445" i="6" s="1"/>
  <c r="C446" i="6" s="1"/>
  <c r="C443" i="6"/>
  <c r="B443" i="6"/>
  <c r="B444" i="6" s="1"/>
  <c r="C439" i="6"/>
  <c r="C440" i="6" s="1"/>
  <c r="C441" i="6" s="1"/>
  <c r="C438" i="6"/>
  <c r="B438" i="6"/>
  <c r="B439" i="6" s="1"/>
  <c r="B440" i="6" s="1"/>
  <c r="B441" i="6" s="1"/>
  <c r="C433" i="6"/>
  <c r="C434" i="6" s="1"/>
  <c r="C435" i="6" s="1"/>
  <c r="C436" i="6" s="1"/>
  <c r="B433" i="6"/>
  <c r="B434" i="6" s="1"/>
  <c r="B435" i="6" s="1"/>
  <c r="B436" i="6" s="1"/>
  <c r="C429" i="6"/>
  <c r="C430" i="6" s="1"/>
  <c r="C431" i="6" s="1"/>
  <c r="C428" i="6"/>
  <c r="B428" i="6"/>
  <c r="B429" i="6" s="1"/>
  <c r="B430" i="6" s="1"/>
  <c r="B431" i="6" s="1"/>
  <c r="C423" i="6"/>
  <c r="C424" i="6" s="1"/>
  <c r="C425" i="6" s="1"/>
  <c r="C426" i="6" s="1"/>
  <c r="B423" i="6"/>
  <c r="B424" i="6" s="1"/>
  <c r="B425" i="6" s="1"/>
  <c r="B426" i="6" s="1"/>
  <c r="C418" i="6"/>
  <c r="C419" i="6" s="1"/>
  <c r="C420" i="6" s="1"/>
  <c r="C421" i="6" s="1"/>
  <c r="B418" i="6"/>
  <c r="B419" i="6" s="1"/>
  <c r="B420" i="6" s="1"/>
  <c r="B421" i="6" s="1"/>
  <c r="B416" i="6"/>
  <c r="B415" i="6"/>
  <c r="C413" i="6"/>
  <c r="C414" i="6" s="1"/>
  <c r="C415" i="6" s="1"/>
  <c r="C416" i="6" s="1"/>
  <c r="B413" i="6"/>
  <c r="B414" i="6" s="1"/>
  <c r="B410" i="6"/>
  <c r="B411" i="6" s="1"/>
  <c r="C408" i="6"/>
  <c r="C409" i="6" s="1"/>
  <c r="C410" i="6" s="1"/>
  <c r="C411" i="6" s="1"/>
  <c r="B408" i="6"/>
  <c r="B409" i="6" s="1"/>
  <c r="B405" i="6"/>
  <c r="B406" i="6" s="1"/>
  <c r="C403" i="6"/>
  <c r="C404" i="6" s="1"/>
  <c r="C405" i="6" s="1"/>
  <c r="C406" i="6" s="1"/>
  <c r="B403" i="6"/>
  <c r="B404" i="6" s="1"/>
  <c r="C399" i="6"/>
  <c r="C400" i="6" s="1"/>
  <c r="C401" i="6" s="1"/>
  <c r="C398" i="6"/>
  <c r="B398" i="6"/>
  <c r="B399" i="6" s="1"/>
  <c r="B400" i="6" s="1"/>
  <c r="B401" i="6" s="1"/>
  <c r="C393" i="6"/>
  <c r="C394" i="6" s="1"/>
  <c r="C395" i="6" s="1"/>
  <c r="C396" i="6" s="1"/>
  <c r="B393" i="6"/>
  <c r="B394" i="6" s="1"/>
  <c r="B395" i="6" s="1"/>
  <c r="B396" i="6" s="1"/>
  <c r="C388" i="6"/>
  <c r="C389" i="6" s="1"/>
  <c r="C390" i="6" s="1"/>
  <c r="C391" i="6" s="1"/>
  <c r="B388" i="6"/>
  <c r="B389" i="6" s="1"/>
  <c r="B390" i="6" s="1"/>
  <c r="B391" i="6" s="1"/>
  <c r="C383" i="6"/>
  <c r="C384" i="6" s="1"/>
  <c r="C385" i="6" s="1"/>
  <c r="C386" i="6" s="1"/>
  <c r="B383" i="6"/>
  <c r="B384" i="6" s="1"/>
  <c r="B385" i="6" s="1"/>
  <c r="B386" i="6" s="1"/>
  <c r="C378" i="6"/>
  <c r="C379" i="6" s="1"/>
  <c r="C380" i="6" s="1"/>
  <c r="C381" i="6" s="1"/>
  <c r="B378" i="6"/>
  <c r="B379" i="6" s="1"/>
  <c r="B380" i="6" s="1"/>
  <c r="B381" i="6" s="1"/>
  <c r="B376" i="6"/>
  <c r="B375" i="6"/>
  <c r="C373" i="6"/>
  <c r="C374" i="6" s="1"/>
  <c r="C375" i="6" s="1"/>
  <c r="C376" i="6" s="1"/>
  <c r="B373" i="6"/>
  <c r="B374" i="6" s="1"/>
  <c r="C370" i="6"/>
  <c r="C371" i="6" s="1"/>
  <c r="B370" i="6"/>
  <c r="B371" i="6" s="1"/>
  <c r="C369" i="6"/>
  <c r="C368" i="6"/>
  <c r="B368" i="6"/>
  <c r="B369" i="6" s="1"/>
  <c r="B365" i="6"/>
  <c r="B366" i="6" s="1"/>
  <c r="C363" i="6"/>
  <c r="C364" i="6" s="1"/>
  <c r="C365" i="6" s="1"/>
  <c r="C366" i="6" s="1"/>
  <c r="B363" i="6"/>
  <c r="B364" i="6" s="1"/>
  <c r="C358" i="6"/>
  <c r="C359" i="6" s="1"/>
  <c r="C360" i="6" s="1"/>
  <c r="C361" i="6" s="1"/>
  <c r="B358" i="6"/>
  <c r="B359" i="6" s="1"/>
  <c r="B360" i="6" s="1"/>
  <c r="B361" i="6" s="1"/>
  <c r="C353" i="6"/>
  <c r="C354" i="6" s="1"/>
  <c r="C355" i="6" s="1"/>
  <c r="C356" i="6" s="1"/>
  <c r="B353" i="6"/>
  <c r="B354" i="6" s="1"/>
  <c r="B355" i="6" s="1"/>
  <c r="B356" i="6" s="1"/>
  <c r="C348" i="6"/>
  <c r="C349" i="6" s="1"/>
  <c r="C350" i="6" s="1"/>
  <c r="C351" i="6" s="1"/>
  <c r="B348" i="6"/>
  <c r="B349" i="6" s="1"/>
  <c r="B350" i="6" s="1"/>
  <c r="B351" i="6" s="1"/>
  <c r="C343" i="6"/>
  <c r="C344" i="6" s="1"/>
  <c r="C345" i="6" s="1"/>
  <c r="C346" i="6" s="1"/>
  <c r="B343" i="6"/>
  <c r="B344" i="6" s="1"/>
  <c r="B345" i="6" s="1"/>
  <c r="B346" i="6" s="1"/>
  <c r="C338" i="6"/>
  <c r="C339" i="6" s="1"/>
  <c r="C340" i="6" s="1"/>
  <c r="C341" i="6" s="1"/>
  <c r="B338" i="6"/>
  <c r="B339" i="6" s="1"/>
  <c r="B340" i="6" s="1"/>
  <c r="B341" i="6" s="1"/>
  <c r="B336" i="6"/>
  <c r="B335" i="6"/>
  <c r="C333" i="6"/>
  <c r="C334" i="6" s="1"/>
  <c r="C335" i="6" s="1"/>
  <c r="C336" i="6" s="1"/>
  <c r="B333" i="6"/>
  <c r="B334" i="6" s="1"/>
  <c r="C330" i="6"/>
  <c r="C331" i="6" s="1"/>
  <c r="B330" i="6"/>
  <c r="B331" i="6" s="1"/>
  <c r="C329" i="6"/>
  <c r="C328" i="6"/>
  <c r="B328" i="6"/>
  <c r="B329" i="6" s="1"/>
  <c r="B325" i="6"/>
  <c r="B326" i="6" s="1"/>
  <c r="C324" i="6"/>
  <c r="C325" i="6" s="1"/>
  <c r="C326" i="6" s="1"/>
  <c r="C323" i="6"/>
  <c r="B323" i="6"/>
  <c r="B324" i="6" s="1"/>
  <c r="C319" i="6"/>
  <c r="C320" i="6" s="1"/>
  <c r="C321" i="6" s="1"/>
  <c r="C318" i="6"/>
  <c r="B318" i="6"/>
  <c r="B319" i="6" s="1"/>
  <c r="B320" i="6" s="1"/>
  <c r="B321" i="6" s="1"/>
  <c r="C313" i="6"/>
  <c r="C314" i="6" s="1"/>
  <c r="C315" i="6" s="1"/>
  <c r="C316" i="6" s="1"/>
  <c r="B313" i="6"/>
  <c r="B314" i="6" s="1"/>
  <c r="B315" i="6" s="1"/>
  <c r="B316" i="6" s="1"/>
  <c r="C309" i="6"/>
  <c r="C310" i="6" s="1"/>
  <c r="C311" i="6" s="1"/>
  <c r="C308" i="6"/>
  <c r="B308" i="6"/>
  <c r="B309" i="6" s="1"/>
  <c r="B310" i="6" s="1"/>
  <c r="B311" i="6" s="1"/>
  <c r="C303" i="6"/>
  <c r="C304" i="6" s="1"/>
  <c r="C305" i="6" s="1"/>
  <c r="C306" i="6" s="1"/>
  <c r="B303" i="6"/>
  <c r="B304" i="6" s="1"/>
  <c r="B305" i="6" s="1"/>
  <c r="B306" i="6" s="1"/>
  <c r="C298" i="6"/>
  <c r="C299" i="6" s="1"/>
  <c r="C300" i="6" s="1"/>
  <c r="C301" i="6" s="1"/>
  <c r="B298" i="6"/>
  <c r="B299" i="6" s="1"/>
  <c r="B300" i="6" s="1"/>
  <c r="B301" i="6" s="1"/>
  <c r="B296" i="6"/>
  <c r="B295" i="6"/>
  <c r="C293" i="6"/>
  <c r="C294" i="6" s="1"/>
  <c r="C295" i="6" s="1"/>
  <c r="C296" i="6" s="1"/>
  <c r="B293" i="6"/>
  <c r="B294" i="6" s="1"/>
  <c r="C290" i="6"/>
  <c r="C291" i="6" s="1"/>
  <c r="B290" i="6"/>
  <c r="B291" i="6" s="1"/>
  <c r="C289" i="6"/>
  <c r="C288" i="6"/>
  <c r="B288" i="6"/>
  <c r="B289" i="6" s="1"/>
  <c r="B285" i="6"/>
  <c r="B286" i="6" s="1"/>
  <c r="C284" i="6"/>
  <c r="C285" i="6" s="1"/>
  <c r="C286" i="6" s="1"/>
  <c r="C283" i="6"/>
  <c r="B283" i="6"/>
  <c r="B284" i="6" s="1"/>
  <c r="C279" i="6"/>
  <c r="C280" i="6" s="1"/>
  <c r="C281" i="6" s="1"/>
  <c r="C278" i="6"/>
  <c r="B278" i="6"/>
  <c r="B279" i="6" s="1"/>
  <c r="B280" i="6" s="1"/>
  <c r="B281" i="6" s="1"/>
  <c r="C273" i="6"/>
  <c r="C274" i="6" s="1"/>
  <c r="C275" i="6" s="1"/>
  <c r="C276" i="6" s="1"/>
  <c r="B273" i="6"/>
  <c r="B274" i="6" s="1"/>
  <c r="B275" i="6" s="1"/>
  <c r="B276" i="6" s="1"/>
  <c r="C269" i="6"/>
  <c r="C270" i="6" s="1"/>
  <c r="C271" i="6" s="1"/>
  <c r="C268" i="6"/>
  <c r="B268" i="6"/>
  <c r="B269" i="6" s="1"/>
  <c r="B270" i="6" s="1"/>
  <c r="B271" i="6" s="1"/>
  <c r="C263" i="6"/>
  <c r="C264" i="6" s="1"/>
  <c r="C265" i="6" s="1"/>
  <c r="C266" i="6" s="1"/>
  <c r="B263" i="6"/>
  <c r="B264" i="6" s="1"/>
  <c r="B265" i="6" s="1"/>
  <c r="B266" i="6" s="1"/>
  <c r="C258" i="6"/>
  <c r="C259" i="6" s="1"/>
  <c r="C260" i="6" s="1"/>
  <c r="C261" i="6" s="1"/>
  <c r="B258" i="6"/>
  <c r="B259" i="6" s="1"/>
  <c r="B260" i="6" s="1"/>
  <c r="B261" i="6" s="1"/>
  <c r="B256" i="6"/>
  <c r="B255" i="6"/>
  <c r="C253" i="6"/>
  <c r="C254" i="6" s="1"/>
  <c r="C255" i="6" s="1"/>
  <c r="C256" i="6" s="1"/>
  <c r="B253" i="6"/>
  <c r="B254" i="6" s="1"/>
  <c r="B250" i="6"/>
  <c r="B251" i="6" s="1"/>
  <c r="C248" i="6"/>
  <c r="C249" i="6" s="1"/>
  <c r="C250" i="6" s="1"/>
  <c r="C251" i="6" s="1"/>
  <c r="B248" i="6"/>
  <c r="B249" i="6" s="1"/>
  <c r="B245" i="6"/>
  <c r="B246" i="6" s="1"/>
  <c r="C244" i="6"/>
  <c r="C245" i="6" s="1"/>
  <c r="C246" i="6" s="1"/>
  <c r="C243" i="6"/>
  <c r="B243" i="6"/>
  <c r="B244" i="6" s="1"/>
  <c r="C239" i="6"/>
  <c r="C240" i="6" s="1"/>
  <c r="C241" i="6" s="1"/>
  <c r="C238" i="6"/>
  <c r="B238" i="6"/>
  <c r="B239" i="6" s="1"/>
  <c r="B240" i="6" s="1"/>
  <c r="B241" i="6" s="1"/>
  <c r="C233" i="6"/>
  <c r="C234" i="6" s="1"/>
  <c r="C235" i="6" s="1"/>
  <c r="C236" i="6" s="1"/>
  <c r="B233" i="6"/>
  <c r="B234" i="6" s="1"/>
  <c r="B235" i="6" s="1"/>
  <c r="B236" i="6" s="1"/>
  <c r="C229" i="6"/>
  <c r="C230" i="6" s="1"/>
  <c r="C231" i="6" s="1"/>
  <c r="C228" i="6"/>
  <c r="B228" i="6"/>
  <c r="B229" i="6" s="1"/>
  <c r="B230" i="6" s="1"/>
  <c r="B231" i="6" s="1"/>
  <c r="C223" i="6"/>
  <c r="C224" i="6" s="1"/>
  <c r="C225" i="6" s="1"/>
  <c r="C226" i="6" s="1"/>
  <c r="B223" i="6"/>
  <c r="B224" i="6" s="1"/>
  <c r="B225" i="6" s="1"/>
  <c r="B226" i="6" s="1"/>
  <c r="C218" i="6"/>
  <c r="C219" i="6" s="1"/>
  <c r="C220" i="6" s="1"/>
  <c r="C221" i="6" s="1"/>
  <c r="B218" i="6"/>
  <c r="B219" i="6" s="1"/>
  <c r="B220" i="6" s="1"/>
  <c r="B221" i="6" s="1"/>
  <c r="B216" i="6"/>
  <c r="B215" i="6"/>
  <c r="C213" i="6"/>
  <c r="C214" i="6" s="1"/>
  <c r="C215" i="6" s="1"/>
  <c r="C216" i="6" s="1"/>
  <c r="B213" i="6"/>
  <c r="B214" i="6" s="1"/>
  <c r="C210" i="6"/>
  <c r="C211" i="6" s="1"/>
  <c r="B210" i="6"/>
  <c r="B211" i="6" s="1"/>
  <c r="C209" i="6"/>
  <c r="C208" i="6"/>
  <c r="B208" i="6"/>
  <c r="B209" i="6" s="1"/>
  <c r="B205" i="6"/>
  <c r="B206" i="6" s="1"/>
  <c r="C204" i="6"/>
  <c r="C205" i="6" s="1"/>
  <c r="C206" i="6" s="1"/>
  <c r="C203" i="6"/>
  <c r="B203" i="6"/>
  <c r="B204" i="6" s="1"/>
  <c r="C198" i="6"/>
  <c r="C199" i="6" s="1"/>
  <c r="C200" i="6" s="1"/>
  <c r="C201" i="6" s="1"/>
  <c r="B198" i="6"/>
  <c r="B199" i="6" s="1"/>
  <c r="B200" i="6" s="1"/>
  <c r="B201" i="6" s="1"/>
  <c r="C193" i="6"/>
  <c r="C194" i="6" s="1"/>
  <c r="C195" i="6" s="1"/>
  <c r="C196" i="6" s="1"/>
  <c r="B193" i="6"/>
  <c r="B194" i="6" s="1"/>
  <c r="B195" i="6" s="1"/>
  <c r="B196" i="6" s="1"/>
  <c r="C189" i="6"/>
  <c r="C190" i="6" s="1"/>
  <c r="C191" i="6" s="1"/>
  <c r="C188" i="6"/>
  <c r="B188" i="6"/>
  <c r="B189" i="6" s="1"/>
  <c r="B190" i="6" s="1"/>
  <c r="B191" i="6" s="1"/>
  <c r="C183" i="6"/>
  <c r="C184" i="6" s="1"/>
  <c r="C185" i="6" s="1"/>
  <c r="C186" i="6" s="1"/>
  <c r="B183" i="6"/>
  <c r="B184" i="6" s="1"/>
  <c r="B185" i="6" s="1"/>
  <c r="B186" i="6" s="1"/>
  <c r="C178" i="6"/>
  <c r="C179" i="6" s="1"/>
  <c r="C180" i="6" s="1"/>
  <c r="C181" i="6" s="1"/>
  <c r="B178" i="6"/>
  <c r="B179" i="6" s="1"/>
  <c r="B180" i="6" s="1"/>
  <c r="B181" i="6" s="1"/>
  <c r="B176" i="6"/>
  <c r="B175" i="6"/>
  <c r="C173" i="6"/>
  <c r="C174" i="6" s="1"/>
  <c r="C175" i="6" s="1"/>
  <c r="C176" i="6" s="1"/>
  <c r="B173" i="6"/>
  <c r="B174" i="6" s="1"/>
  <c r="B170" i="6"/>
  <c r="B171" i="6" s="1"/>
  <c r="C169" i="6"/>
  <c r="C170" i="6" s="1"/>
  <c r="C171" i="6" s="1"/>
  <c r="C168" i="6"/>
  <c r="B168" i="6"/>
  <c r="B169" i="6" s="1"/>
  <c r="B165" i="6"/>
  <c r="B166" i="6" s="1"/>
  <c r="B164" i="6"/>
  <c r="C163" i="6"/>
  <c r="C164" i="6" s="1"/>
  <c r="C165" i="6" s="1"/>
  <c r="C166" i="6" s="1"/>
  <c r="B163" i="6"/>
  <c r="B160" i="6"/>
  <c r="B161" i="6" s="1"/>
  <c r="C159" i="6"/>
  <c r="C160" i="6" s="1"/>
  <c r="C161" i="6" s="1"/>
  <c r="B159" i="6"/>
  <c r="C158" i="6"/>
  <c r="B158" i="6"/>
  <c r="B155" i="6"/>
  <c r="B156" i="6" s="1"/>
  <c r="B154" i="6"/>
  <c r="C153" i="6"/>
  <c r="C154" i="6" s="1"/>
  <c r="C155" i="6" s="1"/>
  <c r="C156" i="6" s="1"/>
  <c r="B153" i="6"/>
  <c r="B150" i="6"/>
  <c r="B151" i="6" s="1"/>
  <c r="B149" i="6"/>
  <c r="C148" i="6"/>
  <c r="C149" i="6" s="1"/>
  <c r="C150" i="6" s="1"/>
  <c r="C151" i="6" s="1"/>
  <c r="B148" i="6"/>
  <c r="B145" i="6"/>
  <c r="B146" i="6" s="1"/>
  <c r="C144" i="6"/>
  <c r="C145" i="6" s="1"/>
  <c r="C146" i="6" s="1"/>
  <c r="B144" i="6"/>
  <c r="C143" i="6"/>
  <c r="B143" i="6"/>
  <c r="B140" i="6"/>
  <c r="B141" i="6" s="1"/>
  <c r="C139" i="6"/>
  <c r="C140" i="6" s="1"/>
  <c r="C141" i="6" s="1"/>
  <c r="B139" i="6"/>
  <c r="C138" i="6"/>
  <c r="B138" i="6"/>
  <c r="B135" i="6"/>
  <c r="B136" i="6" s="1"/>
  <c r="B134" i="6"/>
  <c r="C133" i="6"/>
  <c r="C134" i="6" s="1"/>
  <c r="C135" i="6" s="1"/>
  <c r="C136" i="6" s="1"/>
  <c r="B133" i="6"/>
  <c r="B130" i="6"/>
  <c r="B131" i="6" s="1"/>
  <c r="C129" i="6"/>
  <c r="C130" i="6" s="1"/>
  <c r="C131" i="6" s="1"/>
  <c r="B129" i="6"/>
  <c r="C128" i="6"/>
  <c r="B128" i="6"/>
  <c r="B125" i="6"/>
  <c r="B126" i="6" s="1"/>
  <c r="B124" i="6"/>
  <c r="C123" i="6"/>
  <c r="C124" i="6" s="1"/>
  <c r="C125" i="6" s="1"/>
  <c r="C126" i="6" s="1"/>
  <c r="B123" i="6"/>
  <c r="B120" i="6"/>
  <c r="B121" i="6" s="1"/>
  <c r="C119" i="6"/>
  <c r="C120" i="6" s="1"/>
  <c r="C121" i="6" s="1"/>
  <c r="B119" i="6"/>
  <c r="C118" i="6"/>
  <c r="B118" i="6"/>
  <c r="B115" i="6"/>
  <c r="B116" i="6" s="1"/>
  <c r="B114" i="6"/>
  <c r="C113" i="6"/>
  <c r="C114" i="6" s="1"/>
  <c r="C115" i="6" s="1"/>
  <c r="C116" i="6" s="1"/>
  <c r="B113" i="6"/>
  <c r="B110" i="6"/>
  <c r="B111" i="6" s="1"/>
  <c r="B109" i="6"/>
  <c r="C108" i="6"/>
  <c r="C109" i="6" s="1"/>
  <c r="C110" i="6" s="1"/>
  <c r="C111" i="6" s="1"/>
  <c r="B108" i="6"/>
  <c r="B105" i="6"/>
  <c r="B106" i="6" s="1"/>
  <c r="C104" i="6"/>
  <c r="C105" i="6" s="1"/>
  <c r="C106" i="6" s="1"/>
  <c r="B104" i="6"/>
  <c r="C103" i="6"/>
  <c r="B103" i="6"/>
  <c r="B100" i="6"/>
  <c r="B101" i="6" s="1"/>
  <c r="B99" i="6"/>
  <c r="C98" i="6"/>
  <c r="C99" i="6" s="1"/>
  <c r="C100" i="6" s="1"/>
  <c r="C101" i="6" s="1"/>
  <c r="B98" i="6"/>
  <c r="B95" i="6"/>
  <c r="B96" i="6" s="1"/>
  <c r="C94" i="6"/>
  <c r="C95" i="6" s="1"/>
  <c r="C96" i="6" s="1"/>
  <c r="B94" i="6"/>
  <c r="C93" i="6"/>
  <c r="B93" i="6"/>
  <c r="B90" i="6"/>
  <c r="B91" i="6" s="1"/>
  <c r="C89" i="6"/>
  <c r="C90" i="6" s="1"/>
  <c r="C91" i="6" s="1"/>
  <c r="B89" i="6"/>
  <c r="C88" i="6"/>
  <c r="B88" i="6"/>
  <c r="B85" i="6"/>
  <c r="B86" i="6" s="1"/>
  <c r="B84" i="6"/>
  <c r="C83" i="6"/>
  <c r="C84" i="6" s="1"/>
  <c r="C85" i="6" s="1"/>
  <c r="C86" i="6" s="1"/>
  <c r="B83" i="6"/>
  <c r="B80" i="6"/>
  <c r="B81" i="6" s="1"/>
  <c r="C79" i="6"/>
  <c r="C80" i="6" s="1"/>
  <c r="C81" i="6" s="1"/>
  <c r="B79" i="6"/>
  <c r="C78" i="6"/>
  <c r="B78" i="6"/>
  <c r="B75" i="6"/>
  <c r="B76" i="6" s="1"/>
  <c r="B74" i="6"/>
  <c r="C73" i="6"/>
  <c r="C74" i="6" s="1"/>
  <c r="C75" i="6" s="1"/>
  <c r="C76" i="6" s="1"/>
  <c r="B73" i="6"/>
  <c r="B70" i="6"/>
  <c r="B71" i="6" s="1"/>
  <c r="C69" i="6"/>
  <c r="C70" i="6" s="1"/>
  <c r="C71" i="6" s="1"/>
  <c r="B69" i="6"/>
  <c r="C68" i="6"/>
  <c r="B68" i="6"/>
  <c r="B65" i="6"/>
  <c r="B66" i="6" s="1"/>
  <c r="C64" i="6"/>
  <c r="C65" i="6" s="1"/>
  <c r="C66" i="6" s="1"/>
  <c r="B64" i="6"/>
  <c r="C63" i="6"/>
  <c r="B63" i="6"/>
  <c r="B60" i="6"/>
  <c r="B61" i="6" s="1"/>
  <c r="C59" i="6"/>
  <c r="C60" i="6" s="1"/>
  <c r="C61" i="6" s="1"/>
  <c r="B59" i="6"/>
  <c r="C58" i="6"/>
  <c r="B58" i="6"/>
  <c r="B55" i="6"/>
  <c r="B56" i="6" s="1"/>
  <c r="C54" i="6"/>
  <c r="C55" i="6" s="1"/>
  <c r="C56" i="6" s="1"/>
  <c r="B54" i="6"/>
  <c r="C53" i="6"/>
  <c r="B53" i="6"/>
  <c r="B50" i="6"/>
  <c r="B51" i="6" s="1"/>
  <c r="C49" i="6"/>
  <c r="C50" i="6" s="1"/>
  <c r="C51" i="6" s="1"/>
  <c r="B49" i="6"/>
  <c r="C48" i="6"/>
  <c r="B48" i="6"/>
  <c r="B45" i="6"/>
  <c r="B46" i="6" s="1"/>
  <c r="B44" i="6"/>
  <c r="C43" i="6"/>
  <c r="C44" i="6" s="1"/>
  <c r="C45" i="6" s="1"/>
  <c r="C46" i="6" s="1"/>
  <c r="B43" i="6"/>
  <c r="B40" i="6"/>
  <c r="B41" i="6" s="1"/>
  <c r="C39" i="6"/>
  <c r="C40" i="6" s="1"/>
  <c r="C41" i="6" s="1"/>
  <c r="B39" i="6"/>
  <c r="C38" i="6"/>
  <c r="B38" i="6"/>
  <c r="B35" i="6"/>
  <c r="B36" i="6" s="1"/>
  <c r="B34" i="6"/>
  <c r="C33" i="6"/>
  <c r="C34" i="6" s="1"/>
  <c r="C35" i="6" s="1"/>
  <c r="C36" i="6" s="1"/>
  <c r="B33" i="6"/>
  <c r="B30" i="6"/>
  <c r="B31" i="6" s="1"/>
  <c r="B29" i="6"/>
  <c r="C28" i="6"/>
  <c r="C29" i="6" s="1"/>
  <c r="C30" i="6" s="1"/>
  <c r="C31" i="6" s="1"/>
  <c r="B28" i="6"/>
  <c r="C24" i="6"/>
  <c r="C25" i="6" s="1"/>
  <c r="C26" i="6" s="1"/>
  <c r="B24" i="6"/>
  <c r="B25" i="6" s="1"/>
  <c r="B26" i="6" s="1"/>
  <c r="C23" i="6"/>
  <c r="B23" i="6"/>
  <c r="B19" i="6"/>
  <c r="B20" i="6" s="1"/>
  <c r="B21" i="6" s="1"/>
  <c r="C18" i="6"/>
  <c r="C19" i="6" s="1"/>
  <c r="C20" i="6" s="1"/>
  <c r="C21" i="6" s="1"/>
  <c r="B18" i="6"/>
  <c r="C14" i="6"/>
  <c r="C15" i="6" s="1"/>
  <c r="C16" i="6" s="1"/>
  <c r="B14" i="6"/>
  <c r="B15" i="6" s="1"/>
  <c r="B16" i="6" s="1"/>
  <c r="C13" i="6"/>
  <c r="B13" i="6"/>
  <c r="C9" i="6"/>
  <c r="C10" i="6" s="1"/>
  <c r="C11" i="6" s="1"/>
  <c r="B9" i="6"/>
  <c r="B10" i="6" s="1"/>
  <c r="B11" i="6" s="1"/>
  <c r="C8" i="6"/>
  <c r="B8" i="6"/>
  <c r="K828" i="1" l="1"/>
  <c r="K829" i="1" s="1"/>
  <c r="K830" i="1" s="1"/>
  <c r="K831" i="1" s="1"/>
  <c r="C166" i="4"/>
  <c r="C237" i="4"/>
  <c r="K1183" i="1"/>
  <c r="K1184" i="1" s="1"/>
  <c r="K1185" i="1" s="1"/>
  <c r="K1186" i="1" s="1"/>
  <c r="K348" i="1"/>
  <c r="K349" i="1" s="1"/>
  <c r="K350" i="1" s="1"/>
  <c r="K351" i="1" s="1"/>
  <c r="C70" i="4"/>
  <c r="K1438" i="1"/>
  <c r="K1439" i="1" s="1"/>
  <c r="K1440" i="1" s="1"/>
  <c r="K1441" i="1" s="1"/>
  <c r="C288" i="4"/>
  <c r="K28" i="1"/>
  <c r="K29" i="1" s="1"/>
  <c r="K30" i="1" s="1"/>
  <c r="K31" i="1" s="1"/>
  <c r="C6" i="4"/>
  <c r="K218" i="1"/>
  <c r="K219" i="1" s="1"/>
  <c r="K220" i="1" s="1"/>
  <c r="K221" i="1" s="1"/>
  <c r="C44" i="4"/>
  <c r="C169" i="4"/>
  <c r="K843" i="1"/>
  <c r="K844" i="1" s="1"/>
  <c r="K845" i="1" s="1"/>
  <c r="K846" i="1" s="1"/>
  <c r="K903" i="1"/>
  <c r="K904" i="1" s="1"/>
  <c r="K905" i="1" s="1"/>
  <c r="K906" i="1" s="1"/>
  <c r="C181" i="4"/>
  <c r="K68" i="1"/>
  <c r="K69" i="1" s="1"/>
  <c r="K70" i="1" s="1"/>
  <c r="K71" i="1" s="1"/>
  <c r="C14" i="4"/>
  <c r="K198" i="1"/>
  <c r="K199" i="1" s="1"/>
  <c r="K200" i="1" s="1"/>
  <c r="K201" i="1" s="1"/>
  <c r="C40" i="4"/>
  <c r="K678" i="1"/>
  <c r="K679" i="1" s="1"/>
  <c r="K680" i="1" s="1"/>
  <c r="K681" i="1" s="1"/>
  <c r="C136" i="4"/>
  <c r="K798" i="1"/>
  <c r="K799" i="1" s="1"/>
  <c r="K800" i="1" s="1"/>
  <c r="K801" i="1" s="1"/>
  <c r="C160" i="4"/>
  <c r="K998" i="1"/>
  <c r="K999" i="1" s="1"/>
  <c r="K1000" i="1" s="1"/>
  <c r="K1001" i="1" s="1"/>
  <c r="C200" i="4"/>
  <c r="K563" i="1"/>
  <c r="K564" i="1" s="1"/>
  <c r="K565" i="1" s="1"/>
  <c r="K566" i="1" s="1"/>
  <c r="C113" i="4"/>
  <c r="C123" i="4"/>
  <c r="K613" i="1"/>
  <c r="K614" i="1" s="1"/>
  <c r="K615" i="1" s="1"/>
  <c r="K616" i="1" s="1"/>
  <c r="C75" i="4"/>
  <c r="K373" i="1"/>
  <c r="K374" i="1" s="1"/>
  <c r="K375" i="1" s="1"/>
  <c r="K376" i="1" s="1"/>
  <c r="C147" i="4"/>
  <c r="K733" i="1"/>
  <c r="K734" i="1" s="1"/>
  <c r="K735" i="1" s="1"/>
  <c r="K736" i="1" s="1"/>
  <c r="K858" i="1"/>
  <c r="K859" i="1" s="1"/>
  <c r="K860" i="1" s="1"/>
  <c r="K861" i="1" s="1"/>
  <c r="C172" i="4"/>
  <c r="K1078" i="1"/>
  <c r="K1079" i="1" s="1"/>
  <c r="K1080" i="1" s="1"/>
  <c r="K1081" i="1" s="1"/>
  <c r="C216" i="4"/>
  <c r="K398" i="1"/>
  <c r="K399" i="1" s="1"/>
  <c r="K400" i="1" s="1"/>
  <c r="K401" i="1" s="1"/>
  <c r="C80" i="4"/>
  <c r="K628" i="1"/>
  <c r="K629" i="1" s="1"/>
  <c r="K630" i="1" s="1"/>
  <c r="K631" i="1" s="1"/>
  <c r="C126" i="4"/>
  <c r="C131" i="4"/>
  <c r="K653" i="1"/>
  <c r="K654" i="1" s="1"/>
  <c r="K655" i="1" s="1"/>
  <c r="K656" i="1" s="1"/>
  <c r="K298" i="1"/>
  <c r="K299" i="1" s="1"/>
  <c r="K300" i="1" s="1"/>
  <c r="K301" i="1" s="1"/>
  <c r="C60" i="4"/>
  <c r="C177" i="4"/>
  <c r="K883" i="1"/>
  <c r="K884" i="1" s="1"/>
  <c r="K885" i="1" s="1"/>
  <c r="K886" i="1" s="1"/>
  <c r="K1143" i="1"/>
  <c r="K1144" i="1" s="1"/>
  <c r="K1145" i="1" s="1"/>
  <c r="K1146" i="1" s="1"/>
  <c r="C229" i="4"/>
  <c r="K1238" i="1"/>
  <c r="K1239" i="1" s="1"/>
  <c r="K1240" i="1" s="1"/>
  <c r="K1241" i="1" s="1"/>
  <c r="C248" i="4"/>
  <c r="C187" i="4"/>
  <c r="K933" i="1"/>
  <c r="K934" i="1" s="1"/>
  <c r="K935" i="1" s="1"/>
  <c r="K936" i="1" s="1"/>
  <c r="K323" i="1"/>
  <c r="K324" i="1" s="1"/>
  <c r="K325" i="1" s="1"/>
  <c r="K326" i="1" s="1"/>
  <c r="C65" i="4"/>
  <c r="K1428" i="1"/>
  <c r="K1429" i="1" s="1"/>
  <c r="K1430" i="1" s="1"/>
  <c r="K1431" i="1" s="1"/>
  <c r="C286" i="4"/>
  <c r="C245" i="4"/>
  <c r="K1223" i="1"/>
  <c r="K1224" i="1" s="1"/>
  <c r="K1225" i="1" s="1"/>
  <c r="K1226" i="1" s="1"/>
  <c r="C43" i="4"/>
  <c r="K213" i="1"/>
  <c r="K214" i="1" s="1"/>
  <c r="K215" i="1" s="1"/>
  <c r="K216" i="1" s="1"/>
  <c r="K1148" i="1"/>
  <c r="K1149" i="1" s="1"/>
  <c r="K1150" i="1" s="1"/>
  <c r="K1151" i="1" s="1"/>
  <c r="C230" i="4"/>
  <c r="K1358" i="1"/>
  <c r="K1359" i="1" s="1"/>
  <c r="K1360" i="1" s="1"/>
  <c r="K1361" i="1" s="1"/>
  <c r="C272" i="4"/>
  <c r="K718" i="1"/>
  <c r="K719" i="1" s="1"/>
  <c r="K720" i="1" s="1"/>
  <c r="K721" i="1" s="1"/>
  <c r="C144" i="4"/>
  <c r="K908" i="1"/>
  <c r="K909" i="1" s="1"/>
  <c r="K910" i="1" s="1"/>
  <c r="K911" i="1" s="1"/>
  <c r="C182" i="4"/>
  <c r="K1278" i="1"/>
  <c r="K1279" i="1" s="1"/>
  <c r="K1280" i="1" s="1"/>
  <c r="K1281" i="1" s="1"/>
  <c r="C256" i="4"/>
  <c r="K108" i="1"/>
  <c r="K109" i="1" s="1"/>
  <c r="K110" i="1" s="1"/>
  <c r="K111" i="1" s="1"/>
  <c r="C22" i="4"/>
  <c r="K598" i="1"/>
  <c r="K599" i="1" s="1"/>
  <c r="K600" i="1" s="1"/>
  <c r="K601" i="1" s="1"/>
  <c r="C120" i="4"/>
  <c r="K1398" i="1"/>
  <c r="K1399" i="1" s="1"/>
  <c r="K1400" i="1" s="1"/>
  <c r="K1401" i="1" s="1"/>
  <c r="C280" i="4"/>
  <c r="K1343" i="1"/>
  <c r="K1344" i="1" s="1"/>
  <c r="K1345" i="1" s="1"/>
  <c r="K1346" i="1" s="1"/>
  <c r="C269" i="4"/>
  <c r="C91" i="4"/>
  <c r="K453" i="1"/>
  <c r="K454" i="1" s="1"/>
  <c r="K455" i="1" s="1"/>
  <c r="K456" i="1" s="1"/>
  <c r="K158" i="1"/>
  <c r="K159" i="1" s="1"/>
  <c r="K160" i="1" s="1"/>
  <c r="K161" i="1" s="1"/>
  <c r="C32" i="4"/>
  <c r="C155" i="4"/>
  <c r="K773" i="1"/>
  <c r="K774" i="1" s="1"/>
  <c r="K775" i="1" s="1"/>
  <c r="K776" i="1" s="1"/>
  <c r="K318" i="1"/>
  <c r="K319" i="1" s="1"/>
  <c r="K320" i="1" s="1"/>
  <c r="K321" i="1" s="1"/>
  <c r="C64" i="4"/>
  <c r="K1453" i="1"/>
  <c r="K1454" i="1" s="1"/>
  <c r="K1455" i="1" s="1"/>
  <c r="K1456" i="1" s="1"/>
  <c r="C291" i="4"/>
  <c r="C241" i="4"/>
  <c r="K1203" i="1"/>
  <c r="K1204" i="1" s="1"/>
  <c r="K1205" i="1" s="1"/>
  <c r="K1206" i="1" s="1"/>
  <c r="K1423" i="1"/>
  <c r="K1424" i="1" s="1"/>
  <c r="K1425" i="1" s="1"/>
  <c r="K1426" i="1" s="1"/>
  <c r="C285" i="4"/>
  <c r="C35" i="4"/>
  <c r="K173" i="1"/>
  <c r="K174" i="1" s="1"/>
  <c r="K175" i="1" s="1"/>
  <c r="K176" i="1" s="1"/>
  <c r="K988" i="1"/>
  <c r="K989" i="1" s="1"/>
  <c r="K990" i="1" s="1"/>
  <c r="K991" i="1" s="1"/>
  <c r="C198" i="4"/>
  <c r="K1253" i="1"/>
  <c r="K1254" i="1" s="1"/>
  <c r="K1255" i="1" s="1"/>
  <c r="K1256" i="1" s="1"/>
  <c r="C251" i="4"/>
  <c r="C203" i="4"/>
  <c r="K1013" i="1"/>
  <c r="K1014" i="1" s="1"/>
  <c r="K1015" i="1" s="1"/>
  <c r="K1016" i="1" s="1"/>
  <c r="C38" i="4"/>
  <c r="K188" i="1"/>
  <c r="K189" i="1" s="1"/>
  <c r="K190" i="1" s="1"/>
  <c r="K191" i="1" s="1"/>
  <c r="K838" i="1"/>
  <c r="K839" i="1" s="1"/>
  <c r="K840" i="1" s="1"/>
  <c r="K841" i="1" s="1"/>
  <c r="C168" i="4"/>
  <c r="K138" i="1"/>
  <c r="K139" i="1" s="1"/>
  <c r="K140" i="1" s="1"/>
  <c r="K141" i="1" s="1"/>
  <c r="C28" i="4"/>
  <c r="K708" i="1"/>
  <c r="K709" i="1" s="1"/>
  <c r="K710" i="1" s="1"/>
  <c r="K711" i="1" s="1"/>
  <c r="C142" i="4"/>
  <c r="K1268" i="1"/>
  <c r="K1269" i="1" s="1"/>
  <c r="K1270" i="1" s="1"/>
  <c r="K1271" i="1" s="1"/>
  <c r="C254" i="4"/>
  <c r="K543" i="1"/>
  <c r="K544" i="1" s="1"/>
  <c r="K545" i="1" s="1"/>
  <c r="K546" i="1" s="1"/>
  <c r="C109" i="4"/>
  <c r="C173" i="4"/>
  <c r="K863" i="1"/>
  <c r="K864" i="1" s="1"/>
  <c r="K865" i="1" s="1"/>
  <c r="K866" i="1" s="1"/>
  <c r="C107" i="4"/>
  <c r="K533" i="1"/>
  <c r="K534" i="1" s="1"/>
  <c r="K535" i="1" s="1"/>
  <c r="K536" i="1" s="1"/>
  <c r="C45" i="4"/>
  <c r="K223" i="1"/>
  <c r="K224" i="1" s="1"/>
  <c r="K225" i="1" s="1"/>
  <c r="K226" i="1" s="1"/>
  <c r="K1388" i="1"/>
  <c r="K1389" i="1" s="1"/>
  <c r="K1390" i="1" s="1"/>
  <c r="K1391" i="1" s="1"/>
  <c r="C278" i="4"/>
  <c r="C115" i="4"/>
  <c r="K573" i="1"/>
  <c r="K574" i="1" s="1"/>
  <c r="K575" i="1" s="1"/>
  <c r="K576" i="1" s="1"/>
  <c r="C265" i="4"/>
  <c r="K1323" i="1"/>
  <c r="K1324" i="1" s="1"/>
  <c r="K1325" i="1" s="1"/>
  <c r="K1326" i="1" s="1"/>
  <c r="C139" i="4"/>
  <c r="K693" i="1"/>
  <c r="K694" i="1" s="1"/>
  <c r="K695" i="1" s="1"/>
  <c r="K696" i="1" s="1"/>
  <c r="K1053" i="1"/>
  <c r="K1054" i="1" s="1"/>
  <c r="K1055" i="1" s="1"/>
  <c r="K1056" i="1" s="1"/>
  <c r="C211" i="4"/>
  <c r="K358" i="1"/>
  <c r="K359" i="1" s="1"/>
  <c r="K360" i="1" s="1"/>
  <c r="K361" i="1" s="1"/>
  <c r="C72" i="4"/>
  <c r="K1063" i="1"/>
  <c r="K1064" i="1" s="1"/>
  <c r="K1065" i="1" s="1"/>
  <c r="K1066" i="1" s="1"/>
  <c r="C213" i="4"/>
  <c r="C11" i="4"/>
  <c r="K53" i="1"/>
  <c r="K54" i="1" s="1"/>
  <c r="K55" i="1" s="1"/>
  <c r="K56" i="1" s="1"/>
  <c r="K243" i="1"/>
  <c r="K244" i="1" s="1"/>
  <c r="K245" i="1" s="1"/>
  <c r="K246" i="1" s="1"/>
  <c r="C49" i="4"/>
  <c r="K1348" i="1"/>
  <c r="K1349" i="1" s="1"/>
  <c r="K1350" i="1" s="1"/>
  <c r="K1351" i="1" s="1"/>
  <c r="C270" i="4"/>
  <c r="K943" i="1"/>
  <c r="K944" i="1" s="1"/>
  <c r="K945" i="1" s="1"/>
  <c r="K946" i="1" s="1"/>
  <c r="C189" i="4"/>
  <c r="K748" i="1"/>
  <c r="K749" i="1" s="1"/>
  <c r="K750" i="1" s="1"/>
  <c r="K751" i="1" s="1"/>
  <c r="C150" i="4"/>
  <c r="C83" i="4"/>
  <c r="K413" i="1"/>
  <c r="K414" i="1" s="1"/>
  <c r="K415" i="1" s="1"/>
  <c r="K416" i="1" s="1"/>
  <c r="K1118" i="1"/>
  <c r="K1119" i="1" s="1"/>
  <c r="K1120" i="1" s="1"/>
  <c r="K1121" i="1" s="1"/>
  <c r="C224" i="4"/>
  <c r="C281" i="4"/>
  <c r="K1403" i="1"/>
  <c r="K1404" i="1" s="1"/>
  <c r="K1405" i="1" s="1"/>
  <c r="K1406" i="1" s="1"/>
  <c r="K788" i="1"/>
  <c r="K789" i="1" s="1"/>
  <c r="K790" i="1" s="1"/>
  <c r="K791" i="1" s="1"/>
  <c r="C158" i="4"/>
  <c r="K1108" i="1"/>
  <c r="K1109" i="1" s="1"/>
  <c r="K1110" i="1" s="1"/>
  <c r="K1111" i="1" s="1"/>
  <c r="C222" i="4"/>
  <c r="K1308" i="1"/>
  <c r="K1309" i="1" s="1"/>
  <c r="K1310" i="1" s="1"/>
  <c r="K1311" i="1" s="1"/>
  <c r="C262" i="4"/>
  <c r="K878" i="1"/>
  <c r="K879" i="1" s="1"/>
  <c r="K880" i="1" s="1"/>
  <c r="K881" i="1" s="1"/>
  <c r="C176" i="4"/>
  <c r="K668" i="1"/>
  <c r="K669" i="1" s="1"/>
  <c r="K670" i="1" s="1"/>
  <c r="K671" i="1" s="1"/>
  <c r="C134" i="4"/>
  <c r="K428" i="1"/>
  <c r="K429" i="1" s="1"/>
  <c r="K430" i="1" s="1"/>
  <c r="K431" i="1" s="1"/>
  <c r="C86" i="4"/>
  <c r="K1173" i="1"/>
  <c r="K1174" i="1" s="1"/>
  <c r="K1175" i="1" s="1"/>
  <c r="K1176" i="1" s="1"/>
  <c r="C235" i="4"/>
  <c r="K1028" i="1"/>
  <c r="K1029" i="1" s="1"/>
  <c r="K1030" i="1" s="1"/>
  <c r="K1031" i="1" s="1"/>
  <c r="C206" i="4"/>
  <c r="C27" i="4"/>
  <c r="K133" i="1"/>
  <c r="K134" i="1" s="1"/>
  <c r="K135" i="1" s="1"/>
  <c r="K136" i="1" s="1"/>
  <c r="C171" i="4"/>
  <c r="K853" i="1"/>
  <c r="K854" i="1" s="1"/>
  <c r="K855" i="1" s="1"/>
  <c r="K856" i="1" s="1"/>
  <c r="C161" i="4"/>
  <c r="K803" i="1"/>
  <c r="K804" i="1" s="1"/>
  <c r="K805" i="1" s="1"/>
  <c r="K806" i="1" s="1"/>
  <c r="K973" i="1"/>
  <c r="K974" i="1" s="1"/>
  <c r="K975" i="1" s="1"/>
  <c r="K976" i="1" s="1"/>
  <c r="C195" i="4"/>
  <c r="K238" i="1"/>
  <c r="K239" i="1" s="1"/>
  <c r="K240" i="1" s="1"/>
  <c r="K241" i="1" s="1"/>
  <c r="C48" i="4"/>
  <c r="K508" i="1"/>
  <c r="K509" i="1" s="1"/>
  <c r="K510" i="1" s="1"/>
  <c r="K511" i="1" s="1"/>
  <c r="C102" i="4"/>
  <c r="C225" i="4"/>
  <c r="K1123" i="1"/>
  <c r="K1124" i="1" s="1"/>
  <c r="K1125" i="1" s="1"/>
  <c r="K1126" i="1" s="1"/>
  <c r="C30" i="4"/>
  <c r="K148" i="1"/>
  <c r="K149" i="1" s="1"/>
  <c r="K150" i="1" s="1"/>
  <c r="K151" i="1" s="1"/>
  <c r="C51" i="4"/>
  <c r="K253" i="1"/>
  <c r="K254" i="1" s="1"/>
  <c r="K255" i="1" s="1"/>
  <c r="K256" i="1" s="1"/>
  <c r="C179" i="4"/>
  <c r="K893" i="1"/>
  <c r="K894" i="1" s="1"/>
  <c r="K895" i="1" s="1"/>
  <c r="K896" i="1" s="1"/>
  <c r="K1318" i="1"/>
  <c r="K1319" i="1" s="1"/>
  <c r="K1320" i="1" s="1"/>
  <c r="K1321" i="1" s="1"/>
  <c r="C264" i="4"/>
  <c r="K948" i="1"/>
  <c r="K949" i="1" s="1"/>
  <c r="K950" i="1" s="1"/>
  <c r="K951" i="1" s="1"/>
  <c r="C190" i="4"/>
  <c r="K1213" i="1"/>
  <c r="K1214" i="1" s="1"/>
  <c r="K1215" i="1" s="1"/>
  <c r="K1216" i="1" s="1"/>
  <c r="C243" i="4"/>
  <c r="C110" i="4"/>
  <c r="K548" i="1"/>
  <c r="K549" i="1" s="1"/>
  <c r="K550" i="1" s="1"/>
  <c r="K551" i="1" s="1"/>
  <c r="K23" i="1"/>
  <c r="K24" i="1" s="1"/>
  <c r="K25" i="1" s="1"/>
  <c r="K26" i="1" s="1"/>
  <c r="C5" i="4"/>
  <c r="K38" i="1"/>
  <c r="K39" i="1" s="1"/>
  <c r="K40" i="1" s="1"/>
  <c r="K41" i="1" s="1"/>
  <c r="C8" i="4"/>
  <c r="K478" i="1"/>
  <c r="K479" i="1" s="1"/>
  <c r="K480" i="1" s="1"/>
  <c r="K481" i="1" s="1"/>
  <c r="C96" i="4"/>
  <c r="K918" i="1"/>
  <c r="K919" i="1" s="1"/>
  <c r="K920" i="1" s="1"/>
  <c r="K921" i="1" s="1"/>
  <c r="C184" i="4"/>
  <c r="C37" i="4"/>
  <c r="K183" i="1"/>
  <c r="K184" i="1" s="1"/>
  <c r="K185" i="1" s="1"/>
  <c r="K186" i="1" s="1"/>
  <c r="K1188" i="1"/>
  <c r="K1189" i="1" s="1"/>
  <c r="K1190" i="1" s="1"/>
  <c r="K1191" i="1" s="1"/>
  <c r="C238" i="4"/>
  <c r="C283" i="4"/>
  <c r="K1413" i="1"/>
  <c r="K1414" i="1" s="1"/>
  <c r="K1415" i="1" s="1"/>
  <c r="K1416" i="1" s="1"/>
  <c r="C275" i="4"/>
  <c r="K1373" i="1"/>
  <c r="K1374" i="1" s="1"/>
  <c r="K1375" i="1" s="1"/>
  <c r="K1376" i="1" s="1"/>
  <c r="K268" i="1"/>
  <c r="K269" i="1" s="1"/>
  <c r="K270" i="1" s="1"/>
  <c r="K271" i="1" s="1"/>
  <c r="C54" i="4"/>
  <c r="K1198" i="1"/>
  <c r="K1199" i="1" s="1"/>
  <c r="K1200" i="1" s="1"/>
  <c r="K1201" i="1" s="1"/>
  <c r="C240" i="4"/>
  <c r="K163" i="1"/>
  <c r="K164" i="1" s="1"/>
  <c r="K165" i="1" s="1"/>
  <c r="K166" i="1" s="1"/>
  <c r="C33" i="4"/>
  <c r="K818" i="1"/>
  <c r="K819" i="1" s="1"/>
  <c r="K820" i="1" s="1"/>
  <c r="K821" i="1" s="1"/>
  <c r="C164" i="4"/>
  <c r="K1298" i="1"/>
  <c r="K1299" i="1" s="1"/>
  <c r="K1300" i="1" s="1"/>
  <c r="K1301" i="1" s="1"/>
  <c r="C260" i="4"/>
  <c r="K623" i="1"/>
  <c r="K624" i="1" s="1"/>
  <c r="K625" i="1" s="1"/>
  <c r="K626" i="1" s="1"/>
  <c r="C125" i="4"/>
  <c r="K308" i="1"/>
  <c r="K309" i="1" s="1"/>
  <c r="K310" i="1" s="1"/>
  <c r="K311" i="1" s="1"/>
  <c r="C62" i="4"/>
  <c r="K278" i="1"/>
  <c r="K279" i="1" s="1"/>
  <c r="K280" i="1" s="1"/>
  <c r="K281" i="1" s="1"/>
  <c r="C56" i="4"/>
  <c r="K558" i="1"/>
  <c r="K559" i="1" s="1"/>
  <c r="K560" i="1" s="1"/>
  <c r="K561" i="1" s="1"/>
  <c r="C112" i="4"/>
  <c r="K1158" i="1"/>
  <c r="K1159" i="1" s="1"/>
  <c r="K1160" i="1" s="1"/>
  <c r="K1161" i="1" s="1"/>
  <c r="C232" i="4"/>
  <c r="K663" i="1"/>
  <c r="K664" i="1" s="1"/>
  <c r="K665" i="1" s="1"/>
  <c r="K666" i="1" s="1"/>
  <c r="C133" i="4"/>
  <c r="I512" i="6" a="1"/>
  <c r="I512" i="6" s="1"/>
  <c r="I562" i="6" a="1"/>
  <c r="I562" i="6" s="1"/>
  <c r="I222" i="6" a="1"/>
  <c r="I222" i="6" s="1"/>
  <c r="I272" i="6" a="1"/>
  <c r="I272" i="6" s="1"/>
  <c r="I302" i="6" a="1"/>
  <c r="I302" i="6" s="1"/>
  <c r="I417" i="6" a="1"/>
  <c r="I417" i="6" s="1"/>
  <c r="I912" i="6" a="1"/>
  <c r="I912" i="6" s="1"/>
  <c r="I872" i="6" a="1"/>
  <c r="I872" i="6" s="1"/>
  <c r="I327" i="6" a="1"/>
  <c r="I327" i="6" s="1"/>
  <c r="I1237" i="6" a="1"/>
  <c r="I1237" i="6" s="1"/>
  <c r="I1277" i="6" a="1"/>
  <c r="I1277" i="6" s="1"/>
  <c r="I1317" i="6" a="1"/>
  <c r="I1317" i="6" s="1"/>
  <c r="I1397" i="6" a="1"/>
  <c r="I1397" i="6" s="1"/>
  <c r="I1062" i="6" a="1"/>
  <c r="I1062" i="6" s="1"/>
  <c r="I1142" i="6" a="1"/>
  <c r="I1142" i="6" s="1"/>
  <c r="I1077" i="6" a="1"/>
  <c r="I1077" i="6" s="1"/>
  <c r="I1157" i="6" a="1"/>
  <c r="I1157" i="6" s="1"/>
  <c r="I987" i="6" a="1"/>
  <c r="I987" i="6" s="1"/>
  <c r="I1102" i="6" a="1"/>
  <c r="I1102" i="6" s="1"/>
  <c r="I1197" i="6" a="1"/>
  <c r="I1197" i="6" s="1"/>
  <c r="I1382" i="6" a="1"/>
  <c r="I1382" i="6" s="1"/>
  <c r="C1453" i="1"/>
  <c r="B1453" i="1"/>
  <c r="B1454" i="1" s="1"/>
  <c r="B1455" i="1" s="1"/>
  <c r="B1456" i="1" s="1"/>
  <c r="C1448" i="1"/>
  <c r="B1448" i="1"/>
  <c r="B1449" i="1" s="1"/>
  <c r="B1450" i="1" s="1"/>
  <c r="B1451" i="1" s="1"/>
  <c r="C1443" i="1"/>
  <c r="B1443" i="1"/>
  <c r="B1444" i="1" s="1"/>
  <c r="B1445" i="1" s="1"/>
  <c r="B1446" i="1" s="1"/>
  <c r="C1438" i="1"/>
  <c r="B1438" i="1"/>
  <c r="B1439" i="1" s="1"/>
  <c r="B1440" i="1" s="1"/>
  <c r="B1441" i="1" s="1"/>
  <c r="C1433" i="1"/>
  <c r="B1433" i="1"/>
  <c r="B1434" i="1" s="1"/>
  <c r="B1435" i="1" s="1"/>
  <c r="B1436" i="1" s="1"/>
  <c r="C1428" i="1"/>
  <c r="B1428" i="1"/>
  <c r="B1429" i="1" s="1"/>
  <c r="B1430" i="1" s="1"/>
  <c r="B1431" i="1" s="1"/>
  <c r="C1423" i="1"/>
  <c r="B1423" i="1"/>
  <c r="B1424" i="1" s="1"/>
  <c r="B1425" i="1" s="1"/>
  <c r="B1426" i="1" s="1"/>
  <c r="C1418" i="1"/>
  <c r="B1418" i="1"/>
  <c r="B1419" i="1" s="1"/>
  <c r="B1420" i="1" s="1"/>
  <c r="B1421" i="1" s="1"/>
  <c r="C1413" i="1"/>
  <c r="B1413" i="1"/>
  <c r="B1414" i="1" s="1"/>
  <c r="B1415" i="1" s="1"/>
  <c r="B1416" i="1" s="1"/>
  <c r="C1408" i="1"/>
  <c r="B1408" i="1"/>
  <c r="B1409" i="1" s="1"/>
  <c r="B1410" i="1" s="1"/>
  <c r="B1411" i="1" s="1"/>
  <c r="B1404" i="1"/>
  <c r="B1405" i="1" s="1"/>
  <c r="B1406" i="1" s="1"/>
  <c r="C1403" i="1"/>
  <c r="B1403" i="1"/>
  <c r="C1398" i="1"/>
  <c r="B1398" i="1"/>
  <c r="B1399" i="1" s="1"/>
  <c r="B1400" i="1" s="1"/>
  <c r="B1401" i="1" s="1"/>
  <c r="C1393" i="1"/>
  <c r="B1393" i="1"/>
  <c r="B1394" i="1" s="1"/>
  <c r="B1395" i="1" s="1"/>
  <c r="B1396" i="1" s="1"/>
  <c r="C1388" i="1"/>
  <c r="B1388" i="1"/>
  <c r="B1389" i="1" s="1"/>
  <c r="B1390" i="1" s="1"/>
  <c r="B1391" i="1" s="1"/>
  <c r="C1383" i="1"/>
  <c r="B1383" i="1"/>
  <c r="B1384" i="1" s="1"/>
  <c r="B1385" i="1" s="1"/>
  <c r="B1386" i="1" s="1"/>
  <c r="C1378" i="1"/>
  <c r="B1378" i="1"/>
  <c r="B1379" i="1" s="1"/>
  <c r="B1380" i="1" s="1"/>
  <c r="B1381" i="1" s="1"/>
  <c r="C1373" i="1"/>
  <c r="B1373" i="1"/>
  <c r="B1374" i="1" s="1"/>
  <c r="B1375" i="1" s="1"/>
  <c r="B1376" i="1" s="1"/>
  <c r="C1368" i="1"/>
  <c r="B1368" i="1"/>
  <c r="B1369" i="1" s="1"/>
  <c r="B1370" i="1" s="1"/>
  <c r="B1371" i="1" s="1"/>
  <c r="B1364" i="1"/>
  <c r="B1365" i="1" s="1"/>
  <c r="B1366" i="1" s="1"/>
  <c r="C1363" i="1"/>
  <c r="B1363" i="1"/>
  <c r="C1358" i="1"/>
  <c r="B1358" i="1"/>
  <c r="B1359" i="1" s="1"/>
  <c r="B1360" i="1" s="1"/>
  <c r="B1361" i="1" s="1"/>
  <c r="C1353" i="1"/>
  <c r="B1353" i="1"/>
  <c r="B1354" i="1" s="1"/>
  <c r="B1355" i="1" s="1"/>
  <c r="B1356" i="1" s="1"/>
  <c r="B1351" i="1"/>
  <c r="C1348" i="1"/>
  <c r="B1348" i="1"/>
  <c r="B1349" i="1" s="1"/>
  <c r="B1350" i="1" s="1"/>
  <c r="C1343" i="1"/>
  <c r="B1343" i="1"/>
  <c r="B1344" i="1" s="1"/>
  <c r="B1345" i="1" s="1"/>
  <c r="B1346" i="1" s="1"/>
  <c r="C1338" i="1"/>
  <c r="B1338" i="1"/>
  <c r="B1339" i="1" s="1"/>
  <c r="B1340" i="1" s="1"/>
  <c r="B1341" i="1" s="1"/>
  <c r="B1334" i="1"/>
  <c r="B1335" i="1" s="1"/>
  <c r="B1336" i="1" s="1"/>
  <c r="C1333" i="1"/>
  <c r="B1333" i="1"/>
  <c r="C1328" i="1"/>
  <c r="B1328" i="1"/>
  <c r="B1329" i="1" s="1"/>
  <c r="B1330" i="1" s="1"/>
  <c r="B1331" i="1" s="1"/>
  <c r="C1323" i="1"/>
  <c r="B1323" i="1"/>
  <c r="B1324" i="1" s="1"/>
  <c r="B1325" i="1" s="1"/>
  <c r="B1326" i="1" s="1"/>
  <c r="C1318" i="1"/>
  <c r="B1318" i="1"/>
  <c r="B1319" i="1" s="1"/>
  <c r="B1320" i="1" s="1"/>
  <c r="B1321" i="1" s="1"/>
  <c r="B1314" i="1"/>
  <c r="B1315" i="1" s="1"/>
  <c r="B1316" i="1" s="1"/>
  <c r="C1313" i="1"/>
  <c r="B1313" i="1"/>
  <c r="C1308" i="1"/>
  <c r="B1308" i="1"/>
  <c r="B1309" i="1" s="1"/>
  <c r="B1310" i="1" s="1"/>
  <c r="B1311" i="1" s="1"/>
  <c r="C1303" i="1"/>
  <c r="B1303" i="1"/>
  <c r="B1304" i="1" s="1"/>
  <c r="B1305" i="1" s="1"/>
  <c r="B1306" i="1" s="1"/>
  <c r="C1298" i="1"/>
  <c r="B1298" i="1"/>
  <c r="B1299" i="1" s="1"/>
  <c r="B1300" i="1" s="1"/>
  <c r="B1301" i="1" s="1"/>
  <c r="C1293" i="1"/>
  <c r="B1293" i="1"/>
  <c r="B1294" i="1" s="1"/>
  <c r="B1295" i="1" s="1"/>
  <c r="B1296" i="1" s="1"/>
  <c r="C1288" i="1"/>
  <c r="B1288" i="1"/>
  <c r="B1289" i="1" s="1"/>
  <c r="B1290" i="1" s="1"/>
  <c r="B1291" i="1" s="1"/>
  <c r="C1283" i="1"/>
  <c r="B1283" i="1"/>
  <c r="B1284" i="1" s="1"/>
  <c r="B1285" i="1" s="1"/>
  <c r="B1286" i="1" s="1"/>
  <c r="C1278" i="1"/>
  <c r="B1278" i="1"/>
  <c r="B1279" i="1" s="1"/>
  <c r="B1280" i="1" s="1"/>
  <c r="B1281" i="1" s="1"/>
  <c r="B1274" i="1"/>
  <c r="B1275" i="1" s="1"/>
  <c r="B1276" i="1" s="1"/>
  <c r="C1273" i="1"/>
  <c r="B1273" i="1"/>
  <c r="C1268" i="1"/>
  <c r="B1268" i="1"/>
  <c r="B1269" i="1" s="1"/>
  <c r="B1270" i="1" s="1"/>
  <c r="B1271" i="1" s="1"/>
  <c r="C1263" i="1"/>
  <c r="B1263" i="1"/>
  <c r="B1264" i="1" s="1"/>
  <c r="B1265" i="1" s="1"/>
  <c r="B1266" i="1" s="1"/>
  <c r="C1258" i="1"/>
  <c r="B1258" i="1"/>
  <c r="B1259" i="1" s="1"/>
  <c r="B1260" i="1" s="1"/>
  <c r="B1261" i="1" s="1"/>
  <c r="B1254" i="1"/>
  <c r="B1255" i="1" s="1"/>
  <c r="B1256" i="1" s="1"/>
  <c r="C1253" i="1"/>
  <c r="B1253" i="1"/>
  <c r="C1248" i="1"/>
  <c r="B1248" i="1"/>
  <c r="B1249" i="1" s="1"/>
  <c r="B1250" i="1" s="1"/>
  <c r="B1251" i="1" s="1"/>
  <c r="C1243" i="1"/>
  <c r="B1243" i="1"/>
  <c r="B1244" i="1" s="1"/>
  <c r="B1245" i="1" s="1"/>
  <c r="B1246" i="1" s="1"/>
  <c r="C1238" i="1"/>
  <c r="B1238" i="1"/>
  <c r="B1239" i="1" s="1"/>
  <c r="B1240" i="1" s="1"/>
  <c r="B1241" i="1" s="1"/>
  <c r="B1234" i="1"/>
  <c r="B1235" i="1" s="1"/>
  <c r="B1236" i="1" s="1"/>
  <c r="C1233" i="1"/>
  <c r="B1233" i="1"/>
  <c r="C1228" i="1"/>
  <c r="B1228" i="1"/>
  <c r="B1229" i="1" s="1"/>
  <c r="B1230" i="1" s="1"/>
  <c r="B1231" i="1" s="1"/>
  <c r="C1223" i="1"/>
  <c r="B1223" i="1"/>
  <c r="B1224" i="1" s="1"/>
  <c r="B1225" i="1" s="1"/>
  <c r="B1226" i="1" s="1"/>
  <c r="C1218" i="1"/>
  <c r="B1218" i="1"/>
  <c r="B1219" i="1" s="1"/>
  <c r="B1220" i="1" s="1"/>
  <c r="B1221" i="1" s="1"/>
  <c r="B1214" i="1"/>
  <c r="B1215" i="1" s="1"/>
  <c r="B1216" i="1" s="1"/>
  <c r="C1213" i="1"/>
  <c r="B1213" i="1"/>
  <c r="C1208" i="1"/>
  <c r="B1208" i="1"/>
  <c r="B1209" i="1" s="1"/>
  <c r="B1210" i="1" s="1"/>
  <c r="B1211" i="1" s="1"/>
  <c r="C1203" i="1"/>
  <c r="B1203" i="1"/>
  <c r="B1204" i="1" s="1"/>
  <c r="B1205" i="1" s="1"/>
  <c r="B1206" i="1" s="1"/>
  <c r="C1198" i="1"/>
  <c r="B1198" i="1"/>
  <c r="B1199" i="1" s="1"/>
  <c r="B1200" i="1" s="1"/>
  <c r="B1201" i="1" s="1"/>
  <c r="B1194" i="1"/>
  <c r="B1195" i="1" s="1"/>
  <c r="B1196" i="1" s="1"/>
  <c r="C1193" i="1"/>
  <c r="B1193" i="1"/>
  <c r="C1188" i="1"/>
  <c r="B1188" i="1"/>
  <c r="B1189" i="1" s="1"/>
  <c r="B1190" i="1" s="1"/>
  <c r="B1191" i="1" s="1"/>
  <c r="C1183" i="1"/>
  <c r="B1183" i="1"/>
  <c r="B1184" i="1" s="1"/>
  <c r="B1185" i="1" s="1"/>
  <c r="B1186" i="1" s="1"/>
  <c r="C1178" i="1"/>
  <c r="B1178" i="1"/>
  <c r="B1179" i="1" s="1"/>
  <c r="B1180" i="1" s="1"/>
  <c r="B1181" i="1" s="1"/>
  <c r="C1173" i="1"/>
  <c r="B1173" i="1"/>
  <c r="B1174" i="1" s="1"/>
  <c r="B1175" i="1" s="1"/>
  <c r="B1176" i="1" s="1"/>
  <c r="C1168" i="1"/>
  <c r="B1168" i="1"/>
  <c r="B1169" i="1" s="1"/>
  <c r="B1170" i="1" s="1"/>
  <c r="B1171" i="1" s="1"/>
  <c r="C1163" i="1"/>
  <c r="B1163" i="1"/>
  <c r="B1164" i="1" s="1"/>
  <c r="B1165" i="1" s="1"/>
  <c r="B1166" i="1" s="1"/>
  <c r="C1158" i="1"/>
  <c r="B1158" i="1"/>
  <c r="B1159" i="1" s="1"/>
  <c r="B1160" i="1" s="1"/>
  <c r="B1161" i="1" s="1"/>
  <c r="C1153" i="1"/>
  <c r="B1153" i="1"/>
  <c r="B1154" i="1" s="1"/>
  <c r="B1155" i="1" s="1"/>
  <c r="B1156" i="1" s="1"/>
  <c r="C1148" i="1"/>
  <c r="B1148" i="1"/>
  <c r="B1149" i="1" s="1"/>
  <c r="B1150" i="1" s="1"/>
  <c r="B1151" i="1" s="1"/>
  <c r="C1143" i="1"/>
  <c r="B1143" i="1"/>
  <c r="B1144" i="1" s="1"/>
  <c r="B1145" i="1" s="1"/>
  <c r="B1146" i="1" s="1"/>
  <c r="B1141" i="1"/>
  <c r="C1138" i="1"/>
  <c r="B1138" i="1"/>
  <c r="B1139" i="1" s="1"/>
  <c r="B1140" i="1" s="1"/>
  <c r="B1134" i="1"/>
  <c r="B1135" i="1" s="1"/>
  <c r="B1136" i="1" s="1"/>
  <c r="C1133" i="1"/>
  <c r="B1133" i="1"/>
  <c r="B1131" i="1"/>
  <c r="C1128" i="1"/>
  <c r="B1128" i="1"/>
  <c r="B1129" i="1" s="1"/>
  <c r="B1130" i="1" s="1"/>
  <c r="B1124" i="1"/>
  <c r="B1125" i="1" s="1"/>
  <c r="B1126" i="1" s="1"/>
  <c r="C1123" i="1"/>
  <c r="B1123" i="1"/>
  <c r="C1118" i="1"/>
  <c r="B1118" i="1"/>
  <c r="B1119" i="1" s="1"/>
  <c r="B1120" i="1" s="1"/>
  <c r="B1121" i="1" s="1"/>
  <c r="C1113" i="1"/>
  <c r="B1113" i="1"/>
  <c r="B1114" i="1" s="1"/>
  <c r="B1115" i="1" s="1"/>
  <c r="B1116" i="1" s="1"/>
  <c r="C1108" i="1"/>
  <c r="B1108" i="1"/>
  <c r="B1109" i="1" s="1"/>
  <c r="B1110" i="1" s="1"/>
  <c r="B1111" i="1" s="1"/>
  <c r="B1104" i="1"/>
  <c r="B1105" i="1" s="1"/>
  <c r="B1106" i="1" s="1"/>
  <c r="C1103" i="1"/>
  <c r="B1103" i="1"/>
  <c r="C1098" i="1"/>
  <c r="B1098" i="1"/>
  <c r="B1099" i="1" s="1"/>
  <c r="B1100" i="1" s="1"/>
  <c r="B1101" i="1" s="1"/>
  <c r="B1094" i="1"/>
  <c r="B1095" i="1" s="1"/>
  <c r="B1096" i="1" s="1"/>
  <c r="C1093" i="1"/>
  <c r="B1093" i="1"/>
  <c r="B1091" i="1"/>
  <c r="C1088" i="1"/>
  <c r="B1088" i="1"/>
  <c r="B1089" i="1" s="1"/>
  <c r="B1090" i="1" s="1"/>
  <c r="B1084" i="1"/>
  <c r="B1085" i="1" s="1"/>
  <c r="B1086" i="1" s="1"/>
  <c r="C1083" i="1"/>
  <c r="B1083" i="1"/>
  <c r="C1078" i="1"/>
  <c r="B1078" i="1"/>
  <c r="B1079" i="1" s="1"/>
  <c r="B1080" i="1" s="1"/>
  <c r="B1081" i="1" s="1"/>
  <c r="B1074" i="1"/>
  <c r="B1075" i="1" s="1"/>
  <c r="B1076" i="1" s="1"/>
  <c r="C1073" i="1"/>
  <c r="B1073" i="1"/>
  <c r="C1068" i="1"/>
  <c r="B1068" i="1"/>
  <c r="B1069" i="1" s="1"/>
  <c r="B1070" i="1" s="1"/>
  <c r="B1071" i="1" s="1"/>
  <c r="B1064" i="1"/>
  <c r="B1065" i="1" s="1"/>
  <c r="B1066" i="1" s="1"/>
  <c r="C1063" i="1"/>
  <c r="B1063" i="1"/>
  <c r="C1058" i="1"/>
  <c r="B1058" i="1"/>
  <c r="B1059" i="1" s="1"/>
  <c r="B1060" i="1" s="1"/>
  <c r="B1061" i="1" s="1"/>
  <c r="C1053" i="1"/>
  <c r="B1053" i="1"/>
  <c r="B1054" i="1" s="1"/>
  <c r="B1055" i="1" s="1"/>
  <c r="B1056" i="1" s="1"/>
  <c r="B1051" i="1"/>
  <c r="C1048" i="1"/>
  <c r="B1048" i="1"/>
  <c r="B1049" i="1" s="1"/>
  <c r="B1050" i="1" s="1"/>
  <c r="B1044" i="1"/>
  <c r="B1045" i="1" s="1"/>
  <c r="B1046" i="1" s="1"/>
  <c r="C1043" i="1"/>
  <c r="B1043" i="1"/>
  <c r="B1041" i="1"/>
  <c r="C1038" i="1"/>
  <c r="B1038" i="1"/>
  <c r="B1039" i="1" s="1"/>
  <c r="B1040" i="1" s="1"/>
  <c r="C1033" i="1"/>
  <c r="B1033" i="1"/>
  <c r="B1034" i="1" s="1"/>
  <c r="B1035" i="1" s="1"/>
  <c r="B1036" i="1" s="1"/>
  <c r="C1028" i="1"/>
  <c r="B1028" i="1"/>
  <c r="B1029" i="1" s="1"/>
  <c r="B1030" i="1" s="1"/>
  <c r="B1031" i="1" s="1"/>
  <c r="C1023" i="1"/>
  <c r="B1023" i="1"/>
  <c r="B1024" i="1" s="1"/>
  <c r="B1025" i="1" s="1"/>
  <c r="B1026" i="1" s="1"/>
  <c r="C1018" i="1"/>
  <c r="B1018" i="1"/>
  <c r="B1019" i="1" s="1"/>
  <c r="B1020" i="1" s="1"/>
  <c r="B1021" i="1" s="1"/>
  <c r="C1013" i="1"/>
  <c r="B1013" i="1"/>
  <c r="B1014" i="1" s="1"/>
  <c r="B1015" i="1" s="1"/>
  <c r="B1016" i="1" s="1"/>
  <c r="C1008" i="1"/>
  <c r="B1008" i="1"/>
  <c r="B1009" i="1" s="1"/>
  <c r="B1010" i="1" s="1"/>
  <c r="B1011" i="1" s="1"/>
  <c r="C1003" i="1"/>
  <c r="B1003" i="1"/>
  <c r="B1004" i="1" s="1"/>
  <c r="B1005" i="1" s="1"/>
  <c r="B1006" i="1" s="1"/>
  <c r="C998" i="1"/>
  <c r="B998" i="1"/>
  <c r="B999" i="1" s="1"/>
  <c r="B1000" i="1" s="1"/>
  <c r="B1001" i="1" s="1"/>
  <c r="C993" i="1"/>
  <c r="B993" i="1"/>
  <c r="B994" i="1" s="1"/>
  <c r="B995" i="1" s="1"/>
  <c r="B996" i="1" s="1"/>
  <c r="C988" i="1"/>
  <c r="B988" i="1"/>
  <c r="B989" i="1" s="1"/>
  <c r="B990" i="1" s="1"/>
  <c r="B991" i="1" s="1"/>
  <c r="B984" i="1"/>
  <c r="B985" i="1" s="1"/>
  <c r="B986" i="1" s="1"/>
  <c r="C983" i="1"/>
  <c r="B983" i="1"/>
  <c r="B979" i="1"/>
  <c r="B980" i="1" s="1"/>
  <c r="B981" i="1" s="1"/>
  <c r="C978" i="1"/>
  <c r="B978" i="1"/>
  <c r="B974" i="1"/>
  <c r="B975" i="1" s="1"/>
  <c r="B976" i="1" s="1"/>
  <c r="C973" i="1"/>
  <c r="B973" i="1"/>
  <c r="B969" i="1"/>
  <c r="B970" i="1" s="1"/>
  <c r="B971" i="1" s="1"/>
  <c r="C968" i="1"/>
  <c r="B968" i="1"/>
  <c r="B964" i="1"/>
  <c r="B965" i="1" s="1"/>
  <c r="B966" i="1" s="1"/>
  <c r="C963" i="1"/>
  <c r="B963" i="1"/>
  <c r="C958" i="1"/>
  <c r="B958" i="1"/>
  <c r="B959" i="1" s="1"/>
  <c r="B960" i="1" s="1"/>
  <c r="B961" i="1" s="1"/>
  <c r="C953" i="1"/>
  <c r="B953" i="1"/>
  <c r="B954" i="1" s="1"/>
  <c r="B955" i="1" s="1"/>
  <c r="B956" i="1" s="1"/>
  <c r="C948" i="1"/>
  <c r="B948" i="1"/>
  <c r="B949" i="1" s="1"/>
  <c r="B950" i="1" s="1"/>
  <c r="B951" i="1" s="1"/>
  <c r="B944" i="1"/>
  <c r="B945" i="1" s="1"/>
  <c r="B946" i="1" s="1"/>
  <c r="C943" i="1"/>
  <c r="B943" i="1"/>
  <c r="B939" i="1"/>
  <c r="B940" i="1" s="1"/>
  <c r="B941" i="1" s="1"/>
  <c r="C938" i="1"/>
  <c r="B938" i="1"/>
  <c r="B936" i="1"/>
  <c r="B934" i="1"/>
  <c r="B935" i="1" s="1"/>
  <c r="C933" i="1"/>
  <c r="B933" i="1"/>
  <c r="B929" i="1"/>
  <c r="B930" i="1" s="1"/>
  <c r="B931" i="1" s="1"/>
  <c r="C928" i="1"/>
  <c r="B928" i="1"/>
  <c r="B926" i="1"/>
  <c r="B924" i="1"/>
  <c r="B925" i="1" s="1"/>
  <c r="C923" i="1"/>
  <c r="B923" i="1"/>
  <c r="B919" i="1"/>
  <c r="B920" i="1" s="1"/>
  <c r="B921" i="1" s="1"/>
  <c r="C918" i="1"/>
  <c r="B918" i="1"/>
  <c r="B916" i="1"/>
  <c r="B914" i="1"/>
  <c r="B915" i="1" s="1"/>
  <c r="C913" i="1"/>
  <c r="B913" i="1"/>
  <c r="B909" i="1"/>
  <c r="B910" i="1" s="1"/>
  <c r="B911" i="1" s="1"/>
  <c r="C908" i="1"/>
  <c r="B908" i="1"/>
  <c r="B904" i="1"/>
  <c r="B905" i="1" s="1"/>
  <c r="B906" i="1" s="1"/>
  <c r="C903" i="1"/>
  <c r="B903" i="1"/>
  <c r="C898" i="1"/>
  <c r="B898" i="1"/>
  <c r="B899" i="1" s="1"/>
  <c r="B900" i="1" s="1"/>
  <c r="B901" i="1" s="1"/>
  <c r="C893" i="1"/>
  <c r="B893" i="1"/>
  <c r="B894" i="1" s="1"/>
  <c r="B895" i="1" s="1"/>
  <c r="B896" i="1" s="1"/>
  <c r="C888" i="1"/>
  <c r="B888" i="1"/>
  <c r="B889" i="1" s="1"/>
  <c r="B890" i="1" s="1"/>
  <c r="B891" i="1" s="1"/>
  <c r="C883" i="1"/>
  <c r="B883" i="1"/>
  <c r="B884" i="1" s="1"/>
  <c r="B885" i="1" s="1"/>
  <c r="B886" i="1" s="1"/>
  <c r="C878" i="1"/>
  <c r="B878" i="1"/>
  <c r="B879" i="1" s="1"/>
  <c r="B880" i="1" s="1"/>
  <c r="B881" i="1" s="1"/>
  <c r="C873" i="1"/>
  <c r="B873" i="1"/>
  <c r="B874" i="1" s="1"/>
  <c r="B875" i="1" s="1"/>
  <c r="B876" i="1" s="1"/>
  <c r="B869" i="1"/>
  <c r="B870" i="1" s="1"/>
  <c r="B871" i="1" s="1"/>
  <c r="C868" i="1"/>
  <c r="B868" i="1"/>
  <c r="B864" i="1"/>
  <c r="B865" i="1" s="1"/>
  <c r="B866" i="1" s="1"/>
  <c r="C863" i="1"/>
  <c r="B863" i="1"/>
  <c r="C858" i="1"/>
  <c r="B858" i="1"/>
  <c r="B859" i="1" s="1"/>
  <c r="B860" i="1" s="1"/>
  <c r="B861" i="1" s="1"/>
  <c r="C853" i="1"/>
  <c r="B853" i="1"/>
  <c r="B854" i="1" s="1"/>
  <c r="B855" i="1" s="1"/>
  <c r="B856" i="1" s="1"/>
  <c r="C848" i="1"/>
  <c r="B848" i="1"/>
  <c r="B849" i="1" s="1"/>
  <c r="B850" i="1" s="1"/>
  <c r="B851" i="1" s="1"/>
  <c r="C843" i="1"/>
  <c r="B843" i="1"/>
  <c r="B844" i="1" s="1"/>
  <c r="B845" i="1" s="1"/>
  <c r="B846" i="1" s="1"/>
  <c r="C838" i="1"/>
  <c r="B838" i="1"/>
  <c r="B839" i="1" s="1"/>
  <c r="B840" i="1" s="1"/>
  <c r="B841" i="1" s="1"/>
  <c r="C833" i="1"/>
  <c r="B833" i="1"/>
  <c r="B834" i="1" s="1"/>
  <c r="B835" i="1" s="1"/>
  <c r="B836" i="1" s="1"/>
  <c r="C828" i="1"/>
  <c r="B828" i="1"/>
  <c r="B829" i="1" s="1"/>
  <c r="B830" i="1" s="1"/>
  <c r="B831" i="1" s="1"/>
  <c r="B824" i="1"/>
  <c r="B825" i="1" s="1"/>
  <c r="B826" i="1" s="1"/>
  <c r="C823" i="1"/>
  <c r="B823" i="1"/>
  <c r="B819" i="1"/>
  <c r="B820" i="1" s="1"/>
  <c r="B821" i="1" s="1"/>
  <c r="C818" i="1"/>
  <c r="B818" i="1"/>
  <c r="C813" i="1"/>
  <c r="B813" i="1"/>
  <c r="B814" i="1" s="1"/>
  <c r="B815" i="1" s="1"/>
  <c r="B816" i="1" s="1"/>
  <c r="C808" i="1"/>
  <c r="B808" i="1"/>
  <c r="B809" i="1" s="1"/>
  <c r="B810" i="1" s="1"/>
  <c r="B811" i="1" s="1"/>
  <c r="B804" i="1"/>
  <c r="B805" i="1" s="1"/>
  <c r="B806" i="1" s="1"/>
  <c r="C803" i="1"/>
  <c r="B803" i="1"/>
  <c r="B799" i="1"/>
  <c r="B800" i="1" s="1"/>
  <c r="B801" i="1" s="1"/>
  <c r="C798" i="1"/>
  <c r="B798" i="1"/>
  <c r="C793" i="1"/>
  <c r="B793" i="1"/>
  <c r="B794" i="1" s="1"/>
  <c r="B795" i="1" s="1"/>
  <c r="B796" i="1" s="1"/>
  <c r="C788" i="1"/>
  <c r="B788" i="1"/>
  <c r="B789" i="1" s="1"/>
  <c r="B790" i="1" s="1"/>
  <c r="B791" i="1" s="1"/>
  <c r="B784" i="1"/>
  <c r="B785" i="1" s="1"/>
  <c r="B786" i="1" s="1"/>
  <c r="C783" i="1"/>
  <c r="B783" i="1"/>
  <c r="B779" i="1"/>
  <c r="B780" i="1" s="1"/>
  <c r="B781" i="1" s="1"/>
  <c r="C778" i="1"/>
  <c r="B778" i="1"/>
  <c r="C773" i="1"/>
  <c r="B773" i="1"/>
  <c r="B774" i="1" s="1"/>
  <c r="B775" i="1" s="1"/>
  <c r="B776" i="1" s="1"/>
  <c r="C768" i="1"/>
  <c r="B768" i="1"/>
  <c r="B769" i="1" s="1"/>
  <c r="B770" i="1" s="1"/>
  <c r="B771" i="1" s="1"/>
  <c r="B764" i="1"/>
  <c r="B765" i="1" s="1"/>
  <c r="B766" i="1" s="1"/>
  <c r="C763" i="1"/>
  <c r="B763" i="1"/>
  <c r="B759" i="1"/>
  <c r="B760" i="1" s="1"/>
  <c r="B761" i="1" s="1"/>
  <c r="C758" i="1"/>
  <c r="B758" i="1"/>
  <c r="C753" i="1"/>
  <c r="B753" i="1"/>
  <c r="B754" i="1" s="1"/>
  <c r="B755" i="1" s="1"/>
  <c r="B756" i="1" s="1"/>
  <c r="C748" i="1"/>
  <c r="B748" i="1"/>
  <c r="B749" i="1" s="1"/>
  <c r="B750" i="1" s="1"/>
  <c r="B751" i="1" s="1"/>
  <c r="B744" i="1"/>
  <c r="B745" i="1" s="1"/>
  <c r="B746" i="1" s="1"/>
  <c r="C743" i="1"/>
  <c r="B743" i="1"/>
  <c r="B739" i="1"/>
  <c r="B740" i="1" s="1"/>
  <c r="B741" i="1" s="1"/>
  <c r="C738" i="1"/>
  <c r="B738" i="1"/>
  <c r="C733" i="1"/>
  <c r="B733" i="1"/>
  <c r="B734" i="1" s="1"/>
  <c r="B735" i="1" s="1"/>
  <c r="B736" i="1" s="1"/>
  <c r="C728" i="1"/>
  <c r="B728" i="1"/>
  <c r="B729" i="1" s="1"/>
  <c r="B730" i="1" s="1"/>
  <c r="B731" i="1" s="1"/>
  <c r="B724" i="1"/>
  <c r="B725" i="1" s="1"/>
  <c r="B726" i="1" s="1"/>
  <c r="C723" i="1"/>
  <c r="B723" i="1"/>
  <c r="B719" i="1"/>
  <c r="B720" i="1" s="1"/>
  <c r="B721" i="1" s="1"/>
  <c r="C718" i="1"/>
  <c r="B718" i="1"/>
  <c r="C713" i="1"/>
  <c r="B713" i="1"/>
  <c r="B714" i="1" s="1"/>
  <c r="B715" i="1" s="1"/>
  <c r="B716" i="1" s="1"/>
  <c r="C708" i="1"/>
  <c r="B708" i="1"/>
  <c r="B709" i="1" s="1"/>
  <c r="B710" i="1" s="1"/>
  <c r="B711" i="1" s="1"/>
  <c r="B704" i="1"/>
  <c r="B705" i="1" s="1"/>
  <c r="B706" i="1" s="1"/>
  <c r="C703" i="1"/>
  <c r="B703" i="1"/>
  <c r="B699" i="1"/>
  <c r="B700" i="1" s="1"/>
  <c r="B701" i="1" s="1"/>
  <c r="C698" i="1"/>
  <c r="B698" i="1"/>
  <c r="C693" i="1"/>
  <c r="B693" i="1"/>
  <c r="B694" i="1" s="1"/>
  <c r="B695" i="1" s="1"/>
  <c r="B696" i="1" s="1"/>
  <c r="C688" i="1"/>
  <c r="B688" i="1"/>
  <c r="B689" i="1" s="1"/>
  <c r="B690" i="1" s="1"/>
  <c r="B691" i="1" s="1"/>
  <c r="B684" i="1"/>
  <c r="B685" i="1" s="1"/>
  <c r="B686" i="1" s="1"/>
  <c r="C683" i="1"/>
  <c r="B683" i="1"/>
  <c r="B679" i="1"/>
  <c r="B680" i="1" s="1"/>
  <c r="B681" i="1" s="1"/>
  <c r="C678" i="1"/>
  <c r="B678" i="1"/>
  <c r="C673" i="1"/>
  <c r="B673" i="1"/>
  <c r="B674" i="1" s="1"/>
  <c r="B675" i="1" s="1"/>
  <c r="B676" i="1" s="1"/>
  <c r="C668" i="1"/>
  <c r="B668" i="1"/>
  <c r="B669" i="1" s="1"/>
  <c r="B670" i="1" s="1"/>
  <c r="B671" i="1" s="1"/>
  <c r="B664" i="1"/>
  <c r="B665" i="1" s="1"/>
  <c r="B666" i="1" s="1"/>
  <c r="C663" i="1"/>
  <c r="B663" i="1"/>
  <c r="B659" i="1"/>
  <c r="B660" i="1" s="1"/>
  <c r="B661" i="1" s="1"/>
  <c r="C658" i="1"/>
  <c r="B658" i="1"/>
  <c r="C653" i="1"/>
  <c r="B653" i="1"/>
  <c r="B654" i="1" s="1"/>
  <c r="B655" i="1" s="1"/>
  <c r="B656" i="1" s="1"/>
  <c r="C648" i="1"/>
  <c r="B648" i="1"/>
  <c r="B649" i="1" s="1"/>
  <c r="B650" i="1" s="1"/>
  <c r="B651" i="1" s="1"/>
  <c r="B644" i="1"/>
  <c r="B645" i="1" s="1"/>
  <c r="B646" i="1" s="1"/>
  <c r="C643" i="1"/>
  <c r="B643" i="1"/>
  <c r="B639" i="1"/>
  <c r="B640" i="1" s="1"/>
  <c r="B641" i="1" s="1"/>
  <c r="C638" i="1"/>
  <c r="B638" i="1"/>
  <c r="C633" i="1"/>
  <c r="B633" i="1"/>
  <c r="B634" i="1" s="1"/>
  <c r="B635" i="1" s="1"/>
  <c r="B636" i="1" s="1"/>
  <c r="C628" i="1"/>
  <c r="B628" i="1"/>
  <c r="B629" i="1" s="1"/>
  <c r="B630" i="1" s="1"/>
  <c r="B631" i="1" s="1"/>
  <c r="B624" i="1"/>
  <c r="B625" i="1" s="1"/>
  <c r="B626" i="1" s="1"/>
  <c r="C623" i="1"/>
  <c r="B623" i="1"/>
  <c r="B619" i="1"/>
  <c r="B620" i="1" s="1"/>
  <c r="B621" i="1" s="1"/>
  <c r="C618" i="1"/>
  <c r="B618" i="1"/>
  <c r="C613" i="1"/>
  <c r="B613" i="1"/>
  <c r="B614" i="1" s="1"/>
  <c r="B615" i="1" s="1"/>
  <c r="B616" i="1" s="1"/>
  <c r="C608" i="1"/>
  <c r="B608" i="1"/>
  <c r="B609" i="1" s="1"/>
  <c r="B610" i="1" s="1"/>
  <c r="B611" i="1" s="1"/>
  <c r="B604" i="1"/>
  <c r="B605" i="1" s="1"/>
  <c r="B606" i="1" s="1"/>
  <c r="C603" i="1"/>
  <c r="B603" i="1"/>
  <c r="B599" i="1"/>
  <c r="B600" i="1" s="1"/>
  <c r="B601" i="1" s="1"/>
  <c r="C598" i="1"/>
  <c r="B598" i="1"/>
  <c r="C593" i="1"/>
  <c r="B593" i="1"/>
  <c r="B594" i="1" s="1"/>
  <c r="B595" i="1" s="1"/>
  <c r="B596" i="1" s="1"/>
  <c r="C588" i="1"/>
  <c r="B588" i="1"/>
  <c r="B589" i="1" s="1"/>
  <c r="B590" i="1" s="1"/>
  <c r="B591" i="1" s="1"/>
  <c r="B584" i="1"/>
  <c r="B585" i="1" s="1"/>
  <c r="B586" i="1" s="1"/>
  <c r="C583" i="1"/>
  <c r="B583" i="1"/>
  <c r="B579" i="1"/>
  <c r="B580" i="1" s="1"/>
  <c r="B581" i="1" s="1"/>
  <c r="C578" i="1"/>
  <c r="B578" i="1"/>
  <c r="C573" i="1"/>
  <c r="B573" i="1"/>
  <c r="B574" i="1" s="1"/>
  <c r="B575" i="1" s="1"/>
  <c r="B576" i="1" s="1"/>
  <c r="C568" i="1"/>
  <c r="B568" i="1"/>
  <c r="B569" i="1" s="1"/>
  <c r="B570" i="1" s="1"/>
  <c r="B571" i="1" s="1"/>
  <c r="B564" i="1"/>
  <c r="B565" i="1" s="1"/>
  <c r="B566" i="1" s="1"/>
  <c r="C563" i="1"/>
  <c r="B563" i="1"/>
  <c r="B559" i="1"/>
  <c r="B560" i="1" s="1"/>
  <c r="B561" i="1" s="1"/>
  <c r="C558" i="1"/>
  <c r="B558" i="1"/>
  <c r="C553" i="1"/>
  <c r="B553" i="1"/>
  <c r="B554" i="1" s="1"/>
  <c r="B555" i="1" s="1"/>
  <c r="B556" i="1" s="1"/>
  <c r="C548" i="1"/>
  <c r="B548" i="1"/>
  <c r="B549" i="1" s="1"/>
  <c r="B550" i="1" s="1"/>
  <c r="B551" i="1" s="1"/>
  <c r="B544" i="1"/>
  <c r="B545" i="1" s="1"/>
  <c r="B546" i="1" s="1"/>
  <c r="C543" i="1"/>
  <c r="B543" i="1"/>
  <c r="B539" i="1"/>
  <c r="B540" i="1" s="1"/>
  <c r="B541" i="1" s="1"/>
  <c r="C538" i="1"/>
  <c r="B538" i="1"/>
  <c r="C533" i="1"/>
  <c r="B533" i="1"/>
  <c r="B534" i="1" s="1"/>
  <c r="B535" i="1" s="1"/>
  <c r="B536" i="1" s="1"/>
  <c r="C528" i="1"/>
  <c r="B528" i="1"/>
  <c r="B529" i="1" s="1"/>
  <c r="B530" i="1" s="1"/>
  <c r="B531" i="1" s="1"/>
  <c r="B524" i="1"/>
  <c r="B525" i="1" s="1"/>
  <c r="B526" i="1" s="1"/>
  <c r="C523" i="1"/>
  <c r="B523" i="1"/>
  <c r="B519" i="1"/>
  <c r="B520" i="1" s="1"/>
  <c r="B521" i="1" s="1"/>
  <c r="C518" i="1"/>
  <c r="B518" i="1"/>
  <c r="C513" i="1"/>
  <c r="B513" i="1"/>
  <c r="B514" i="1" s="1"/>
  <c r="B515" i="1" s="1"/>
  <c r="B516" i="1" s="1"/>
  <c r="C508" i="1"/>
  <c r="B508" i="1"/>
  <c r="B509" i="1" s="1"/>
  <c r="B510" i="1" s="1"/>
  <c r="B511" i="1" s="1"/>
  <c r="B504" i="1"/>
  <c r="B505" i="1" s="1"/>
  <c r="B506" i="1" s="1"/>
  <c r="C503" i="1"/>
  <c r="B503" i="1"/>
  <c r="B499" i="1"/>
  <c r="B500" i="1" s="1"/>
  <c r="B501" i="1" s="1"/>
  <c r="C498" i="1"/>
  <c r="B498" i="1"/>
  <c r="C493" i="1"/>
  <c r="B493" i="1"/>
  <c r="B494" i="1" s="1"/>
  <c r="B495" i="1" s="1"/>
  <c r="B496" i="1" s="1"/>
  <c r="C488" i="1"/>
  <c r="B488" i="1"/>
  <c r="B489" i="1" s="1"/>
  <c r="B490" i="1" s="1"/>
  <c r="B491" i="1" s="1"/>
  <c r="B484" i="1"/>
  <c r="B485" i="1" s="1"/>
  <c r="B486" i="1" s="1"/>
  <c r="C483" i="1"/>
  <c r="B483" i="1"/>
  <c r="B479" i="1"/>
  <c r="B480" i="1" s="1"/>
  <c r="B481" i="1" s="1"/>
  <c r="C478" i="1"/>
  <c r="B478" i="1"/>
  <c r="C473" i="1"/>
  <c r="B473" i="1"/>
  <c r="B474" i="1" s="1"/>
  <c r="B475" i="1" s="1"/>
  <c r="B476" i="1" s="1"/>
  <c r="C468" i="1"/>
  <c r="B468" i="1"/>
  <c r="B469" i="1" s="1"/>
  <c r="B470" i="1" s="1"/>
  <c r="B471" i="1" s="1"/>
  <c r="B464" i="1"/>
  <c r="B465" i="1" s="1"/>
  <c r="B466" i="1" s="1"/>
  <c r="C463" i="1"/>
  <c r="B463" i="1"/>
  <c r="B459" i="1"/>
  <c r="B460" i="1" s="1"/>
  <c r="B461" i="1" s="1"/>
  <c r="C458" i="1"/>
  <c r="B458" i="1"/>
  <c r="C453" i="1"/>
  <c r="B453" i="1"/>
  <c r="B454" i="1" s="1"/>
  <c r="B455" i="1" s="1"/>
  <c r="B456" i="1" s="1"/>
  <c r="C448" i="1"/>
  <c r="B448" i="1"/>
  <c r="B449" i="1" s="1"/>
  <c r="B450" i="1" s="1"/>
  <c r="B451" i="1" s="1"/>
  <c r="B444" i="1"/>
  <c r="B445" i="1" s="1"/>
  <c r="B446" i="1" s="1"/>
  <c r="C443" i="1"/>
  <c r="B443" i="1"/>
  <c r="B439" i="1"/>
  <c r="B440" i="1" s="1"/>
  <c r="B441" i="1" s="1"/>
  <c r="C438" i="1"/>
  <c r="B438" i="1"/>
  <c r="C433" i="1"/>
  <c r="B433" i="1"/>
  <c r="B434" i="1" s="1"/>
  <c r="B435" i="1" s="1"/>
  <c r="B436" i="1" s="1"/>
  <c r="C428" i="1"/>
  <c r="B428" i="1"/>
  <c r="B429" i="1" s="1"/>
  <c r="B430" i="1" s="1"/>
  <c r="B431" i="1" s="1"/>
  <c r="B424" i="1"/>
  <c r="B425" i="1" s="1"/>
  <c r="B426" i="1" s="1"/>
  <c r="C423" i="1"/>
  <c r="B423" i="1"/>
  <c r="B419" i="1"/>
  <c r="B420" i="1" s="1"/>
  <c r="B421" i="1" s="1"/>
  <c r="C418" i="1"/>
  <c r="B418" i="1"/>
  <c r="C413" i="1"/>
  <c r="B413" i="1"/>
  <c r="B414" i="1" s="1"/>
  <c r="B415" i="1" s="1"/>
  <c r="B416" i="1" s="1"/>
  <c r="C408" i="1"/>
  <c r="B408" i="1"/>
  <c r="B409" i="1" s="1"/>
  <c r="B410" i="1" s="1"/>
  <c r="B411" i="1" s="1"/>
  <c r="B404" i="1"/>
  <c r="B405" i="1" s="1"/>
  <c r="B406" i="1" s="1"/>
  <c r="C403" i="1"/>
  <c r="B403" i="1"/>
  <c r="B399" i="1"/>
  <c r="B400" i="1" s="1"/>
  <c r="B401" i="1" s="1"/>
  <c r="C398" i="1"/>
  <c r="B398" i="1"/>
  <c r="C393" i="1"/>
  <c r="B393" i="1"/>
  <c r="B394" i="1" s="1"/>
  <c r="B395" i="1" s="1"/>
  <c r="B396" i="1" s="1"/>
  <c r="C388" i="1"/>
  <c r="B388" i="1"/>
  <c r="B389" i="1" s="1"/>
  <c r="B390" i="1" s="1"/>
  <c r="B391" i="1" s="1"/>
  <c r="B384" i="1"/>
  <c r="B385" i="1" s="1"/>
  <c r="B386" i="1" s="1"/>
  <c r="C383" i="1"/>
  <c r="B383" i="1"/>
  <c r="B379" i="1"/>
  <c r="B380" i="1" s="1"/>
  <c r="B381" i="1" s="1"/>
  <c r="C378" i="1"/>
  <c r="B378" i="1"/>
  <c r="C373" i="1"/>
  <c r="B373" i="1"/>
  <c r="B374" i="1" s="1"/>
  <c r="B375" i="1" s="1"/>
  <c r="B376" i="1" s="1"/>
  <c r="C368" i="1"/>
  <c r="B368" i="1"/>
  <c r="B369" i="1" s="1"/>
  <c r="B370" i="1" s="1"/>
  <c r="B371" i="1" s="1"/>
  <c r="B364" i="1"/>
  <c r="B365" i="1" s="1"/>
  <c r="B366" i="1" s="1"/>
  <c r="C363" i="1"/>
  <c r="B363" i="1"/>
  <c r="B359" i="1"/>
  <c r="B360" i="1" s="1"/>
  <c r="B361" i="1" s="1"/>
  <c r="C358" i="1"/>
  <c r="B358" i="1"/>
  <c r="C353" i="1"/>
  <c r="B353" i="1"/>
  <c r="B354" i="1" s="1"/>
  <c r="B355" i="1" s="1"/>
  <c r="B356" i="1" s="1"/>
  <c r="C348" i="1"/>
  <c r="B348" i="1"/>
  <c r="B349" i="1" s="1"/>
  <c r="B350" i="1" s="1"/>
  <c r="B351" i="1" s="1"/>
  <c r="B344" i="1"/>
  <c r="B345" i="1" s="1"/>
  <c r="B346" i="1" s="1"/>
  <c r="C343" i="1"/>
  <c r="B343" i="1"/>
  <c r="B339" i="1"/>
  <c r="B340" i="1" s="1"/>
  <c r="B341" i="1" s="1"/>
  <c r="C338" i="1"/>
  <c r="B338" i="1"/>
  <c r="C333" i="1"/>
  <c r="B333" i="1"/>
  <c r="B334" i="1" s="1"/>
  <c r="B335" i="1" s="1"/>
  <c r="B336" i="1" s="1"/>
  <c r="C328" i="1"/>
  <c r="B328" i="1"/>
  <c r="B329" i="1" s="1"/>
  <c r="B330" i="1" s="1"/>
  <c r="B331" i="1" s="1"/>
  <c r="B324" i="1"/>
  <c r="B325" i="1" s="1"/>
  <c r="B326" i="1" s="1"/>
  <c r="C323" i="1"/>
  <c r="B323" i="1"/>
  <c r="B319" i="1"/>
  <c r="B320" i="1" s="1"/>
  <c r="B321" i="1" s="1"/>
  <c r="C318" i="1"/>
  <c r="B318" i="1"/>
  <c r="C313" i="1"/>
  <c r="B313" i="1"/>
  <c r="B314" i="1" s="1"/>
  <c r="B315" i="1" s="1"/>
  <c r="B316" i="1" s="1"/>
  <c r="C308" i="1"/>
  <c r="B308" i="1"/>
  <c r="B309" i="1" s="1"/>
  <c r="B310" i="1" s="1"/>
  <c r="B311" i="1" s="1"/>
  <c r="B304" i="1"/>
  <c r="B305" i="1" s="1"/>
  <c r="B306" i="1" s="1"/>
  <c r="C303" i="1"/>
  <c r="B303" i="1"/>
  <c r="B299" i="1"/>
  <c r="B300" i="1" s="1"/>
  <c r="B301" i="1" s="1"/>
  <c r="C298" i="1"/>
  <c r="B298" i="1"/>
  <c r="C293" i="1"/>
  <c r="B293" i="1"/>
  <c r="B294" i="1" s="1"/>
  <c r="B295" i="1" s="1"/>
  <c r="B296" i="1" s="1"/>
  <c r="C288" i="1"/>
  <c r="B288" i="1"/>
  <c r="B289" i="1" s="1"/>
  <c r="B290" i="1" s="1"/>
  <c r="B291" i="1" s="1"/>
  <c r="B284" i="1"/>
  <c r="B285" i="1" s="1"/>
  <c r="B286" i="1" s="1"/>
  <c r="C283" i="1"/>
  <c r="B283" i="1"/>
  <c r="B279" i="1"/>
  <c r="B280" i="1" s="1"/>
  <c r="B281" i="1" s="1"/>
  <c r="C278" i="1"/>
  <c r="B278" i="1"/>
  <c r="C273" i="1"/>
  <c r="B273" i="1"/>
  <c r="B274" i="1" s="1"/>
  <c r="B275" i="1" s="1"/>
  <c r="B276" i="1" s="1"/>
  <c r="C268" i="1"/>
  <c r="B268" i="1"/>
  <c r="B269" i="1" s="1"/>
  <c r="B270" i="1" s="1"/>
  <c r="B271" i="1" s="1"/>
  <c r="B264" i="1"/>
  <c r="B265" i="1" s="1"/>
  <c r="B266" i="1" s="1"/>
  <c r="C263" i="1"/>
  <c r="B263" i="1"/>
  <c r="B259" i="1"/>
  <c r="B260" i="1" s="1"/>
  <c r="B261" i="1" s="1"/>
  <c r="C258" i="1"/>
  <c r="B258" i="1"/>
  <c r="C253" i="1"/>
  <c r="B253" i="1"/>
  <c r="B254" i="1" s="1"/>
  <c r="B255" i="1" s="1"/>
  <c r="B256" i="1" s="1"/>
  <c r="C248" i="1"/>
  <c r="B248" i="1"/>
  <c r="B249" i="1" s="1"/>
  <c r="B250" i="1" s="1"/>
  <c r="B251" i="1" s="1"/>
  <c r="B244" i="1"/>
  <c r="B245" i="1" s="1"/>
  <c r="B246" i="1" s="1"/>
  <c r="C243" i="1"/>
  <c r="B243" i="1"/>
  <c r="B239" i="1"/>
  <c r="B240" i="1" s="1"/>
  <c r="B241" i="1" s="1"/>
  <c r="C238" i="1"/>
  <c r="B238" i="1"/>
  <c r="C233" i="1"/>
  <c r="B233" i="1"/>
  <c r="B234" i="1" s="1"/>
  <c r="B235" i="1" s="1"/>
  <c r="B236" i="1" s="1"/>
  <c r="C228" i="1"/>
  <c r="B228" i="1"/>
  <c r="B229" i="1" s="1"/>
  <c r="B230" i="1" s="1"/>
  <c r="B231" i="1" s="1"/>
  <c r="B224" i="1"/>
  <c r="B225" i="1" s="1"/>
  <c r="B226" i="1" s="1"/>
  <c r="C223" i="1"/>
  <c r="B223" i="1"/>
  <c r="B219" i="1"/>
  <c r="B220" i="1" s="1"/>
  <c r="B221" i="1" s="1"/>
  <c r="C218" i="1"/>
  <c r="B218" i="1"/>
  <c r="C213" i="1"/>
  <c r="B213" i="1"/>
  <c r="B214" i="1" s="1"/>
  <c r="B215" i="1" s="1"/>
  <c r="B216" i="1" s="1"/>
  <c r="C208" i="1"/>
  <c r="B208" i="1"/>
  <c r="B209" i="1" s="1"/>
  <c r="B210" i="1" s="1"/>
  <c r="B211" i="1" s="1"/>
  <c r="B204" i="1"/>
  <c r="B205" i="1" s="1"/>
  <c r="B206" i="1" s="1"/>
  <c r="C203" i="1"/>
  <c r="B203" i="1"/>
  <c r="B199" i="1"/>
  <c r="B200" i="1" s="1"/>
  <c r="B201" i="1" s="1"/>
  <c r="C198" i="1"/>
  <c r="B198" i="1"/>
  <c r="C193" i="1"/>
  <c r="B193" i="1"/>
  <c r="B194" i="1" s="1"/>
  <c r="B195" i="1" s="1"/>
  <c r="B196" i="1" s="1"/>
  <c r="C188" i="1"/>
  <c r="B188" i="1"/>
  <c r="B189" i="1" s="1"/>
  <c r="B190" i="1" s="1"/>
  <c r="B191" i="1" s="1"/>
  <c r="B184" i="1"/>
  <c r="B185" i="1" s="1"/>
  <c r="B186" i="1" s="1"/>
  <c r="C183" i="1"/>
  <c r="B183" i="1"/>
  <c r="B179" i="1"/>
  <c r="B180" i="1" s="1"/>
  <c r="B181" i="1" s="1"/>
  <c r="C178" i="1"/>
  <c r="B178" i="1"/>
  <c r="C173" i="1"/>
  <c r="B173" i="1"/>
  <c r="B174" i="1" s="1"/>
  <c r="B175" i="1" s="1"/>
  <c r="B176" i="1" s="1"/>
  <c r="C168" i="1"/>
  <c r="B168" i="1"/>
  <c r="B169" i="1" s="1"/>
  <c r="B170" i="1" s="1"/>
  <c r="B171" i="1" s="1"/>
  <c r="B164" i="1"/>
  <c r="B165" i="1" s="1"/>
  <c r="B166" i="1" s="1"/>
  <c r="C163" i="1"/>
  <c r="B163" i="1"/>
  <c r="B159" i="1"/>
  <c r="B160" i="1" s="1"/>
  <c r="B161" i="1" s="1"/>
  <c r="C158" i="1"/>
  <c r="B158" i="1"/>
  <c r="C153" i="1"/>
  <c r="B153" i="1"/>
  <c r="B154" i="1" s="1"/>
  <c r="B155" i="1" s="1"/>
  <c r="B156" i="1" s="1"/>
  <c r="C148" i="1"/>
  <c r="B148" i="1"/>
  <c r="B149" i="1" s="1"/>
  <c r="B150" i="1" s="1"/>
  <c r="B151" i="1" s="1"/>
  <c r="B144" i="1"/>
  <c r="B145" i="1" s="1"/>
  <c r="B146" i="1" s="1"/>
  <c r="C143" i="1"/>
  <c r="B143" i="1"/>
  <c r="B139" i="1"/>
  <c r="B140" i="1" s="1"/>
  <c r="B141" i="1" s="1"/>
  <c r="C138" i="1"/>
  <c r="B138" i="1"/>
  <c r="C133" i="1"/>
  <c r="B133" i="1"/>
  <c r="B134" i="1" s="1"/>
  <c r="B135" i="1" s="1"/>
  <c r="B136" i="1" s="1"/>
  <c r="C128" i="1"/>
  <c r="B128" i="1"/>
  <c r="B129" i="1" s="1"/>
  <c r="B130" i="1" s="1"/>
  <c r="B131" i="1" s="1"/>
  <c r="B124" i="1"/>
  <c r="B125" i="1" s="1"/>
  <c r="B126" i="1" s="1"/>
  <c r="C123" i="1"/>
  <c r="B123" i="1"/>
  <c r="B119" i="1"/>
  <c r="B120" i="1" s="1"/>
  <c r="B121" i="1" s="1"/>
  <c r="C118" i="1"/>
  <c r="B118" i="1"/>
  <c r="C113" i="1"/>
  <c r="B113" i="1"/>
  <c r="B114" i="1" s="1"/>
  <c r="B115" i="1" s="1"/>
  <c r="B116" i="1" s="1"/>
  <c r="C108" i="1"/>
  <c r="B108" i="1"/>
  <c r="B109" i="1" s="1"/>
  <c r="B110" i="1" s="1"/>
  <c r="B111" i="1" s="1"/>
  <c r="B104" i="1"/>
  <c r="B105" i="1" s="1"/>
  <c r="B106" i="1" s="1"/>
  <c r="C103" i="1"/>
  <c r="B103" i="1"/>
  <c r="B99" i="1"/>
  <c r="B100" i="1" s="1"/>
  <c r="B101" i="1" s="1"/>
  <c r="C98" i="1"/>
  <c r="B98" i="1"/>
  <c r="C93" i="1"/>
  <c r="B93" i="1"/>
  <c r="B94" i="1" s="1"/>
  <c r="B95" i="1" s="1"/>
  <c r="B96" i="1" s="1"/>
  <c r="C88" i="1"/>
  <c r="B88" i="1"/>
  <c r="B89" i="1" s="1"/>
  <c r="B90" i="1" s="1"/>
  <c r="B91" i="1" s="1"/>
  <c r="B84" i="1"/>
  <c r="B85" i="1" s="1"/>
  <c r="B86" i="1" s="1"/>
  <c r="C83" i="1"/>
  <c r="B83" i="1"/>
  <c r="B79" i="1"/>
  <c r="B80" i="1" s="1"/>
  <c r="B81" i="1" s="1"/>
  <c r="C78" i="1"/>
  <c r="B78" i="1"/>
  <c r="C73" i="1"/>
  <c r="B73" i="1"/>
  <c r="B74" i="1" s="1"/>
  <c r="B75" i="1" s="1"/>
  <c r="B76" i="1" s="1"/>
  <c r="C68" i="1"/>
  <c r="B68" i="1"/>
  <c r="B69" i="1" s="1"/>
  <c r="B70" i="1" s="1"/>
  <c r="B71" i="1" s="1"/>
  <c r="C64" i="1"/>
  <c r="C63" i="1"/>
  <c r="B63" i="1"/>
  <c r="B64" i="1" s="1"/>
  <c r="B65" i="1" s="1"/>
  <c r="B66" i="1" s="1"/>
  <c r="C59" i="1"/>
  <c r="C58" i="1"/>
  <c r="B58" i="1"/>
  <c r="B59" i="1" s="1"/>
  <c r="B60" i="1" s="1"/>
  <c r="B61" i="1" s="1"/>
  <c r="C54" i="1"/>
  <c r="C53" i="1"/>
  <c r="B53" i="1"/>
  <c r="B54" i="1" s="1"/>
  <c r="B55" i="1" s="1"/>
  <c r="B56" i="1" s="1"/>
  <c r="C48" i="1"/>
  <c r="B48" i="1"/>
  <c r="B49" i="1" s="1"/>
  <c r="B50" i="1" s="1"/>
  <c r="B51" i="1" s="1"/>
  <c r="B44" i="1"/>
  <c r="B45" i="1" s="1"/>
  <c r="B46" i="1" s="1"/>
  <c r="C43" i="1"/>
  <c r="B43" i="1"/>
  <c r="C39" i="1"/>
  <c r="C38" i="1"/>
  <c r="B38" i="1"/>
  <c r="B39" i="1" s="1"/>
  <c r="B40" i="1" s="1"/>
  <c r="B41" i="1" s="1"/>
  <c r="C33" i="1"/>
  <c r="B33" i="1"/>
  <c r="B34" i="1" s="1"/>
  <c r="B35" i="1" s="1"/>
  <c r="B36" i="1" s="1"/>
  <c r="C28" i="1"/>
  <c r="B28" i="1"/>
  <c r="B29" i="1" s="1"/>
  <c r="B30" i="1" s="1"/>
  <c r="B31" i="1" s="1"/>
  <c r="C23" i="1"/>
  <c r="B23" i="1"/>
  <c r="B24" i="1" s="1"/>
  <c r="B25" i="1" s="1"/>
  <c r="B26" i="1" s="1"/>
  <c r="B19" i="1"/>
  <c r="B20" i="1" s="1"/>
  <c r="B21" i="1" s="1"/>
  <c r="C18" i="1"/>
  <c r="B18" i="1"/>
  <c r="C13" i="1"/>
  <c r="B13" i="1"/>
  <c r="B14" i="1" s="1"/>
  <c r="B15" i="1" s="1"/>
  <c r="B16" i="1" s="1"/>
  <c r="B9" i="1"/>
  <c r="B10" i="1" s="1"/>
  <c r="B11" i="1" s="1"/>
  <c r="C8" i="1"/>
  <c r="B8" i="1"/>
  <c r="C40" i="1" l="1"/>
  <c r="C89" i="1"/>
  <c r="C129" i="1"/>
  <c r="C209" i="1"/>
  <c r="C289" i="1"/>
  <c r="C329" i="1"/>
  <c r="C449" i="1"/>
  <c r="C489" i="1"/>
  <c r="C609" i="1"/>
  <c r="C769" i="1"/>
  <c r="C809" i="1"/>
  <c r="C1014" i="1"/>
  <c r="C1024" i="1"/>
  <c r="C1099" i="1"/>
  <c r="C1114" i="1"/>
  <c r="C1149" i="1"/>
  <c r="C1164" i="1"/>
  <c r="C1309" i="1"/>
  <c r="C1399" i="1"/>
  <c r="C1414" i="1"/>
  <c r="C1429" i="1"/>
  <c r="C9" i="1"/>
  <c r="C104" i="1"/>
  <c r="C144" i="1"/>
  <c r="C184" i="1"/>
  <c r="C264" i="1"/>
  <c r="C304" i="1"/>
  <c r="C344" i="1"/>
  <c r="C384" i="1"/>
  <c r="C544" i="1"/>
  <c r="C704" i="1"/>
  <c r="C839" i="1"/>
  <c r="C909" i="1"/>
  <c r="C939" i="1"/>
  <c r="C984" i="1"/>
  <c r="C1139" i="1"/>
  <c r="C1194" i="1"/>
  <c r="C1259" i="1"/>
  <c r="C1274" i="1"/>
  <c r="C1339" i="1"/>
  <c r="C1354" i="1"/>
  <c r="C55" i="1"/>
  <c r="C65" i="1"/>
  <c r="C79" i="1"/>
  <c r="C119" i="1"/>
  <c r="C159" i="1"/>
  <c r="C279" i="1"/>
  <c r="C399" i="1"/>
  <c r="C439" i="1"/>
  <c r="C559" i="1"/>
  <c r="C599" i="1"/>
  <c r="C719" i="1"/>
  <c r="C759" i="1"/>
  <c r="C919" i="1"/>
  <c r="C964" i="1"/>
  <c r="C1039" i="1"/>
  <c r="C1064" i="1"/>
  <c r="C1089" i="1"/>
  <c r="C1104" i="1"/>
  <c r="C1129" i="1"/>
  <c r="C1179" i="1"/>
  <c r="C1234" i="1"/>
  <c r="C1299" i="1"/>
  <c r="C1314" i="1"/>
  <c r="C1404" i="1"/>
  <c r="C1419" i="1"/>
  <c r="C94" i="1"/>
  <c r="C214" i="1"/>
  <c r="C294" i="1"/>
  <c r="C334" i="1"/>
  <c r="C494" i="1"/>
  <c r="C534" i="1"/>
  <c r="C654" i="1"/>
  <c r="C774" i="1"/>
  <c r="C1009" i="1"/>
  <c r="C1029" i="1"/>
  <c r="C1119" i="1"/>
  <c r="C1154" i="1"/>
  <c r="C1224" i="1"/>
  <c r="C1249" i="1"/>
  <c r="C1264" i="1"/>
  <c r="C1289" i="1"/>
  <c r="C1389" i="1"/>
  <c r="C1434" i="1"/>
  <c r="C69" i="1"/>
  <c r="C189" i="1"/>
  <c r="C269" i="1"/>
  <c r="C309" i="1"/>
  <c r="C509" i="1"/>
  <c r="C789" i="1"/>
  <c r="C989" i="1"/>
  <c r="C1019" i="1"/>
  <c r="C1054" i="1"/>
  <c r="C1079" i="1"/>
  <c r="C1144" i="1"/>
  <c r="C1169" i="1"/>
  <c r="C1199" i="1"/>
  <c r="C1279" i="1"/>
  <c r="C1304" i="1"/>
  <c r="C1424" i="1"/>
  <c r="C1454" i="1"/>
  <c r="C204" i="1"/>
  <c r="C244" i="1"/>
  <c r="C284" i="1"/>
  <c r="C324" i="1"/>
  <c r="C444" i="1"/>
  <c r="C484" i="1"/>
  <c r="C524" i="1"/>
  <c r="C764" i="1"/>
  <c r="C804" i="1"/>
  <c r="C914" i="1"/>
  <c r="C1044" i="1"/>
  <c r="C1094" i="1"/>
  <c r="C1239" i="1"/>
  <c r="C1319" i="1"/>
  <c r="C1364" i="1"/>
  <c r="C1379" i="1"/>
  <c r="C60" i="1"/>
  <c r="C139" i="1"/>
  <c r="C219" i="1"/>
  <c r="C259" i="1"/>
  <c r="C339" i="1"/>
  <c r="C379" i="1"/>
  <c r="C459" i="1"/>
  <c r="C539" i="1"/>
  <c r="C579" i="1"/>
  <c r="C619" i="1"/>
  <c r="C1069" i="1"/>
  <c r="C1084" i="1"/>
  <c r="C1109" i="1"/>
  <c r="C1124" i="1"/>
  <c r="C1134" i="1"/>
  <c r="C1214" i="1"/>
  <c r="C1254" i="1"/>
  <c r="C1334" i="1"/>
  <c r="C1349" i="1"/>
  <c r="C1394" i="1"/>
  <c r="C1409" i="1"/>
  <c r="C24" i="1"/>
  <c r="C194" i="1"/>
  <c r="C234" i="1"/>
  <c r="C274" i="1"/>
  <c r="C314" i="1"/>
  <c r="C754" i="1"/>
  <c r="C959" i="1"/>
  <c r="C1004" i="1"/>
  <c r="C1034" i="1"/>
  <c r="C1059" i="1"/>
  <c r="C1174" i="1"/>
  <c r="C1189" i="1"/>
  <c r="C1204" i="1"/>
  <c r="C1229" i="1"/>
  <c r="C1244" i="1"/>
  <c r="C1269" i="1"/>
  <c r="C1284" i="1"/>
  <c r="C1294" i="1"/>
  <c r="C1324" i="1"/>
  <c r="C1384" i="1"/>
  <c r="C84" i="1"/>
  <c r="C164" i="1"/>
  <c r="C404" i="1"/>
  <c r="C19" i="1"/>
  <c r="C29" i="1"/>
  <c r="C49" i="1"/>
  <c r="C99" i="1"/>
  <c r="C179" i="1"/>
  <c r="C299" i="1"/>
  <c r="C419" i="1"/>
  <c r="C499" i="1"/>
  <c r="C659" i="1"/>
  <c r="C699" i="1"/>
  <c r="C739" i="1"/>
  <c r="C779" i="1"/>
  <c r="C844" i="1"/>
  <c r="C874" i="1"/>
  <c r="C884" i="1"/>
  <c r="C924" i="1"/>
  <c r="C954" i="1"/>
  <c r="C994" i="1"/>
  <c r="C1159" i="1"/>
  <c r="C1359" i="1"/>
  <c r="C1374" i="1"/>
  <c r="C1449" i="1"/>
  <c r="C124" i="1"/>
  <c r="C364" i="1"/>
  <c r="C564" i="1"/>
  <c r="C74" i="1"/>
  <c r="C114" i="1"/>
  <c r="C154" i="1"/>
  <c r="C354" i="1"/>
  <c r="C394" i="1"/>
  <c r="C434" i="1"/>
  <c r="C474" i="1"/>
  <c r="C514" i="1"/>
  <c r="C554" i="1"/>
  <c r="C594" i="1"/>
  <c r="C634" i="1"/>
  <c r="C674" i="1"/>
  <c r="C714" i="1"/>
  <c r="C794" i="1"/>
  <c r="C819" i="1"/>
  <c r="C854" i="1"/>
  <c r="C864" i="1"/>
  <c r="C894" i="1"/>
  <c r="C904" i="1"/>
  <c r="C934" i="1"/>
  <c r="C944" i="1"/>
  <c r="C974" i="1"/>
  <c r="C169" i="1"/>
  <c r="C249" i="1"/>
  <c r="C369" i="1"/>
  <c r="C409" i="1"/>
  <c r="C529" i="1"/>
  <c r="C569" i="1"/>
  <c r="C649" i="1"/>
  <c r="C689" i="1"/>
  <c r="C729" i="1"/>
  <c r="C1049" i="1"/>
  <c r="C1439" i="1"/>
  <c r="C424" i="1"/>
  <c r="C464" i="1"/>
  <c r="C504" i="1"/>
  <c r="C584" i="1"/>
  <c r="C624" i="1"/>
  <c r="C664" i="1"/>
  <c r="C744" i="1"/>
  <c r="C784" i="1"/>
  <c r="C834" i="1"/>
  <c r="C1074" i="1"/>
  <c r="C14" i="1"/>
  <c r="C34" i="1"/>
  <c r="C44" i="1"/>
  <c r="C199" i="1"/>
  <c r="C239" i="1"/>
  <c r="C319" i="1"/>
  <c r="C359" i="1"/>
  <c r="C479" i="1"/>
  <c r="C519" i="1"/>
  <c r="C639" i="1"/>
  <c r="C679" i="1"/>
  <c r="C799" i="1"/>
  <c r="C824" i="1"/>
  <c r="C849" i="1"/>
  <c r="C869" i="1"/>
  <c r="C889" i="1"/>
  <c r="C929" i="1"/>
  <c r="C949" i="1"/>
  <c r="C969" i="1"/>
  <c r="C1444" i="1"/>
  <c r="C224" i="1"/>
  <c r="C134" i="1"/>
  <c r="C174" i="1"/>
  <c r="C254" i="1"/>
  <c r="C374" i="1"/>
  <c r="C414" i="1"/>
  <c r="C454" i="1"/>
  <c r="C574" i="1"/>
  <c r="C614" i="1"/>
  <c r="C694" i="1"/>
  <c r="C734" i="1"/>
  <c r="C814" i="1"/>
  <c r="C859" i="1"/>
  <c r="C879" i="1"/>
  <c r="C899" i="1"/>
  <c r="C979" i="1"/>
  <c r="C999" i="1"/>
  <c r="C1219" i="1"/>
  <c r="C109" i="1"/>
  <c r="C149" i="1"/>
  <c r="C229" i="1"/>
  <c r="C349" i="1"/>
  <c r="C389" i="1"/>
  <c r="C429" i="1"/>
  <c r="C469" i="1"/>
  <c r="C549" i="1"/>
  <c r="C589" i="1"/>
  <c r="C629" i="1"/>
  <c r="C669" i="1"/>
  <c r="C709" i="1"/>
  <c r="C749" i="1"/>
  <c r="C1184" i="1"/>
  <c r="C1209" i="1"/>
  <c r="C1369" i="1"/>
  <c r="C604" i="1"/>
  <c r="C644" i="1"/>
  <c r="C684" i="1"/>
  <c r="C724" i="1"/>
  <c r="C829" i="1"/>
  <c r="C1329" i="1"/>
  <c r="C1344" i="1"/>
  <c r="C1400" i="1" l="1"/>
  <c r="C1115" i="1"/>
  <c r="C810" i="1"/>
  <c r="C450" i="1"/>
  <c r="C130" i="1"/>
  <c r="C25" i="1"/>
  <c r="C1125" i="1"/>
  <c r="C380" i="1"/>
  <c r="C1170" i="1"/>
  <c r="C1435" i="1"/>
  <c r="C535" i="1"/>
  <c r="C1315" i="1"/>
  <c r="C720" i="1"/>
  <c r="C80" i="1"/>
  <c r="C1140" i="1"/>
  <c r="C840" i="1"/>
  <c r="C345" i="1"/>
  <c r="C145" i="1"/>
  <c r="C1285" i="1"/>
  <c r="C315" i="1"/>
  <c r="C1410" i="1"/>
  <c r="C1255" i="1"/>
  <c r="C1110" i="1"/>
  <c r="C580" i="1"/>
  <c r="C340" i="1"/>
  <c r="C61" i="1"/>
  <c r="C1305" i="1"/>
  <c r="C1145" i="1"/>
  <c r="C990" i="1"/>
  <c r="C270" i="1"/>
  <c r="C1390" i="1"/>
  <c r="C1225" i="1"/>
  <c r="C1010" i="1"/>
  <c r="C495" i="1"/>
  <c r="C95" i="1"/>
  <c r="C1300" i="1"/>
  <c r="C1105" i="1"/>
  <c r="C965" i="1"/>
  <c r="C600" i="1"/>
  <c r="C280" i="1"/>
  <c r="C66" i="1"/>
  <c r="C1275" i="1"/>
  <c r="C985" i="1"/>
  <c r="C705" i="1"/>
  <c r="C305" i="1"/>
  <c r="C105" i="1"/>
  <c r="C1385" i="1"/>
  <c r="C1270" i="1"/>
  <c r="C1190" i="1"/>
  <c r="C1005" i="1"/>
  <c r="C275" i="1"/>
  <c r="C1240" i="1"/>
  <c r="C805" i="1"/>
  <c r="C445" i="1"/>
  <c r="C205" i="1"/>
  <c r="C10" i="1"/>
  <c r="C1310" i="1"/>
  <c r="C1100" i="1"/>
  <c r="C770" i="1"/>
  <c r="C330" i="1"/>
  <c r="C90" i="1"/>
  <c r="C1335" i="1"/>
  <c r="C620" i="1"/>
  <c r="C140" i="1"/>
  <c r="C1425" i="1"/>
  <c r="C1020" i="1"/>
  <c r="C310" i="1"/>
  <c r="C1250" i="1"/>
  <c r="C1030" i="1"/>
  <c r="C215" i="1"/>
  <c r="C1130" i="1"/>
  <c r="C1040" i="1"/>
  <c r="C400" i="1"/>
  <c r="C1340" i="1"/>
  <c r="C1205" i="1"/>
  <c r="C1035" i="1"/>
  <c r="C1320" i="1"/>
  <c r="C915" i="1"/>
  <c r="C485" i="1"/>
  <c r="C245" i="1"/>
  <c r="C1395" i="1"/>
  <c r="C1215" i="1"/>
  <c r="C1085" i="1"/>
  <c r="C540" i="1"/>
  <c r="C260" i="1"/>
  <c r="C1280" i="1"/>
  <c r="C1080" i="1"/>
  <c r="C790" i="1"/>
  <c r="C190" i="1"/>
  <c r="C1290" i="1"/>
  <c r="C1155" i="1"/>
  <c r="C775" i="1"/>
  <c r="C335" i="1"/>
  <c r="C1420" i="1"/>
  <c r="C1235" i="1"/>
  <c r="C1090" i="1"/>
  <c r="C920" i="1"/>
  <c r="C560" i="1"/>
  <c r="C160" i="1"/>
  <c r="C56" i="1"/>
  <c r="C1260" i="1"/>
  <c r="C940" i="1"/>
  <c r="C545" i="1"/>
  <c r="C265" i="1"/>
  <c r="C1430" i="1"/>
  <c r="C1165" i="1"/>
  <c r="C1025" i="1"/>
  <c r="C610" i="1"/>
  <c r="C290" i="1"/>
  <c r="C1325" i="1"/>
  <c r="C1245" i="1"/>
  <c r="C1175" i="1"/>
  <c r="C960" i="1"/>
  <c r="C235" i="1"/>
  <c r="C1380" i="1"/>
  <c r="C1095" i="1"/>
  <c r="C765" i="1"/>
  <c r="C325" i="1"/>
  <c r="C1350" i="1"/>
  <c r="C1135" i="1"/>
  <c r="C1070" i="1"/>
  <c r="C460" i="1"/>
  <c r="C220" i="1"/>
  <c r="C1455" i="1"/>
  <c r="C1200" i="1"/>
  <c r="C1055" i="1"/>
  <c r="C510" i="1"/>
  <c r="C70" i="1"/>
  <c r="C1265" i="1"/>
  <c r="C1120" i="1"/>
  <c r="C655" i="1"/>
  <c r="C295" i="1"/>
  <c r="C1405" i="1"/>
  <c r="C1180" i="1"/>
  <c r="C1065" i="1"/>
  <c r="C760" i="1"/>
  <c r="C440" i="1"/>
  <c r="C120" i="1"/>
  <c r="C1355" i="1"/>
  <c r="C1195" i="1"/>
  <c r="C910" i="1"/>
  <c r="C385" i="1"/>
  <c r="C185" i="1"/>
  <c r="C41" i="1"/>
  <c r="C1295" i="1"/>
  <c r="C1230" i="1"/>
  <c r="C1060" i="1"/>
  <c r="C755" i="1"/>
  <c r="C195" i="1"/>
  <c r="C1365" i="1"/>
  <c r="C1045" i="1"/>
  <c r="C525" i="1"/>
  <c r="C285" i="1"/>
  <c r="C1415" i="1"/>
  <c r="C1150" i="1"/>
  <c r="C1015" i="1"/>
  <c r="C490" i="1"/>
  <c r="C210" i="1"/>
  <c r="C20" i="1"/>
  <c r="C45" i="1"/>
  <c r="C975" i="1"/>
  <c r="C1370" i="1"/>
  <c r="C870" i="1"/>
  <c r="C360" i="1"/>
  <c r="C35" i="1"/>
  <c r="C585" i="1"/>
  <c r="C1440" i="1"/>
  <c r="C650" i="1"/>
  <c r="C370" i="1"/>
  <c r="C1220" i="1"/>
  <c r="C880" i="1"/>
  <c r="C695" i="1"/>
  <c r="C415" i="1"/>
  <c r="C135" i="1"/>
  <c r="C15" i="1"/>
  <c r="C945" i="1"/>
  <c r="C865" i="1"/>
  <c r="C715" i="1"/>
  <c r="C555" i="1"/>
  <c r="C395" i="1"/>
  <c r="C75" i="1"/>
  <c r="C1345" i="1"/>
  <c r="C685" i="1"/>
  <c r="C1210" i="1"/>
  <c r="C670" i="1"/>
  <c r="C470" i="1"/>
  <c r="C230" i="1"/>
  <c r="C950" i="1"/>
  <c r="C850" i="1"/>
  <c r="C640" i="1"/>
  <c r="C320" i="1"/>
  <c r="C745" i="1"/>
  <c r="C505" i="1"/>
  <c r="C1050" i="1"/>
  <c r="C570" i="1"/>
  <c r="C250" i="1"/>
  <c r="C1450" i="1"/>
  <c r="C995" i="1"/>
  <c r="C875" i="1"/>
  <c r="C700" i="1"/>
  <c r="C300" i="1"/>
  <c r="C405" i="1"/>
  <c r="C900" i="1"/>
  <c r="C735" i="1"/>
  <c r="C175" i="1"/>
  <c r="C895" i="1"/>
  <c r="C795" i="1"/>
  <c r="C595" i="1"/>
  <c r="C435" i="1"/>
  <c r="C115" i="1"/>
  <c r="C125" i="1"/>
  <c r="C680" i="1"/>
  <c r="C785" i="1"/>
  <c r="C1000" i="1"/>
  <c r="C860" i="1"/>
  <c r="C615" i="1"/>
  <c r="C375" i="1"/>
  <c r="C225" i="1"/>
  <c r="C935" i="1"/>
  <c r="C855" i="1"/>
  <c r="C675" i="1"/>
  <c r="C515" i="1"/>
  <c r="C355" i="1"/>
  <c r="C565" i="1"/>
  <c r="C1330" i="1"/>
  <c r="C645" i="1"/>
  <c r="C1185" i="1"/>
  <c r="C630" i="1"/>
  <c r="C430" i="1"/>
  <c r="C150" i="1"/>
  <c r="C930" i="1"/>
  <c r="C825" i="1"/>
  <c r="C520" i="1"/>
  <c r="C240" i="1"/>
  <c r="C1075" i="1"/>
  <c r="C665" i="1"/>
  <c r="C465" i="1"/>
  <c r="C730" i="1"/>
  <c r="C530" i="1"/>
  <c r="C170" i="1"/>
  <c r="C1375" i="1"/>
  <c r="C955" i="1"/>
  <c r="C845" i="1"/>
  <c r="C660" i="1"/>
  <c r="C180" i="1"/>
  <c r="C980" i="1"/>
  <c r="C575" i="1"/>
  <c r="C255" i="1"/>
  <c r="C165" i="1"/>
  <c r="C455" i="1"/>
  <c r="C725" i="1"/>
  <c r="C710" i="1"/>
  <c r="C550" i="1"/>
  <c r="C350" i="1"/>
  <c r="C970" i="1"/>
  <c r="C815" i="1"/>
  <c r="C905" i="1"/>
  <c r="C820" i="1"/>
  <c r="C635" i="1"/>
  <c r="C475" i="1"/>
  <c r="C155" i="1"/>
  <c r="C365" i="1"/>
  <c r="C830" i="1"/>
  <c r="C605" i="1"/>
  <c r="C750" i="1"/>
  <c r="C590" i="1"/>
  <c r="C390" i="1"/>
  <c r="C110" i="1"/>
  <c r="C1445" i="1"/>
  <c r="C890" i="1"/>
  <c r="C800" i="1"/>
  <c r="C480" i="1"/>
  <c r="C200" i="1"/>
  <c r="C835" i="1"/>
  <c r="C625" i="1"/>
  <c r="C425" i="1"/>
  <c r="C690" i="1"/>
  <c r="C410" i="1"/>
  <c r="C1360" i="1"/>
  <c r="C925" i="1"/>
  <c r="C780" i="1"/>
  <c r="C500" i="1"/>
  <c r="C100" i="1"/>
  <c r="C50" i="1"/>
  <c r="C85" i="1"/>
  <c r="C1160" i="1"/>
  <c r="C885" i="1"/>
  <c r="C740" i="1"/>
  <c r="C420" i="1"/>
  <c r="C30" i="1"/>
  <c r="C491" i="1" l="1"/>
  <c r="C1196" i="1"/>
  <c r="C761" i="1"/>
  <c r="C296" i="1"/>
  <c r="C71" i="1"/>
  <c r="C1456" i="1"/>
  <c r="C461" i="1"/>
  <c r="C326" i="1"/>
  <c r="C1036" i="1"/>
  <c r="C1006" i="1"/>
  <c r="C1226" i="1"/>
  <c r="C1146" i="1"/>
  <c r="C346" i="1"/>
  <c r="C721" i="1"/>
  <c r="C1171" i="1"/>
  <c r="C26" i="1"/>
  <c r="C811" i="1"/>
  <c r="C1366" i="1"/>
  <c r="C196" i="1"/>
  <c r="C1296" i="1"/>
  <c r="C1066" i="1"/>
  <c r="C1176" i="1"/>
  <c r="C611" i="1"/>
  <c r="C546" i="1"/>
  <c r="C161" i="1"/>
  <c r="C1236" i="1"/>
  <c r="C1156" i="1"/>
  <c r="C1081" i="1"/>
  <c r="C261" i="1"/>
  <c r="C1396" i="1"/>
  <c r="C916" i="1"/>
  <c r="C1206" i="1"/>
  <c r="C1041" i="1"/>
  <c r="C1251" i="1"/>
  <c r="C1101" i="1"/>
  <c r="C206" i="1"/>
  <c r="C706" i="1"/>
  <c r="C281" i="1"/>
  <c r="C1301" i="1"/>
  <c r="C1256" i="1"/>
  <c r="C316" i="1"/>
  <c r="C1016" i="1"/>
  <c r="C186" i="1"/>
  <c r="C1356" i="1"/>
  <c r="C656" i="1"/>
  <c r="C511" i="1"/>
  <c r="C1071" i="1"/>
  <c r="C766" i="1"/>
  <c r="C1246" i="1"/>
  <c r="C1191" i="1"/>
  <c r="C1306" i="1"/>
  <c r="C1286" i="1"/>
  <c r="C841" i="1"/>
  <c r="C1316" i="1"/>
  <c r="C1116" i="1"/>
  <c r="C756" i="1"/>
  <c r="C1026" i="1"/>
  <c r="C941" i="1"/>
  <c r="C561" i="1"/>
  <c r="C1421" i="1"/>
  <c r="C1291" i="1"/>
  <c r="C1281" i="1"/>
  <c r="C541" i="1"/>
  <c r="C1321" i="1"/>
  <c r="C1131" i="1"/>
  <c r="C311" i="1"/>
  <c r="C141" i="1"/>
  <c r="C91" i="1"/>
  <c r="C1311" i="1"/>
  <c r="C446" i="1"/>
  <c r="C986" i="1"/>
  <c r="C601" i="1"/>
  <c r="C96" i="1"/>
  <c r="C1391" i="1"/>
  <c r="C341" i="1"/>
  <c r="C1411" i="1"/>
  <c r="C1151" i="1"/>
  <c r="C286" i="1"/>
  <c r="C386" i="1"/>
  <c r="C121" i="1"/>
  <c r="C1181" i="1"/>
  <c r="C1121" i="1"/>
  <c r="C1056" i="1"/>
  <c r="C1136" i="1"/>
  <c r="C1096" i="1"/>
  <c r="C1326" i="1"/>
  <c r="C1166" i="1"/>
  <c r="C1086" i="1"/>
  <c r="C1271" i="1"/>
  <c r="C1141" i="1"/>
  <c r="C536" i="1"/>
  <c r="C381" i="1"/>
  <c r="C131" i="1"/>
  <c r="C1401" i="1"/>
  <c r="C1061" i="1"/>
  <c r="C1406" i="1"/>
  <c r="C1266" i="1"/>
  <c r="C236" i="1"/>
  <c r="C1261" i="1"/>
  <c r="C921" i="1"/>
  <c r="C336" i="1"/>
  <c r="C191" i="1"/>
  <c r="C246" i="1"/>
  <c r="C1341" i="1"/>
  <c r="C216" i="1"/>
  <c r="C1021" i="1"/>
  <c r="C621" i="1"/>
  <c r="C331" i="1"/>
  <c r="C11" i="1"/>
  <c r="K7" i="1" s="1"/>
  <c r="C806" i="1"/>
  <c r="C1386" i="1"/>
  <c r="C106" i="1"/>
  <c r="C1276" i="1"/>
  <c r="C966" i="1"/>
  <c r="C496" i="1"/>
  <c r="C271" i="1"/>
  <c r="C581" i="1"/>
  <c r="C1126" i="1"/>
  <c r="C211" i="1"/>
  <c r="C1416" i="1"/>
  <c r="C526" i="1"/>
  <c r="C911" i="1"/>
  <c r="C441" i="1"/>
  <c r="C1201" i="1"/>
  <c r="C221" i="1"/>
  <c r="C1351" i="1"/>
  <c r="C1381" i="1"/>
  <c r="C1426" i="1"/>
  <c r="C276" i="1"/>
  <c r="C1106" i="1"/>
  <c r="C146" i="1"/>
  <c r="C81" i="1"/>
  <c r="C1436" i="1"/>
  <c r="C451" i="1"/>
  <c r="C1046" i="1"/>
  <c r="C1231" i="1"/>
  <c r="C961" i="1"/>
  <c r="C291" i="1"/>
  <c r="C1431" i="1"/>
  <c r="C266" i="1"/>
  <c r="C1091" i="1"/>
  <c r="C776" i="1"/>
  <c r="C791" i="1"/>
  <c r="C1216" i="1"/>
  <c r="C486" i="1"/>
  <c r="C401" i="1"/>
  <c r="C1031" i="1"/>
  <c r="C1336" i="1"/>
  <c r="C771" i="1"/>
  <c r="C1241" i="1"/>
  <c r="C306" i="1"/>
  <c r="C1011" i="1"/>
  <c r="C991" i="1"/>
  <c r="C1111" i="1"/>
  <c r="C86" i="1"/>
  <c r="C886" i="1"/>
  <c r="C616" i="1"/>
  <c r="C741" i="1"/>
  <c r="C51" i="1"/>
  <c r="C591" i="1"/>
  <c r="C151" i="1"/>
  <c r="C646" i="1"/>
  <c r="C861" i="1"/>
  <c r="C596" i="1"/>
  <c r="C76" i="1"/>
  <c r="C866" i="1"/>
  <c r="C501" i="1"/>
  <c r="C426" i="1"/>
  <c r="C481" i="1"/>
  <c r="C431" i="1"/>
  <c r="C1331" i="1"/>
  <c r="C1211" i="1"/>
  <c r="C781" i="1"/>
  <c r="C626" i="1"/>
  <c r="C801" i="1"/>
  <c r="C351" i="1"/>
  <c r="C16" i="1"/>
  <c r="C551" i="1"/>
  <c r="C1051" i="1"/>
  <c r="C641" i="1"/>
  <c r="C1346" i="1"/>
  <c r="C881" i="1"/>
  <c r="C251" i="1"/>
  <c r="C746" i="1"/>
  <c r="C951" i="1"/>
  <c r="C471" i="1"/>
  <c r="C556" i="1"/>
  <c r="C46" i="1"/>
  <c r="C31" i="1"/>
  <c r="C1161" i="1"/>
  <c r="C926" i="1"/>
  <c r="C111" i="1"/>
  <c r="C606" i="1"/>
  <c r="C156" i="1"/>
  <c r="C906" i="1"/>
  <c r="C256" i="1"/>
  <c r="C181" i="1"/>
  <c r="C1376" i="1"/>
  <c r="C531" i="1"/>
  <c r="C1076" i="1"/>
  <c r="C931" i="1"/>
  <c r="C516" i="1"/>
  <c r="C736" i="1"/>
  <c r="C876" i="1"/>
  <c r="C411" i="1"/>
  <c r="C836" i="1"/>
  <c r="C891" i="1"/>
  <c r="C711" i="1"/>
  <c r="C456" i="1"/>
  <c r="C631" i="1"/>
  <c r="C226" i="1"/>
  <c r="C1001" i="1"/>
  <c r="C786" i="1"/>
  <c r="C116" i="1"/>
  <c r="C896" i="1"/>
  <c r="C421" i="1"/>
  <c r="C101" i="1"/>
  <c r="C1361" i="1"/>
  <c r="C1446" i="1"/>
  <c r="C391" i="1"/>
  <c r="C831" i="1"/>
  <c r="C476" i="1"/>
  <c r="C971" i="1"/>
  <c r="C576" i="1"/>
  <c r="C661" i="1"/>
  <c r="C731" i="1"/>
  <c r="C241" i="1"/>
  <c r="C1186" i="1"/>
  <c r="C676" i="1"/>
  <c r="C901" i="1"/>
  <c r="C996" i="1"/>
  <c r="C136" i="1"/>
  <c r="C1221" i="1"/>
  <c r="C586" i="1"/>
  <c r="C691" i="1"/>
  <c r="C201" i="1"/>
  <c r="C816" i="1"/>
  <c r="C726" i="1"/>
  <c r="C376" i="1"/>
  <c r="C681" i="1"/>
  <c r="C436" i="1"/>
  <c r="C571" i="1"/>
  <c r="C321" i="1"/>
  <c r="C671" i="1"/>
  <c r="C716" i="1"/>
  <c r="C1371" i="1"/>
  <c r="C636" i="1"/>
  <c r="C166" i="1"/>
  <c r="C981" i="1"/>
  <c r="C846" i="1"/>
  <c r="C466" i="1"/>
  <c r="C521" i="1"/>
  <c r="C566" i="1"/>
  <c r="C856" i="1"/>
  <c r="C301" i="1"/>
  <c r="C1451" i="1"/>
  <c r="C416" i="1"/>
  <c r="C371" i="1"/>
  <c r="C36" i="1"/>
  <c r="C751" i="1"/>
  <c r="C366" i="1"/>
  <c r="C821" i="1"/>
  <c r="C956" i="1"/>
  <c r="C171" i="1"/>
  <c r="C666" i="1"/>
  <c r="C826" i="1"/>
  <c r="C356" i="1"/>
  <c r="C936" i="1"/>
  <c r="C176" i="1"/>
  <c r="C406" i="1"/>
  <c r="C701" i="1"/>
  <c r="C696" i="1"/>
  <c r="C651" i="1"/>
  <c r="C361" i="1"/>
  <c r="C976" i="1"/>
  <c r="C21" i="1"/>
  <c r="C126" i="1"/>
  <c r="C796" i="1"/>
  <c r="C506" i="1"/>
  <c r="C851" i="1"/>
  <c r="C231" i="1"/>
  <c r="C686" i="1"/>
  <c r="C396" i="1"/>
  <c r="C946" i="1"/>
  <c r="C1441" i="1"/>
  <c r="C871" i="1"/>
  <c r="K8" i="1" l="1"/>
  <c r="K9" i="1" s="1"/>
  <c r="K10" i="1" s="1"/>
  <c r="K11" i="1" s="1"/>
  <c r="C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<sst xmlns="http://schemas.openxmlformats.org/spreadsheetml/2006/main" count="4958" uniqueCount="449">
  <si>
    <t>東日本本部</t>
  </si>
  <si>
    <t>そんぽの家　苗穂</t>
  </si>
  <si>
    <t>ケアコンダクター</t>
  </si>
  <si>
    <t>ホーム長</t>
  </si>
  <si>
    <t>副ホーム長</t>
  </si>
  <si>
    <t>ケアマネジャー</t>
  </si>
  <si>
    <t>ナーススタッフ</t>
  </si>
  <si>
    <t>そんぽの家　仙台岩切</t>
  </si>
  <si>
    <t>東京本部</t>
  </si>
  <si>
    <t>そんぽの家　柴又</t>
  </si>
  <si>
    <t>そんぽの家　葛西</t>
  </si>
  <si>
    <t>そんぽの家　錦糸町</t>
  </si>
  <si>
    <t>そんぽの家　東砂</t>
  </si>
  <si>
    <t>そんぽの家　竹ノ塚サンフラワー</t>
  </si>
  <si>
    <t>そんぽの家　隅田公園</t>
  </si>
  <si>
    <t>そんぽの家　大鳥居</t>
  </si>
  <si>
    <t>そんぽの家　東六郷</t>
  </si>
  <si>
    <t>そんぽの家　経堂</t>
  </si>
  <si>
    <t>そんぽの家　成城南</t>
  </si>
  <si>
    <t>そんぽの家　砧南</t>
  </si>
  <si>
    <t>そんぽの家　ときわ台</t>
  </si>
  <si>
    <t>そんぽの家　板橋徳丸</t>
  </si>
  <si>
    <t>そんぽの家　板橋三園</t>
  </si>
  <si>
    <t>そんぽの家　氷川台</t>
  </si>
  <si>
    <t>そんぽの家　石神井公園</t>
  </si>
  <si>
    <t>そんぽの家　光が丘</t>
  </si>
  <si>
    <t>そんぽの家　高円寺</t>
  </si>
  <si>
    <t>そんぽの家　三鷹牟礼</t>
  </si>
  <si>
    <t>そんぽの家　三鷹新川</t>
  </si>
  <si>
    <t>そんぽの家　三鷹中原</t>
  </si>
  <si>
    <t>そんぽの家　狛江</t>
  </si>
  <si>
    <t>そんぽの家　調布多摩川</t>
  </si>
  <si>
    <t>そんぽの家　ひばりが丘</t>
  </si>
  <si>
    <t>そんぽの家　西東京</t>
  </si>
  <si>
    <t>そんぽの家　東久留米中央</t>
  </si>
  <si>
    <t>そんぽの家　新小平</t>
  </si>
  <si>
    <t>そんぽの家　小平仲町</t>
  </si>
  <si>
    <t>そんぽの家　萩山</t>
  </si>
  <si>
    <t>そんぽの家　八坂</t>
  </si>
  <si>
    <t>そんぽの家　国立南</t>
  </si>
  <si>
    <t>そんぽの家　昭島</t>
  </si>
  <si>
    <t>そんぽの家　福生公園</t>
  </si>
  <si>
    <t>そんぽの家　上北台</t>
  </si>
  <si>
    <t>そんぽの家　武蔵村山</t>
  </si>
  <si>
    <t>そんぽの家　八王子小宮</t>
  </si>
  <si>
    <t>そんぽの家　八王子元本郷</t>
  </si>
  <si>
    <t>そんぽの家　羽村</t>
  </si>
  <si>
    <t>そんぽの家　稲城矢野口</t>
  </si>
  <si>
    <t>神奈川静岡本部</t>
  </si>
  <si>
    <t>そんぽの家　戸塚南</t>
  </si>
  <si>
    <t>そんぽの家　横浜港南台</t>
  </si>
  <si>
    <t>そんぽの家　港南台</t>
  </si>
  <si>
    <t>そんぽの家　横浜神大寺</t>
  </si>
  <si>
    <t>そんぽの家　御幸公園</t>
  </si>
  <si>
    <t>そんぽの家　小倉</t>
  </si>
  <si>
    <t>そんぽの家　新川崎</t>
  </si>
  <si>
    <t>そんぽの家　溝の口</t>
  </si>
  <si>
    <t>そんぽの家　川崎宮前</t>
  </si>
  <si>
    <t>そんぽの家　中野島ガーデン</t>
  </si>
  <si>
    <t>そんぽの家　生田</t>
  </si>
  <si>
    <t>そんぽの家　新百合ヶ丘</t>
  </si>
  <si>
    <t>そんぽの家　はるひ野</t>
  </si>
  <si>
    <t>そんぽの家　相模大野</t>
  </si>
  <si>
    <t>そんぽの家　つきみ野</t>
  </si>
  <si>
    <t>そんぽの家　大和</t>
  </si>
  <si>
    <t>そんぽの家　城山</t>
  </si>
  <si>
    <t>そんぽの家　三浦</t>
  </si>
  <si>
    <t>そんぽの家　伊勢原</t>
  </si>
  <si>
    <t>そんぽの家　鴨宮</t>
  </si>
  <si>
    <t>そんぽの家　富士宮</t>
  </si>
  <si>
    <t>そんぽの家　東静岡</t>
  </si>
  <si>
    <t>埼玉千葉本部</t>
  </si>
  <si>
    <t>そんぽの家　大宮見沼</t>
  </si>
  <si>
    <t>そんぽの家　大宮</t>
  </si>
  <si>
    <t>そんぽの家　南与野</t>
  </si>
  <si>
    <t>そんぽの家　越谷</t>
  </si>
  <si>
    <t>そんぽの家　東川口</t>
  </si>
  <si>
    <t>そんぽの家　柏豊四季</t>
  </si>
  <si>
    <t>そんぽの家　松戸五香</t>
  </si>
  <si>
    <t>そんぽの家　市川</t>
  </si>
  <si>
    <t>そんぽの家　京成大久保</t>
  </si>
  <si>
    <t>そんぽの家　津田沼</t>
  </si>
  <si>
    <t>そんぽの家　朝日ヶ丘</t>
  </si>
  <si>
    <t>そんぽの家　都賀</t>
  </si>
  <si>
    <t>そんぽの家　蘇我</t>
  </si>
  <si>
    <t>西日本第一本部</t>
  </si>
  <si>
    <t>そんぽの家　浜松高丘</t>
  </si>
  <si>
    <t>そんぽの家　浜松</t>
  </si>
  <si>
    <t>そんぽの家　上飯田</t>
  </si>
  <si>
    <t>そんぽの家　茶屋が坂</t>
  </si>
  <si>
    <t>そんぽの家　黒川</t>
  </si>
  <si>
    <t>そんぽの家　豊山</t>
  </si>
  <si>
    <t>そんぽの家　丸の内</t>
  </si>
  <si>
    <t>そんぽの家　吹上</t>
  </si>
  <si>
    <t>そんぽの家　高辻</t>
  </si>
  <si>
    <t>そんぽの家　浄心</t>
  </si>
  <si>
    <t>そんぽの家　中村公園</t>
  </si>
  <si>
    <t>そんぽの家　植田一本松</t>
  </si>
  <si>
    <t>そんぽの家　十番町</t>
  </si>
  <si>
    <t>そんぽの家　松葉公園</t>
  </si>
  <si>
    <t>そんぽの家　桜本町</t>
  </si>
  <si>
    <t>本部</t>
    <rPh sb="0" eb="2">
      <t>ホンブ</t>
    </rPh>
    <phoneticPr fontId="1"/>
  </si>
  <si>
    <t>施設名</t>
    <rPh sb="0" eb="3">
      <t>シセツメイ</t>
    </rPh>
    <phoneticPr fontId="1"/>
  </si>
  <si>
    <t>役職</t>
    <rPh sb="0" eb="2">
      <t>ヤクショク</t>
    </rPh>
    <phoneticPr fontId="1"/>
  </si>
  <si>
    <t>施設360</t>
    <rPh sb="0" eb="2">
      <t>シセツ</t>
    </rPh>
    <phoneticPr fontId="2"/>
  </si>
  <si>
    <t>アクセス数</t>
    <rPh sb="4" eb="5">
      <t>スウ</t>
    </rPh>
    <phoneticPr fontId="2"/>
  </si>
  <si>
    <t>そんぽの家　星崎</t>
  </si>
  <si>
    <t>そんぽの家　神沢</t>
  </si>
  <si>
    <t>そんぽの家　有松</t>
  </si>
  <si>
    <t>そんぽの家　大曽根</t>
  </si>
  <si>
    <t>そんぽの家　太秦天神川</t>
  </si>
  <si>
    <t>そんぽの家　京都羽束師</t>
  </si>
  <si>
    <t>そんぽの家　枚方西</t>
  </si>
  <si>
    <t>そんぽの家　交野</t>
  </si>
  <si>
    <t>そんぽの家　交野駅前</t>
  </si>
  <si>
    <t>そんぽの家　寝屋川寿町</t>
  </si>
  <si>
    <t>そんぽの家　星田</t>
  </si>
  <si>
    <t>そんぽの家　守口南</t>
  </si>
  <si>
    <t>そんぽの家　茨木島</t>
  </si>
  <si>
    <t>そんぽの家　茨木東奈良</t>
  </si>
  <si>
    <t>そんぽの家　箕面</t>
  </si>
  <si>
    <t>そんぽの家　万博公園</t>
  </si>
  <si>
    <t>そんぽの家　豊中庄本町</t>
  </si>
  <si>
    <t>そんぽの家　豊中南曽根</t>
  </si>
  <si>
    <t>そんぽの家　豊中野田</t>
  </si>
  <si>
    <t>そんぽの家　真田山</t>
  </si>
  <si>
    <t>そんぽの家　西田辺駅前</t>
  </si>
  <si>
    <t>そんぽの家　なんば</t>
  </si>
  <si>
    <t>そんぽの家　鶴見緑地</t>
  </si>
  <si>
    <t>そんぽの家　弁天町</t>
  </si>
  <si>
    <t>そんぽの家　住道</t>
  </si>
  <si>
    <t>そんぽの家　天下茶屋駅前</t>
  </si>
  <si>
    <t>そんぽの家　岸里</t>
  </si>
  <si>
    <t>そんぽの家　加島駅前</t>
  </si>
  <si>
    <t>そんぽの家　城北</t>
  </si>
  <si>
    <t>そんぽの家　姫島駅前</t>
  </si>
  <si>
    <t>そんぽの家　住吉遠里小野</t>
  </si>
  <si>
    <t>そんぽの家　北加賀屋</t>
  </si>
  <si>
    <t>そんぽの家　生野巽中</t>
  </si>
  <si>
    <t>そんぽの家　生野林寺</t>
  </si>
  <si>
    <t>そんぽの家　天王寺</t>
  </si>
  <si>
    <t>そんぽの家　平野長吉</t>
  </si>
  <si>
    <t>そんぽの家　鶴見徳庵</t>
  </si>
  <si>
    <t>そんぽの家　東大阪日下</t>
  </si>
  <si>
    <t>そんぽの家　新石切</t>
  </si>
  <si>
    <t>そんぽの家　泉北</t>
  </si>
  <si>
    <t>そんぽの家　堺浜寺</t>
  </si>
  <si>
    <t>そんぽの家　狭山</t>
  </si>
  <si>
    <t>そんぽの家　我孫子東</t>
  </si>
  <si>
    <t>西日本第二本部</t>
  </si>
  <si>
    <t>そんぽの家　伊丹荒牧</t>
  </si>
  <si>
    <t>そんぽの家　川西鶴之荘</t>
  </si>
  <si>
    <t>そんぽの家　武庫之荘</t>
  </si>
  <si>
    <t>そんぽの家　尼崎田能</t>
  </si>
  <si>
    <t>そんぽの家　神戸垂水</t>
  </si>
  <si>
    <t>そんぽの家　南多聞台</t>
  </si>
  <si>
    <t>そんぽの家　兵庫柳原</t>
  </si>
  <si>
    <t>そんぽの家　南岡山</t>
  </si>
  <si>
    <t>そんぽの家　東岡山</t>
  </si>
  <si>
    <t>そんぽの家　岡山平井</t>
  </si>
  <si>
    <t>そんぽの家　岡山平田</t>
  </si>
  <si>
    <t>そんぽの家　西岡山</t>
  </si>
  <si>
    <t>そんぽの家　下中野</t>
  </si>
  <si>
    <t>そんぽの家　津高</t>
  </si>
  <si>
    <t>そんぽの家　浜の茶屋</t>
  </si>
  <si>
    <t>そんぽの家　中庄</t>
  </si>
  <si>
    <t>そんぽの家　倉敷西</t>
  </si>
  <si>
    <t>そんぽの家　倉敷</t>
  </si>
  <si>
    <t>そんぽの家　清水麻生田</t>
  </si>
  <si>
    <t>対象職種: ホーム長・副ホーム長・看護師・ケアマネ・ケアコン</t>
    <rPh sb="0" eb="4">
      <t>タイショウショクシュ</t>
    </rPh>
    <phoneticPr fontId="2"/>
  </si>
  <si>
    <t>#</t>
    <phoneticPr fontId="2"/>
  </si>
  <si>
    <t>本部</t>
  </si>
  <si>
    <t>そんぽの家　練馬</t>
  </si>
  <si>
    <t>そんぽの家　福山東</t>
  </si>
  <si>
    <t>そんぽの家　大森西</t>
  </si>
  <si>
    <t>そんぽの家　大和田</t>
  </si>
  <si>
    <t>アクセス数
/人</t>
    <rPh sb="4" eb="5">
      <t>スウ</t>
    </rPh>
    <rPh sb="7" eb="8">
      <t>ヒト</t>
    </rPh>
    <phoneticPr fontId="2"/>
  </si>
  <si>
    <t>ホーム
合計点</t>
    <rPh sb="4" eb="7">
      <t>ゴウケイテン</t>
    </rPh>
    <phoneticPr fontId="2"/>
  </si>
  <si>
    <t>在籍
人数</t>
    <rPh sb="0" eb="2">
      <t>ザイセキ</t>
    </rPh>
    <rPh sb="3" eb="5">
      <t>ニンズウ</t>
    </rPh>
    <phoneticPr fontId="1"/>
  </si>
  <si>
    <t>職種別
点数化</t>
    <rPh sb="0" eb="3">
      <t>ショクシュベツ</t>
    </rPh>
    <rPh sb="4" eb="7">
      <t>テンスウカ</t>
    </rPh>
    <phoneticPr fontId="2"/>
  </si>
  <si>
    <t>カスタムメイドケアサポート</t>
    <phoneticPr fontId="2"/>
  </si>
  <si>
    <t>NCコールモニター</t>
    <phoneticPr fontId="2"/>
  </si>
  <si>
    <t>そんぽの家　武蔵野</t>
  </si>
  <si>
    <t>granular_permissions_array</t>
  </si>
  <si>
    <t>granular_permissions</t>
  </si>
  <si>
    <t>facility_id</t>
  </si>
  <si>
    <t xml:space="preserve">
職種別合計</t>
    <rPh sb="1" eb="4">
      <t>ショクシュベツ</t>
    </rPh>
    <phoneticPr fontId="2"/>
  </si>
  <si>
    <t>ホーム
点数化</t>
    <rPh sb="4" eb="6">
      <t>テンスウ</t>
    </rPh>
    <rPh sb="6" eb="7">
      <t>カ</t>
    </rPh>
    <phoneticPr fontId="2"/>
  </si>
  <si>
    <t>合計カウント点数化: 0-5count=0点、6-10count=1点、11-15count＝2点、16count以上=3点　※ナースコールの点数化は職種全体の合計点で評価します。</t>
    <rPh sb="0" eb="2">
      <t>ゴウケイ</t>
    </rPh>
    <rPh sb="6" eb="8">
      <t>テンスウ</t>
    </rPh>
    <rPh sb="8" eb="9">
      <t>カ</t>
    </rPh>
    <rPh sb="21" eb="22">
      <t>テン</t>
    </rPh>
    <rPh sb="34" eb="35">
      <t>テン</t>
    </rPh>
    <rPh sb="48" eb="49">
      <t>テン</t>
    </rPh>
    <rPh sb="57" eb="59">
      <t>イジョウ</t>
    </rPh>
    <rPh sb="61" eb="62">
      <t>テン</t>
    </rPh>
    <rPh sb="71" eb="74">
      <t>テンスウカ</t>
    </rPh>
    <rPh sb="75" eb="77">
      <t>ショクシュ</t>
    </rPh>
    <rPh sb="77" eb="79">
      <t>ゼンタイ</t>
    </rPh>
    <rPh sb="80" eb="83">
      <t>ゴウケイテン</t>
    </rPh>
    <rPh sb="84" eb="86">
      <t>ヒョウカ</t>
    </rPh>
    <phoneticPr fontId="2"/>
  </si>
  <si>
    <t>総計
アクセス数</t>
    <rPh sb="0" eb="2">
      <t>ソウケイ</t>
    </rPh>
    <rPh sb="7" eb="8">
      <t>スウ</t>
    </rPh>
    <phoneticPr fontId="2"/>
  </si>
  <si>
    <t>対象モジュール: カスタムメイドケアサポート、施設360</t>
    <rPh sb="0" eb="2">
      <t>タイショウ</t>
    </rPh>
    <phoneticPr fontId="2"/>
  </si>
  <si>
    <t>2モジュール合計カウント点数化: 0-3count=0点、4-7count=1点、8count以上=2点</t>
    <rPh sb="6" eb="8">
      <t>ゴウケイ</t>
    </rPh>
    <rPh sb="12" eb="14">
      <t>テンスウ</t>
    </rPh>
    <rPh sb="14" eb="15">
      <t>カ</t>
    </rPh>
    <rPh sb="27" eb="28">
      <t>テン</t>
    </rPh>
    <rPh sb="39" eb="40">
      <t>テン</t>
    </rPh>
    <rPh sb="47" eb="49">
      <t>イジョウ</t>
    </rPh>
    <rPh sb="51" eb="52">
      <t>テン</t>
    </rPh>
    <phoneticPr fontId="2"/>
  </si>
  <si>
    <t>ラヴィーレ真駒内</t>
  </si>
  <si>
    <t>ラヴィーレ白石南郷</t>
  </si>
  <si>
    <t>ラヴィーレ仙台東</t>
  </si>
  <si>
    <t xml:space="preserve">ラヴィーレ泉パークタウン朝日 </t>
  </si>
  <si>
    <t>ラヴィーレ一之江</t>
  </si>
  <si>
    <t>ラヴィーレ船堀</t>
  </si>
  <si>
    <t>ラヴィーレ錦糸町</t>
  </si>
  <si>
    <t>ラヴィーレ羽田</t>
  </si>
  <si>
    <t>ラヴィーレ多摩川</t>
  </si>
  <si>
    <t>ラヴィーレ世田谷船橋</t>
  </si>
  <si>
    <t>ラヴィーレ駒沢公園</t>
  </si>
  <si>
    <t>ラヴィーレ成城南</t>
  </si>
  <si>
    <t>ラヴィーレ二子玉川</t>
  </si>
  <si>
    <t>ラヴィーレ高島平</t>
  </si>
  <si>
    <t>ラヴィーレ赤塚公園</t>
  </si>
  <si>
    <t>ラヴィーレ光が丘公園</t>
  </si>
  <si>
    <t>ラヴィーレ赤羽</t>
  </si>
  <si>
    <t>ラヴィーレ練馬</t>
  </si>
  <si>
    <t>ラヴィーレ鷺ノ宮</t>
  </si>
  <si>
    <t>ラヴィーレ南大泉</t>
  </si>
  <si>
    <t>ラヴィーレ武蔵境</t>
  </si>
  <si>
    <t>ラヴィーレ仙川</t>
  </si>
  <si>
    <t>ラヴィーレ狛江</t>
  </si>
  <si>
    <t>ラヴィーレ調布</t>
  </si>
  <si>
    <t>ラヴィーレ府中</t>
  </si>
  <si>
    <t>ラヴィーレ国立矢川</t>
  </si>
  <si>
    <t>ラヴィーレ東大和</t>
  </si>
  <si>
    <t>ラヴィーレ羽村</t>
  </si>
  <si>
    <t>ラヴィーレ堀之内</t>
  </si>
  <si>
    <t>ラヴィーレ八王子片倉</t>
  </si>
  <si>
    <t>ラヴィーレ南町田</t>
  </si>
  <si>
    <t>ラヴィーレ町田小山</t>
  </si>
  <si>
    <t>ラヴィーレ町田小野路</t>
  </si>
  <si>
    <t>ラヴィーレグラン四谷</t>
  </si>
  <si>
    <t>ラヴィーレ東池袋</t>
  </si>
  <si>
    <t>ラヴィーレ本郷</t>
  </si>
  <si>
    <t>ラヴィーレ戸塚</t>
  </si>
  <si>
    <t>ラヴィーレ横浜弥生台</t>
  </si>
  <si>
    <t>ラヴィーレ横浜緑園都市</t>
  </si>
  <si>
    <t>ラヴィーレ横浜洋光台</t>
  </si>
  <si>
    <t>ラヴィーレ金沢八景</t>
  </si>
  <si>
    <t>ラヴィーレ綱島</t>
  </si>
  <si>
    <t>ラヴィーレあざみ野</t>
  </si>
  <si>
    <t>ラヴィーレ十日市場</t>
  </si>
  <si>
    <t>ラヴィーレ浜川崎</t>
  </si>
  <si>
    <t>ラヴィーレ川崎</t>
  </si>
  <si>
    <t>ラヴィーレ溝の口弐番館</t>
  </si>
  <si>
    <t>ラヴィーレ溝の口</t>
  </si>
  <si>
    <t>ラヴィーレ高津</t>
  </si>
  <si>
    <t>ラヴィーレ元住吉</t>
  </si>
  <si>
    <t>ラヴィーレ川崎宮前</t>
  </si>
  <si>
    <t>ラヴィーレ王禅寺</t>
  </si>
  <si>
    <t>ラヴィーレ若葉台</t>
  </si>
  <si>
    <t>ラヴィーレ海老名</t>
  </si>
  <si>
    <t>ラヴィーレ座間谷戸山公園</t>
  </si>
  <si>
    <t>ラヴィーレ座間</t>
  </si>
  <si>
    <t>ラヴィーレ小田急相模原</t>
  </si>
  <si>
    <t>ラヴィーレ綾瀬</t>
  </si>
  <si>
    <t>ラヴィーレ中央林間</t>
  </si>
  <si>
    <t>ラヴィーレ高座渋谷</t>
  </si>
  <si>
    <t>ラヴィーレ大和</t>
  </si>
  <si>
    <t>ラヴィーレ古淵</t>
  </si>
  <si>
    <t>ラヴィーレ淵野辺</t>
  </si>
  <si>
    <t>ラヴィーレ相模原中央</t>
  </si>
  <si>
    <t>ラヴィーレ上溝</t>
  </si>
  <si>
    <t>ラヴィーレ横須賀</t>
  </si>
  <si>
    <t>ラヴィーレ衣笠山公園</t>
  </si>
  <si>
    <t>ラヴィーレ久里浜</t>
  </si>
  <si>
    <t>ラヴィーレ葉山</t>
  </si>
  <si>
    <t>ラヴィーレ北鎌倉</t>
  </si>
  <si>
    <t>ラヴィーレ鎌倉常盤</t>
  </si>
  <si>
    <t>ラヴィーレ東逗子</t>
  </si>
  <si>
    <t>ラヴィーレ本厚木</t>
  </si>
  <si>
    <t>ラヴィーレ厚木</t>
  </si>
  <si>
    <t>ラヴィーレ愛甲石田</t>
  </si>
  <si>
    <t>ラヴィーレ伊勢原</t>
  </si>
  <si>
    <t>ラヴィーレ湘南平塚</t>
  </si>
  <si>
    <t>ラヴィーレ湘南平塚弐番館</t>
  </si>
  <si>
    <t>ラヴィーレ小田原</t>
  </si>
  <si>
    <t>ラヴィーレ小田原弐番館</t>
  </si>
  <si>
    <t>ラヴィーレ大磯</t>
  </si>
  <si>
    <t>ラヴィーレ多摩川桜並木</t>
  </si>
  <si>
    <t>ラヴィーレ久地</t>
  </si>
  <si>
    <t>ラヴィーレ湘南鷹取</t>
  </si>
  <si>
    <t>ラヴィーレ大宮弐番館</t>
  </si>
  <si>
    <t>ラヴィーレ大宮</t>
  </si>
  <si>
    <t>ラヴィーレ西大宮</t>
  </si>
  <si>
    <t>ラヴィーレ武蔵浦和</t>
  </si>
  <si>
    <t>ラヴィーレ越谷</t>
  </si>
  <si>
    <t>ラヴィーレ草加松原</t>
  </si>
  <si>
    <t>ラヴィーレ草加</t>
  </si>
  <si>
    <t>ラヴィーレ八潮</t>
  </si>
  <si>
    <t>ラヴィーレ戸田</t>
  </si>
  <si>
    <t>ラヴィーレ南浦和</t>
  </si>
  <si>
    <t>ラヴィーレ川口安行</t>
  </si>
  <si>
    <t>ラヴィーレ坂戸</t>
  </si>
  <si>
    <t>ラヴィーレ鶴ヶ島</t>
  </si>
  <si>
    <t>ラヴィーレ朝霞</t>
  </si>
  <si>
    <t>ラヴィーレ志木柳瀬川</t>
  </si>
  <si>
    <t>ラヴィーレ上福岡</t>
  </si>
  <si>
    <t>ラヴィーレふじみ野</t>
  </si>
  <si>
    <t>ラヴィーレ狭山</t>
  </si>
  <si>
    <t>ラヴィーレ飯能</t>
  </si>
  <si>
    <t>ラヴィーレ入間</t>
  </si>
  <si>
    <t>ラヴィーレ東所沢</t>
  </si>
  <si>
    <t>ラヴィーレ北浦和</t>
  </si>
  <si>
    <t>ラヴィーレ東松戸</t>
  </si>
  <si>
    <t>ラヴィーレ松戸</t>
  </si>
  <si>
    <t>ラヴィーレ流山おおたかの森</t>
  </si>
  <si>
    <t>ラヴィーレ西船橋</t>
  </si>
  <si>
    <t>ラヴィーレ習志野台</t>
  </si>
  <si>
    <t>ラヴィーレ津田沼</t>
  </si>
  <si>
    <t>ラヴィーレ勝田台</t>
  </si>
  <si>
    <t>ラヴィーレ八千代</t>
  </si>
  <si>
    <t>ラヴィーレ成田</t>
  </si>
  <si>
    <t>ラヴィーレみつわ台</t>
  </si>
  <si>
    <t>ラヴィーレ千葉椿森</t>
  </si>
  <si>
    <t>ラヴィーレ名古屋</t>
  </si>
  <si>
    <t>ラヴィーレ熱田</t>
  </si>
  <si>
    <t>ラヴィーレ池田</t>
  </si>
  <si>
    <t>ラヴィーレ豊中</t>
  </si>
  <si>
    <t>ラヴィーレ南堀江</t>
  </si>
  <si>
    <t>ラヴィーレ弁天町</t>
  </si>
  <si>
    <t>ラヴィーレ西宮</t>
  </si>
  <si>
    <t>ラヴィーレ神戸伊川谷</t>
  </si>
  <si>
    <t>ラヴィーレ神戸垂水</t>
  </si>
  <si>
    <t>ラヴィーレ六甲</t>
  </si>
  <si>
    <t>ラヴィーレグラン夙川</t>
  </si>
  <si>
    <t>ラヴィーレ舟入</t>
  </si>
  <si>
    <t>ラヴィーレ広島光が丘</t>
  </si>
  <si>
    <t>ラヴィーレ平和公園</t>
  </si>
  <si>
    <t>2種
職種別合計</t>
    <rPh sb="1" eb="2">
      <t>シュ</t>
    </rPh>
    <rPh sb="3" eb="6">
      <t>ショクシュベツ</t>
    </rPh>
    <phoneticPr fontId="2"/>
  </si>
  <si>
    <t>合計
点数化</t>
    <phoneticPr fontId="2"/>
  </si>
  <si>
    <t>施設名</t>
    <phoneticPr fontId="2"/>
  </si>
  <si>
    <t>対象モジュール: NCコールモニター</t>
    <rPh sb="0" eb="2">
      <t>タイショウ</t>
    </rPh>
    <phoneticPr fontId="2"/>
  </si>
  <si>
    <t xml:space="preserve">ＳＯＭＰＯケア　ラヴィーレ泉パークタウン朝日 </t>
  </si>
  <si>
    <t>ＳＯＭＰＯケア　ラヴィーレ一之江</t>
  </si>
  <si>
    <t>ＳＯＭＰＯケア　ラヴィーレ船堀</t>
  </si>
  <si>
    <t>ＳＯＭＰＯケア　ラヴィーレ錦糸町</t>
  </si>
  <si>
    <t>ＳＯＭＰＯケア　ラヴィーレ羽田</t>
  </si>
  <si>
    <t>ＳＯＭＰＯケア　ラヴィーレ多摩川</t>
  </si>
  <si>
    <t>ＳＯＭＰＯケア　ラヴィーレ世田谷船橋</t>
  </si>
  <si>
    <t>ＳＯＭＰＯケア　ラヴィーレ駒沢公園</t>
  </si>
  <si>
    <t>ＳＯＭＰＯケア　ラヴィーレ成城南</t>
  </si>
  <si>
    <t>ＳＯＭＰＯケア　ラヴィーレ二子玉川</t>
  </si>
  <si>
    <t>ＳＯＭＰＯケア　ラヴィーレ高島平</t>
  </si>
  <si>
    <t>ＳＯＭＰＯケア　ラヴィーレ赤塚公園</t>
  </si>
  <si>
    <t>ＳＯＭＰＯケア　ラヴィーレ光が丘公園</t>
  </si>
  <si>
    <t>ＳＯＭＰＯケア　ラヴィーレ赤羽</t>
  </si>
  <si>
    <t>ＳＯＭＰＯケア　ラヴィーレ練馬</t>
  </si>
  <si>
    <t>ＳＯＭＰＯケア　ラヴィーレ鷺ノ宮</t>
  </si>
  <si>
    <t>ＳＯＭＰＯケア　ラヴィーレ南大泉</t>
  </si>
  <si>
    <t>ＳＯＭＰＯケア　ラヴィーレ武蔵境</t>
  </si>
  <si>
    <t>ＳＯＭＰＯケア　ラヴィーレ仙川</t>
  </si>
  <si>
    <t>ＳＯＭＰＯケア　ラヴィーレ狛江</t>
  </si>
  <si>
    <t>ＳＯＭＰＯケア　ラヴィーレ調布</t>
  </si>
  <si>
    <t>ＳＯＭＰＯケア　ラヴィーレ府中</t>
  </si>
  <si>
    <t>ＳＯＭＰＯケア　ラヴィーレ国立矢川</t>
  </si>
  <si>
    <t>ＳＯＭＰＯケア　ラヴィーレ東大和</t>
  </si>
  <si>
    <t>ＳＯＭＰＯケア　ラヴィーレ羽村</t>
  </si>
  <si>
    <t>ＳＯＭＰＯケア　ラヴィーレ堀之内</t>
  </si>
  <si>
    <t>ＳＯＭＰＯケア　ラヴィーレ南町田</t>
  </si>
  <si>
    <t>ＳＯＭＰＯケア　ラヴィーレ町田小山</t>
  </si>
  <si>
    <t>ＳＯＭＰＯケア　ラヴィーレ町田小野路</t>
  </si>
  <si>
    <t>ＳＯＭＰＯケア　ラヴィーレ洗足池</t>
  </si>
  <si>
    <t>ＳＯＭＰＯケア　ラヴィーレ戸塚</t>
  </si>
  <si>
    <t>ＳＯＭＰＯケア　ラヴィーレ横浜弥生台</t>
  </si>
  <si>
    <t>ＳＯＭＰＯケア　ラヴィーレ横浜緑園都市</t>
  </si>
  <si>
    <t>ＳＯＭＰＯケア　ラヴィーレ横浜洋光台</t>
  </si>
  <si>
    <t>ＳＯＭＰＯケア　ラヴィーレ金沢八景</t>
  </si>
  <si>
    <t>ＳＯＭＰＯケア　ラヴィーレ綱島</t>
  </si>
  <si>
    <t>ＳＯＭＰＯケア　ラヴィーレあざみ野</t>
  </si>
  <si>
    <t>ＳＯＭＰＯケア　ラヴィーレ十日市場</t>
  </si>
  <si>
    <t>ＳＯＭＰＯケア　ラヴィーレ浜川崎</t>
  </si>
  <si>
    <t>ＳＯＭＰＯケア　ラヴィーレ川崎</t>
  </si>
  <si>
    <t>ＳＯＭＰＯケア　ラヴィーレ溝の口弐番館</t>
  </si>
  <si>
    <t>ＳＯＭＰＯケア　ラヴィーレ溝の口</t>
  </si>
  <si>
    <t>ＳＯＭＰＯケア　ラヴィーレ高津</t>
  </si>
  <si>
    <t>ＳＯＭＰＯケア　ラヴィーレ元住吉</t>
  </si>
  <si>
    <t>ＳＯＭＰＯケア　ラヴィーレ川崎宮前</t>
  </si>
  <si>
    <t>ＳＯＭＰＯケア　ラヴィーレ王禅寺</t>
  </si>
  <si>
    <t>ＳＯＭＰＯケア　ラヴィーレ若葉台</t>
  </si>
  <si>
    <t>ＳＯＭＰＯケア　ラヴィーレ海老名</t>
  </si>
  <si>
    <t>ＳＯＭＰＯケア　ラヴィーレ座間谷戸山公園</t>
  </si>
  <si>
    <t>ＳＯＭＰＯケア　ラヴィーレ座間</t>
  </si>
  <si>
    <t>ＳＯＭＰＯケア　ラヴィーレ小田急相模原</t>
  </si>
  <si>
    <t>ＳＯＭＰＯケア　ラヴィーレ綾瀬</t>
  </si>
  <si>
    <t>ＳＯＭＰＯケア　ラヴィーレ中央林間</t>
  </si>
  <si>
    <t>ＳＯＭＰＯケア　ラヴィーレ高座渋谷</t>
  </si>
  <si>
    <t>ＳＯＭＰＯケア　ラヴィーレ大和</t>
  </si>
  <si>
    <t>ＳＯＭＰＯケア　ラヴィーレ古淵</t>
  </si>
  <si>
    <t>ＳＯＭＰＯケア　ラヴィーレ淵野辺</t>
  </si>
  <si>
    <t>ＳＯＭＰＯケア　ラヴィーレ相模原中央</t>
  </si>
  <si>
    <t>ＳＯＭＰＯケア　ラヴィーレ上溝</t>
  </si>
  <si>
    <t>ＳＯＭＰＯケア　ラヴィーレ横須賀</t>
  </si>
  <si>
    <t>ＳＯＭＰＯケア　ラヴィーレ衣笠山公園</t>
  </si>
  <si>
    <t>ＳＯＭＰＯケア　ラヴィーレ久里浜</t>
  </si>
  <si>
    <t>ＳＯＭＰＯケア　ラヴィーレ葉山</t>
  </si>
  <si>
    <t>ＳＯＭＰＯケア　ラヴィーレ北鎌倉</t>
  </si>
  <si>
    <t>ＳＯＭＰＯケア　ラヴィーレ鎌倉常盤</t>
  </si>
  <si>
    <t>ＳＯＭＰＯケア　ラヴィーレ本厚木</t>
  </si>
  <si>
    <t>ＳＯＭＰＯケア　ラヴィーレ厚木</t>
  </si>
  <si>
    <t>ＳＯＭＰＯケア　ラヴィーレ愛甲石田</t>
  </si>
  <si>
    <t>ＳＯＭＰＯケア　ラヴィーレ湘南平塚</t>
  </si>
  <si>
    <t>ＳＯＭＰＯケア　ラヴィーレ湘南平塚弐番館</t>
  </si>
  <si>
    <t>ＳＯＭＰＯケア　ラヴィーレ小田原</t>
  </si>
  <si>
    <t>ＳＯＭＰＯケア　ラヴィーレ小田原弐番館</t>
  </si>
  <si>
    <t>ＳＯＭＰＯケア　ラヴィーレ大磯</t>
  </si>
  <si>
    <t>ＳＯＭＰＯケア　ラヴィーレ大宮弐番館</t>
  </si>
  <si>
    <t>ＳＯＭＰＯケア　ラヴィーレ大宮</t>
  </si>
  <si>
    <t>ＳＯＭＰＯケア　ラヴィーレ西大宮</t>
  </si>
  <si>
    <t>ＳＯＭＰＯケア　ラヴィーレ武蔵浦和</t>
  </si>
  <si>
    <t>ＳＯＭＰＯケア　ラヴィーレ越谷</t>
  </si>
  <si>
    <t>ＳＯＭＰＯケア　ラヴィーレ草加松原</t>
  </si>
  <si>
    <t>ＳＯＭＰＯケア　ラヴィーレ草加</t>
  </si>
  <si>
    <t>ＳＯＭＰＯケア　ラヴィーレ八潮</t>
  </si>
  <si>
    <t>ＳＯＭＰＯケア　ラヴィーレ南浦和</t>
  </si>
  <si>
    <t>ＳＯＭＰＯケア　ラヴィーレ坂戸</t>
  </si>
  <si>
    <t>ＳＯＭＰＯケア　ラヴィーレ鶴ヶ島</t>
  </si>
  <si>
    <t>ＳＯＭＰＯケア　ラヴィーレ朝霞</t>
  </si>
  <si>
    <t>ＳＯＭＰＯケア　ラヴィーレ志木柳瀬川</t>
  </si>
  <si>
    <t>ＳＯＭＰＯケア　ラヴィーレ上福岡</t>
  </si>
  <si>
    <t>ＳＯＭＰＯケア　ラヴィーレふじみ野</t>
  </si>
  <si>
    <t>ＳＯＭＰＯケア　ラヴィーレ狭山</t>
  </si>
  <si>
    <t>ＳＯＭＰＯケア　ラヴィーレ飯能</t>
  </si>
  <si>
    <t>ＳＯＭＰＯケア　ラヴィーレ入間</t>
  </si>
  <si>
    <t>ＳＯＭＰＯケア　ラヴィーレ東所沢</t>
  </si>
  <si>
    <t>ＳＯＭＰＯケア　ラヴィーレ北浦和</t>
  </si>
  <si>
    <t>ＳＯＭＰＯケア　ラヴィーレ東松戸</t>
  </si>
  <si>
    <t>ＳＯＭＰＯケア　ラヴィーレ松戸</t>
  </si>
  <si>
    <t>ＳＯＭＰＯケア　ラヴィーレ流山おおたかの森</t>
  </si>
  <si>
    <t>ＳＯＭＰＯケア　ラヴィーレ西船橋</t>
  </si>
  <si>
    <t>ＳＯＭＰＯケア　ラヴィーレ習志野台</t>
  </si>
  <si>
    <t>ＳＯＭＰＯケア　ラヴィーレ津田沼</t>
  </si>
  <si>
    <t>ＳＯＭＰＯケア　ラヴィーレ勝田台</t>
  </si>
  <si>
    <t>ＳＯＭＰＯケア　ラヴィーレ八千代</t>
  </si>
  <si>
    <t>ＳＯＭＰＯケア　ラヴィーレ成田</t>
  </si>
  <si>
    <t>ＳＯＭＰＯケア　ラヴィーレみつわ台</t>
  </si>
  <si>
    <t>ＳＯＭＰＯケア　ラヴィーレ千葉椿森</t>
  </si>
  <si>
    <t>ＳＯＭＰＯケア　ラヴィーレ名古屋</t>
  </si>
  <si>
    <t>ＳＯＭＰＯケア　ラヴィーレ熱田</t>
  </si>
  <si>
    <t>ＳＯＭＰＯケア　ラヴィーレ池田</t>
  </si>
  <si>
    <t>ＳＯＭＰＯケア　ラヴィーレ豊中</t>
  </si>
  <si>
    <t>ＳＯＭＰＯケア　ラヴィーレ南堀江</t>
  </si>
  <si>
    <t>ＳＯＭＰＯケア　ラヴィーレ弁天町</t>
  </si>
  <si>
    <t>ＳＯＭＰＯケア　ラヴィーレ西宮</t>
  </si>
  <si>
    <t>ＳＯＭＰＯケア　ラヴィーレ神戸伊川谷</t>
  </si>
  <si>
    <t>ＳＯＭＰＯケア　ラヴィーレ神戸垂水</t>
  </si>
  <si>
    <t>ＳＯＭＰＯケア　ラヴィーレ六甲</t>
  </si>
  <si>
    <t>ＳＯＭＰＯケア　ラヴィーレグラン夙川</t>
  </si>
  <si>
    <t>ＳＯＭＰＯケア　ラヴィーレ舟入</t>
  </si>
  <si>
    <t>ＳＯＭＰＯケア　ラヴィーレ広島光が丘</t>
  </si>
  <si>
    <t>ＳＯＭＰＯケア　ラヴィーレ平和公園</t>
  </si>
  <si>
    <t>https://sompo.palantirfoundry.com/workspace/dataset/preview/ri.foundry.main.dataset.75349aea-6aa0-4e5e-a3b8-58023e0db66b/master</t>
    <phoneticPr fontId="2"/>
  </si>
  <si>
    <t>期間: 2025-12-01 ~ 2025-12-31</t>
    <rPh sb="0" eb="2">
      <t>キカン</t>
    </rPh>
    <phoneticPr fontId="2"/>
  </si>
  <si>
    <t>ラヴィーレ洗足池</t>
  </si>
  <si>
    <t>ＳＯＭＰＯケア　ラヴィーレ平和大通り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</si>
</sst>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0"/>
      <name val="Meiryo UI"/>
      <family val="3"/>
      <charset val="128"/>
    </font>
    <font>
      <sz val="14"/>
      <color rgb="FFFF0000"/>
      <name val="Meiryo UI"/>
      <family val="3"/>
      <charset val="128"/>
    </font>
    <font>
      <sz val="10"/>
      <color rgb="FFFF0000"/>
      <name val="Meiryo UI"/>
      <family val="3"/>
      <charset val="128"/>
    </font>
    <font>
      <sz val="14"/>
      <color theme="1"/>
      <name val="Meiryo UI"/>
      <family val="3"/>
      <charset val="128"/>
    </font>
    <font>
      <sz val="11"/>
      <color rgb="FF0000FF"/>
      <name val="Meiryo UI"/>
      <family val="3"/>
      <charset val="128"/>
    </font>
    <font>
      <sz val="11"/>
      <color rgb="FFFF0000"/>
      <name val="Meiryo UI"/>
      <family val="3"/>
      <charset val="128"/>
    </font>
    <font>
      <u/>
      <sz val="11"/>
      <color theme="10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 tint="-0.499984740745262"/>
      </left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ck">
        <color theme="0" tint="-0.499984740745262"/>
      </right>
      <top/>
      <bottom/>
      <diagonal/>
    </border>
    <border>
      <left style="thin">
        <color theme="0" tint="-0.499984740745262"/>
      </left>
      <right style="thick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ck">
        <color theme="0" tint="-0.499984740745262"/>
      </top>
      <bottom/>
      <diagonal/>
    </border>
    <border>
      <left style="thin">
        <color theme="0" tint="-0.49998474074526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 style="thin">
        <color theme="0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ck">
        <color theme="0" tint="-0.499984740745262"/>
      </top>
      <bottom/>
      <diagonal/>
    </border>
    <border>
      <left/>
      <right style="thin">
        <color theme="0" tint="-0.499984740745262"/>
      </right>
      <top style="thick">
        <color theme="0" tint="-0.499984740745262"/>
      </top>
      <bottom/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top" wrapText="1" shrinkToFit="1"/>
    </xf>
    <xf numFmtId="0" fontId="4" fillId="3" borderId="2" xfId="0" applyFont="1" applyFill="1" applyBorder="1">
      <alignment vertical="center"/>
    </xf>
    <xf numFmtId="0" fontId="5" fillId="0" borderId="0" xfId="0" applyFont="1">
      <alignment vertical="center"/>
    </xf>
    <xf numFmtId="0" fontId="5" fillId="0" borderId="2" xfId="0" applyFont="1" applyBorder="1">
      <alignment vertical="center"/>
    </xf>
    <xf numFmtId="0" fontId="3" fillId="0" borderId="0" xfId="0" applyFont="1" applyAlignment="1">
      <alignment horizontal="center" vertical="top" wrapText="1"/>
    </xf>
    <xf numFmtId="0" fontId="6" fillId="5" borderId="5" xfId="0" applyFont="1" applyFill="1" applyBorder="1">
      <alignment vertical="center"/>
    </xf>
    <xf numFmtId="0" fontId="6" fillId="5" borderId="1" xfId="0" applyFont="1" applyFill="1" applyBorder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top" wrapText="1"/>
    </xf>
    <xf numFmtId="176" fontId="6" fillId="5" borderId="1" xfId="0" applyNumberFormat="1" applyFont="1" applyFill="1" applyBorder="1" applyAlignment="1">
      <alignment horizontal="center" vertical="top" wrapText="1"/>
    </xf>
    <xf numFmtId="0" fontId="6" fillId="4" borderId="5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top" wrapText="1"/>
    </xf>
    <xf numFmtId="176" fontId="6" fillId="4" borderId="1" xfId="0" applyNumberFormat="1" applyFont="1" applyFill="1" applyBorder="1" applyAlignment="1">
      <alignment horizontal="center" vertical="top" wrapText="1"/>
    </xf>
    <xf numFmtId="0" fontId="8" fillId="0" borderId="0" xfId="0" applyFont="1">
      <alignment vertical="center"/>
    </xf>
    <xf numFmtId="0" fontId="3" fillId="0" borderId="5" xfId="0" applyFont="1" applyBorder="1" applyAlignment="1">
      <alignment horizontal="center" vertical="center"/>
    </xf>
    <xf numFmtId="0" fontId="6" fillId="0" borderId="0" xfId="0" applyFont="1" applyAlignment="1">
      <alignment vertical="top"/>
    </xf>
    <xf numFmtId="0" fontId="6" fillId="0" borderId="0" xfId="0" applyFont="1">
      <alignment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0" fillId="0" borderId="2" xfId="0" applyFont="1" applyBorder="1">
      <alignment vertical="center"/>
    </xf>
    <xf numFmtId="0" fontId="11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8" fillId="4" borderId="5" xfId="0" applyFont="1" applyFill="1" applyBorder="1">
      <alignment vertical="center"/>
    </xf>
    <xf numFmtId="0" fontId="8" fillId="5" borderId="5" xfId="0" applyFont="1" applyFill="1" applyBorder="1">
      <alignment vertical="center"/>
    </xf>
    <xf numFmtId="0" fontId="12" fillId="0" borderId="0" xfId="1">
      <alignment vertical="center"/>
    </xf>
    <xf numFmtId="0" fontId="3" fillId="0" borderId="5" xfId="0" applyFont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top" wrapText="1"/>
    </xf>
    <xf numFmtId="0" fontId="9" fillId="6" borderId="9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1" fontId="7" fillId="4" borderId="9" xfId="0" applyNumberFormat="1" applyFont="1" applyFill="1" applyBorder="1" applyAlignment="1">
      <alignment horizontal="center" vertical="center"/>
    </xf>
    <xf numFmtId="1" fontId="7" fillId="4" borderId="10" xfId="0" applyNumberFormat="1" applyFont="1" applyFill="1" applyBorder="1" applyAlignment="1">
      <alignment horizontal="center" vertical="center"/>
    </xf>
    <xf numFmtId="1" fontId="7" fillId="4" borderId="11" xfId="0" applyNumberFormat="1" applyFont="1" applyFill="1" applyBorder="1" applyAlignment="1">
      <alignment horizontal="center" vertical="center"/>
    </xf>
    <xf numFmtId="1" fontId="9" fillId="6" borderId="9" xfId="0" applyNumberFormat="1" applyFont="1" applyFill="1" applyBorder="1" applyAlignment="1">
      <alignment horizontal="center" vertical="center"/>
    </xf>
    <xf numFmtId="1" fontId="9" fillId="6" borderId="10" xfId="0" applyNumberFormat="1" applyFont="1" applyFill="1" applyBorder="1" applyAlignment="1">
      <alignment horizontal="center" vertical="center"/>
    </xf>
    <xf numFmtId="1" fontId="9" fillId="6" borderId="11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8" fillId="2" borderId="13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sompo.palantirfoundry.com/workspace/dataset/preview/ri.foundry.main.dataset.75349aea-6aa0-4e5e-a3b8-58023e0db66b/mas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456"/>
  <sheetViews>
    <sheetView tabSelected="1" view="pageBreakPreview" zoomScale="80" zoomScaleNormal="100" zoomScaleSheetLayoutView="80" workbookViewId="0">
      <pane xSplit="5" ySplit="6" topLeftCell="F7" activePane="bottomRight" state="frozen"/>
      <selection pane="topRight" activeCell="G1" sqref="G1"/>
      <selection pane="bottomLeft" activeCell="A4" sqref="A4"/>
      <selection pane="bottomRight"/>
    </sheetView>
  </sheetViews>
  <sheetFormatPr defaultRowHeight="14.4" x14ac:dyDescent="0.45"/>
  <cols>
    <col min="1" max="1" width="7.59765625" style="21" customWidth="1"/>
    <col min="2" max="2" width="13.59765625" style="23" bestFit="1" customWidth="1"/>
    <col min="3" max="3" width="24" style="23" customWidth="1"/>
    <col min="4" max="4" width="15.3984375" style="1" bestFit="1" customWidth="1"/>
    <col min="5" max="5" width="9.59765625" style="2" customWidth="1"/>
    <col min="6" max="9" width="9.59765625" style="7" customWidth="1"/>
    <col min="10" max="11" width="9.59765625" style="2" customWidth="1"/>
    <col min="12" max="12" width="12.5" style="2" customWidth="1"/>
    <col min="13" max="13" width="8.796875" style="2" hidden="1" customWidth="1"/>
    <col min="14" max="14" width="6.296875" style="1" hidden="1" customWidth="1"/>
    <col min="15" max="15" width="12.59765625" style="1" bestFit="1" customWidth="1"/>
    <col min="16" max="16384" width="8.796875" style="1"/>
  </cols>
  <sheetData>
    <row r="1" spans="1:14" x14ac:dyDescent="0.45">
      <c r="A1" s="20" t="s">
        <v>446</v>
      </c>
      <c r="B1" s="22"/>
      <c r="D1" s="18"/>
    </row>
    <row r="2" spans="1:14" x14ac:dyDescent="0.45">
      <c r="A2" s="20" t="s">
        <v>190</v>
      </c>
      <c r="B2" s="22"/>
    </row>
    <row r="3" spans="1:14" x14ac:dyDescent="0.45">
      <c r="A3" s="20" t="s">
        <v>169</v>
      </c>
      <c r="B3" s="22"/>
    </row>
    <row r="4" spans="1:14" ht="33" customHeight="1" thickBot="1" x14ac:dyDescent="0.5">
      <c r="A4" s="20" t="s">
        <v>191</v>
      </c>
      <c r="B4" s="22"/>
    </row>
    <row r="5" spans="1:14" ht="18" customHeight="1" thickTop="1" x14ac:dyDescent="0.45">
      <c r="A5" s="54" t="s">
        <v>170</v>
      </c>
      <c r="B5" s="48" t="s">
        <v>101</v>
      </c>
      <c r="C5" s="48" t="s">
        <v>102</v>
      </c>
      <c r="D5" s="56" t="s">
        <v>103</v>
      </c>
      <c r="E5" s="58" t="s">
        <v>178</v>
      </c>
      <c r="F5" s="59" t="s">
        <v>180</v>
      </c>
      <c r="G5" s="59"/>
      <c r="H5" s="59" t="s">
        <v>104</v>
      </c>
      <c r="I5" s="59"/>
      <c r="J5" s="52" t="s">
        <v>323</v>
      </c>
      <c r="K5" s="50" t="s">
        <v>177</v>
      </c>
      <c r="L5" s="46" t="s">
        <v>179</v>
      </c>
      <c r="M5" s="46" t="s">
        <v>179</v>
      </c>
    </row>
    <row r="6" spans="1:14" ht="28.8" x14ac:dyDescent="0.45">
      <c r="A6" s="55"/>
      <c r="B6" s="49"/>
      <c r="C6" s="49"/>
      <c r="D6" s="57"/>
      <c r="E6" s="57"/>
      <c r="F6" s="3" t="s">
        <v>105</v>
      </c>
      <c r="G6" s="3" t="s">
        <v>176</v>
      </c>
      <c r="H6" s="3" t="s">
        <v>105</v>
      </c>
      <c r="I6" s="3" t="s">
        <v>176</v>
      </c>
      <c r="J6" s="53"/>
      <c r="K6" s="51"/>
      <c r="L6" s="47"/>
      <c r="M6" s="47"/>
    </row>
    <row r="7" spans="1:14" ht="18" customHeight="1" x14ac:dyDescent="0.45">
      <c r="A7" s="13">
        <v>1</v>
      </c>
      <c r="B7" s="40" t="s">
        <v>0</v>
      </c>
      <c r="C7" s="40" t="s">
        <v>1</v>
      </c>
      <c r="D7" s="14" t="s">
        <v>3</v>
      </c>
      <c r="E7" s="15">
        <v>1</v>
      </c>
      <c r="F7" s="16">
        <v>12</v>
      </c>
      <c r="G7" s="17">
        <v>12</v>
      </c>
      <c r="H7" s="16">
        <v>0</v>
      </c>
      <c r="I7" s="17">
        <v>0</v>
      </c>
      <c r="J7" s="15">
        <v>12</v>
      </c>
      <c r="K7" s="43">
        <f>SUM(M7:M11)</f>
        <v>6</v>
      </c>
      <c r="L7" s="28">
        <v>2</v>
      </c>
      <c r="M7" s="29">
        <f>L7</f>
        <v>2</v>
      </c>
      <c r="N7" s="1">
        <v>1110351100</v>
      </c>
    </row>
    <row r="8" spans="1:14" ht="18" customHeight="1" x14ac:dyDescent="0.45">
      <c r="A8" s="13">
        <v>2</v>
      </c>
      <c r="B8" s="41" t="str">
        <f t="shared" ref="B8:C11" si="0">B7</f>
        <v>東日本本部</v>
      </c>
      <c r="C8" s="41" t="str">
        <f t="shared" si="0"/>
        <v>そんぽの家　苗穂</v>
      </c>
      <c r="D8" s="14" t="s">
        <v>4</v>
      </c>
      <c r="E8" s="15">
        <v>2</v>
      </c>
      <c r="F8" s="16">
        <v>17</v>
      </c>
      <c r="G8" s="17">
        <v>8.5</v>
      </c>
      <c r="H8" s="16">
        <v>0</v>
      </c>
      <c r="I8" s="17">
        <v>0</v>
      </c>
      <c r="J8" s="15">
        <v>17</v>
      </c>
      <c r="K8" s="44">
        <f t="shared" ref="K8:K71" si="1">K7</f>
        <v>6</v>
      </c>
      <c r="L8" s="28">
        <v>2</v>
      </c>
      <c r="M8" s="33">
        <f t="shared" ref="M8:M71" si="2">L8</f>
        <v>2</v>
      </c>
      <c r="N8" s="1">
        <v>1110351100</v>
      </c>
    </row>
    <row r="9" spans="1:14" ht="18" customHeight="1" x14ac:dyDescent="0.45">
      <c r="A9" s="13">
        <v>3</v>
      </c>
      <c r="B9" s="41" t="str">
        <f t="shared" si="0"/>
        <v>東日本本部</v>
      </c>
      <c r="C9" s="41" t="str">
        <f t="shared" si="0"/>
        <v>そんぽの家　苗穂</v>
      </c>
      <c r="D9" s="14" t="s">
        <v>5</v>
      </c>
      <c r="E9" s="15">
        <v>2</v>
      </c>
      <c r="F9" s="16">
        <v>56</v>
      </c>
      <c r="G9" s="17">
        <v>28</v>
      </c>
      <c r="H9" s="16">
        <v>0</v>
      </c>
      <c r="I9" s="17">
        <v>0</v>
      </c>
      <c r="J9" s="15">
        <v>56</v>
      </c>
      <c r="K9" s="44">
        <f t="shared" si="1"/>
        <v>6</v>
      </c>
      <c r="L9" s="28">
        <v>2</v>
      </c>
      <c r="M9" s="33">
        <f t="shared" si="2"/>
        <v>2</v>
      </c>
      <c r="N9" s="1">
        <v>1110351100</v>
      </c>
    </row>
    <row r="10" spans="1:14" ht="18" customHeight="1" x14ac:dyDescent="0.45">
      <c r="A10" s="13">
        <v>4</v>
      </c>
      <c r="B10" s="41" t="str">
        <f t="shared" si="0"/>
        <v>東日本本部</v>
      </c>
      <c r="C10" s="41" t="str">
        <f t="shared" si="0"/>
        <v>そんぽの家　苗穂</v>
      </c>
      <c r="D10" s="14" t="s">
        <v>6</v>
      </c>
      <c r="E10" s="15">
        <v>3</v>
      </c>
      <c r="F10" s="16">
        <v>0</v>
      </c>
      <c r="G10" s="17">
        <v>0</v>
      </c>
      <c r="H10" s="16">
        <v>0</v>
      </c>
      <c r="I10" s="17">
        <v>0</v>
      </c>
      <c r="J10" s="15">
        <v>0</v>
      </c>
      <c r="K10" s="44">
        <f t="shared" si="1"/>
        <v>6</v>
      </c>
      <c r="L10" s="28">
        <v>0</v>
      </c>
      <c r="M10" s="33">
        <f t="shared" si="2"/>
        <v>0</v>
      </c>
      <c r="N10" s="1">
        <v>1110351100</v>
      </c>
    </row>
    <row r="11" spans="1:14" ht="18" customHeight="1" x14ac:dyDescent="0.45">
      <c r="A11" s="13">
        <v>5</v>
      </c>
      <c r="B11" s="42" t="str">
        <f t="shared" si="0"/>
        <v>東日本本部</v>
      </c>
      <c r="C11" s="42" t="str">
        <f t="shared" si="0"/>
        <v>そんぽの家　苗穂</v>
      </c>
      <c r="D11" s="14" t="s">
        <v>2</v>
      </c>
      <c r="E11" s="15">
        <v>1</v>
      </c>
      <c r="F11" s="16">
        <v>0</v>
      </c>
      <c r="G11" s="17">
        <v>0</v>
      </c>
      <c r="H11" s="16">
        <v>0</v>
      </c>
      <c r="I11" s="17">
        <v>0</v>
      </c>
      <c r="J11" s="15">
        <v>0</v>
      </c>
      <c r="K11" s="45">
        <f t="shared" si="1"/>
        <v>6</v>
      </c>
      <c r="L11" s="28">
        <v>0</v>
      </c>
      <c r="M11" s="33">
        <f t="shared" si="2"/>
        <v>0</v>
      </c>
      <c r="N11" s="1">
        <v>1110351100</v>
      </c>
    </row>
    <row r="12" spans="1:14" ht="18" customHeight="1" x14ac:dyDescent="0.45">
      <c r="A12" s="8">
        <v>6</v>
      </c>
      <c r="B12" s="34" t="s">
        <v>0</v>
      </c>
      <c r="C12" s="34" t="s">
        <v>192</v>
      </c>
      <c r="D12" s="9" t="s">
        <v>3</v>
      </c>
      <c r="E12" s="10">
        <v>1</v>
      </c>
      <c r="F12" s="11">
        <v>9</v>
      </c>
      <c r="G12" s="12">
        <v>9</v>
      </c>
      <c r="H12" s="11">
        <v>0</v>
      </c>
      <c r="I12" s="12">
        <v>0</v>
      </c>
      <c r="J12" s="10">
        <v>9</v>
      </c>
      <c r="K12" s="37">
        <f t="shared" ref="K12" si="3">SUM(M12:M16)</f>
        <v>6</v>
      </c>
      <c r="L12" s="28">
        <v>2</v>
      </c>
      <c r="M12" s="33">
        <f t="shared" si="2"/>
        <v>2</v>
      </c>
      <c r="N12" s="1">
        <v>1118201100</v>
      </c>
    </row>
    <row r="13" spans="1:14" ht="18" customHeight="1" x14ac:dyDescent="0.45">
      <c r="A13" s="8">
        <v>7</v>
      </c>
      <c r="B13" s="35" t="str">
        <f t="shared" ref="B13:C16" si="4">B12</f>
        <v>東日本本部</v>
      </c>
      <c r="C13" s="35" t="str">
        <f t="shared" si="4"/>
        <v>ラヴィーレ真駒内</v>
      </c>
      <c r="D13" s="9" t="s">
        <v>4</v>
      </c>
      <c r="E13" s="10">
        <v>1</v>
      </c>
      <c r="F13" s="11">
        <v>10</v>
      </c>
      <c r="G13" s="12">
        <v>10</v>
      </c>
      <c r="H13" s="11">
        <v>1</v>
      </c>
      <c r="I13" s="12">
        <v>1</v>
      </c>
      <c r="J13" s="10">
        <v>11</v>
      </c>
      <c r="K13" s="38">
        <f t="shared" si="1"/>
        <v>6</v>
      </c>
      <c r="L13" s="28">
        <v>2</v>
      </c>
      <c r="M13" s="33">
        <f t="shared" si="2"/>
        <v>2</v>
      </c>
      <c r="N13" s="1">
        <v>1118201100</v>
      </c>
    </row>
    <row r="14" spans="1:14" ht="18" customHeight="1" x14ac:dyDescent="0.45">
      <c r="A14" s="8">
        <v>8</v>
      </c>
      <c r="B14" s="35" t="str">
        <f t="shared" si="4"/>
        <v>東日本本部</v>
      </c>
      <c r="C14" s="35" t="str">
        <f t="shared" si="4"/>
        <v>ラヴィーレ真駒内</v>
      </c>
      <c r="D14" s="9" t="s">
        <v>5</v>
      </c>
      <c r="E14" s="10">
        <v>1</v>
      </c>
      <c r="F14" s="11">
        <v>16</v>
      </c>
      <c r="G14" s="12">
        <v>16</v>
      </c>
      <c r="H14" s="11">
        <v>0</v>
      </c>
      <c r="I14" s="12">
        <v>0</v>
      </c>
      <c r="J14" s="10">
        <v>16</v>
      </c>
      <c r="K14" s="38">
        <f t="shared" si="1"/>
        <v>6</v>
      </c>
      <c r="L14" s="28">
        <v>2</v>
      </c>
      <c r="M14" s="33">
        <f t="shared" si="2"/>
        <v>2</v>
      </c>
      <c r="N14" s="1">
        <v>1118201100</v>
      </c>
    </row>
    <row r="15" spans="1:14" ht="18" customHeight="1" x14ac:dyDescent="0.45">
      <c r="A15" s="8">
        <v>9</v>
      </c>
      <c r="B15" s="35" t="str">
        <f t="shared" si="4"/>
        <v>東日本本部</v>
      </c>
      <c r="C15" s="35" t="str">
        <f t="shared" si="4"/>
        <v>ラヴィーレ真駒内</v>
      </c>
      <c r="D15" s="9" t="s">
        <v>6</v>
      </c>
      <c r="E15" s="10">
        <v>6</v>
      </c>
      <c r="F15" s="11">
        <v>0</v>
      </c>
      <c r="G15" s="12">
        <v>0</v>
      </c>
      <c r="H15" s="11">
        <v>0</v>
      </c>
      <c r="I15" s="12">
        <v>0</v>
      </c>
      <c r="J15" s="10">
        <v>0</v>
      </c>
      <c r="K15" s="38">
        <f t="shared" si="1"/>
        <v>6</v>
      </c>
      <c r="L15" s="28">
        <v>0</v>
      </c>
      <c r="M15" s="33">
        <f t="shared" si="2"/>
        <v>0</v>
      </c>
      <c r="N15" s="1">
        <v>1118201100</v>
      </c>
    </row>
    <row r="16" spans="1:14" ht="18" customHeight="1" x14ac:dyDescent="0.45">
      <c r="A16" s="8">
        <v>10</v>
      </c>
      <c r="B16" s="36" t="str">
        <f t="shared" si="4"/>
        <v>東日本本部</v>
      </c>
      <c r="C16" s="36" t="str">
        <f t="shared" si="4"/>
        <v>ラヴィーレ真駒内</v>
      </c>
      <c r="D16" s="9" t="s">
        <v>2</v>
      </c>
      <c r="E16" s="10">
        <v>1</v>
      </c>
      <c r="F16" s="11">
        <v>1</v>
      </c>
      <c r="G16" s="12">
        <v>1</v>
      </c>
      <c r="H16" s="11">
        <v>0</v>
      </c>
      <c r="I16" s="12">
        <v>0</v>
      </c>
      <c r="J16" s="10">
        <v>1</v>
      </c>
      <c r="K16" s="39">
        <f t="shared" si="1"/>
        <v>6</v>
      </c>
      <c r="L16" s="28">
        <v>0</v>
      </c>
      <c r="M16" s="33">
        <f t="shared" si="2"/>
        <v>0</v>
      </c>
      <c r="N16" s="1">
        <v>1118201100</v>
      </c>
    </row>
    <row r="17" spans="1:14" ht="18" customHeight="1" x14ac:dyDescent="0.45">
      <c r="A17" s="30">
        <v>11</v>
      </c>
      <c r="B17" s="40" t="s">
        <v>0</v>
      </c>
      <c r="C17" s="40" t="s">
        <v>193</v>
      </c>
      <c r="D17" s="14" t="s">
        <v>3</v>
      </c>
      <c r="E17" s="15">
        <v>1</v>
      </c>
      <c r="F17" s="16">
        <v>10</v>
      </c>
      <c r="G17" s="17">
        <v>10</v>
      </c>
      <c r="H17" s="16">
        <v>1</v>
      </c>
      <c r="I17" s="17">
        <v>1</v>
      </c>
      <c r="J17" s="15">
        <v>11</v>
      </c>
      <c r="K17" s="43">
        <f t="shared" ref="K17" si="5">SUM(M17:M21)</f>
        <v>6</v>
      </c>
      <c r="L17" s="28">
        <v>2</v>
      </c>
      <c r="M17" s="33">
        <f t="shared" si="2"/>
        <v>2</v>
      </c>
      <c r="N17" s="1">
        <v>1118211100</v>
      </c>
    </row>
    <row r="18" spans="1:14" ht="18" customHeight="1" x14ac:dyDescent="0.45">
      <c r="A18" s="30">
        <v>12</v>
      </c>
      <c r="B18" s="41" t="str">
        <f t="shared" ref="B18:C21" si="6">B17</f>
        <v>東日本本部</v>
      </c>
      <c r="C18" s="41" t="str">
        <f t="shared" si="6"/>
        <v>ラヴィーレ白石南郷</v>
      </c>
      <c r="D18" s="14" t="s">
        <v>4</v>
      </c>
      <c r="E18" s="15">
        <v>1</v>
      </c>
      <c r="F18" s="16">
        <v>0</v>
      </c>
      <c r="G18" s="17">
        <v>0</v>
      </c>
      <c r="H18" s="16">
        <v>0</v>
      </c>
      <c r="I18" s="17">
        <v>0</v>
      </c>
      <c r="J18" s="15">
        <v>0</v>
      </c>
      <c r="K18" s="44">
        <f t="shared" si="1"/>
        <v>6</v>
      </c>
      <c r="L18" s="28">
        <v>0</v>
      </c>
      <c r="M18" s="33">
        <f t="shared" si="2"/>
        <v>0</v>
      </c>
      <c r="N18" s="1">
        <v>1118211100</v>
      </c>
    </row>
    <row r="19" spans="1:14" ht="18" customHeight="1" x14ac:dyDescent="0.45">
      <c r="A19" s="30">
        <v>13</v>
      </c>
      <c r="B19" s="41" t="str">
        <f t="shared" si="6"/>
        <v>東日本本部</v>
      </c>
      <c r="C19" s="41" t="str">
        <f t="shared" si="6"/>
        <v>ラヴィーレ白石南郷</v>
      </c>
      <c r="D19" s="14" t="s">
        <v>5</v>
      </c>
      <c r="E19" s="15">
        <v>2</v>
      </c>
      <c r="F19" s="16">
        <v>39</v>
      </c>
      <c r="G19" s="17">
        <v>19.5</v>
      </c>
      <c r="H19" s="16">
        <v>0</v>
      </c>
      <c r="I19" s="17">
        <v>0</v>
      </c>
      <c r="J19" s="15">
        <v>39</v>
      </c>
      <c r="K19" s="44">
        <f t="shared" si="1"/>
        <v>6</v>
      </c>
      <c r="L19" s="28">
        <v>2</v>
      </c>
      <c r="M19" s="33">
        <f t="shared" si="2"/>
        <v>2</v>
      </c>
      <c r="N19" s="1">
        <v>1118211100</v>
      </c>
    </row>
    <row r="20" spans="1:14" ht="18" customHeight="1" x14ac:dyDescent="0.45">
      <c r="A20" s="30">
        <v>14</v>
      </c>
      <c r="B20" s="41" t="str">
        <f t="shared" si="6"/>
        <v>東日本本部</v>
      </c>
      <c r="C20" s="41" t="str">
        <f t="shared" si="6"/>
        <v>ラヴィーレ白石南郷</v>
      </c>
      <c r="D20" s="14" t="s">
        <v>6</v>
      </c>
      <c r="E20" s="15">
        <v>9</v>
      </c>
      <c r="F20" s="16">
        <v>0</v>
      </c>
      <c r="G20" s="17">
        <v>0</v>
      </c>
      <c r="H20" s="16">
        <v>0</v>
      </c>
      <c r="I20" s="17">
        <v>0</v>
      </c>
      <c r="J20" s="15">
        <v>0</v>
      </c>
      <c r="K20" s="44">
        <f t="shared" si="1"/>
        <v>6</v>
      </c>
      <c r="L20" s="28">
        <v>0</v>
      </c>
      <c r="M20" s="33">
        <f t="shared" si="2"/>
        <v>0</v>
      </c>
      <c r="N20" s="1">
        <v>1118211100</v>
      </c>
    </row>
    <row r="21" spans="1:14" ht="18" customHeight="1" x14ac:dyDescent="0.45">
      <c r="A21" s="30">
        <v>15</v>
      </c>
      <c r="B21" s="42" t="str">
        <f t="shared" si="6"/>
        <v>東日本本部</v>
      </c>
      <c r="C21" s="42" t="str">
        <f t="shared" si="6"/>
        <v>ラヴィーレ白石南郷</v>
      </c>
      <c r="D21" s="14" t="s">
        <v>2</v>
      </c>
      <c r="E21" s="15">
        <v>2</v>
      </c>
      <c r="F21" s="16">
        <v>27</v>
      </c>
      <c r="G21" s="17">
        <v>13.5</v>
      </c>
      <c r="H21" s="16">
        <v>0</v>
      </c>
      <c r="I21" s="17">
        <v>0</v>
      </c>
      <c r="J21" s="15">
        <v>27</v>
      </c>
      <c r="K21" s="45">
        <f t="shared" si="1"/>
        <v>6</v>
      </c>
      <c r="L21" s="28">
        <v>2</v>
      </c>
      <c r="M21" s="33">
        <f t="shared" si="2"/>
        <v>2</v>
      </c>
      <c r="N21" s="1">
        <v>1118211100</v>
      </c>
    </row>
    <row r="22" spans="1:14" ht="18" customHeight="1" x14ac:dyDescent="0.45">
      <c r="A22" s="8">
        <v>16</v>
      </c>
      <c r="B22" s="34" t="s">
        <v>0</v>
      </c>
      <c r="C22" s="34" t="s">
        <v>7</v>
      </c>
      <c r="D22" s="9" t="s">
        <v>3</v>
      </c>
      <c r="E22" s="10">
        <v>1</v>
      </c>
      <c r="F22" s="11">
        <v>10</v>
      </c>
      <c r="G22" s="12">
        <v>10</v>
      </c>
      <c r="H22" s="11">
        <v>2</v>
      </c>
      <c r="I22" s="12">
        <v>2</v>
      </c>
      <c r="J22" s="10">
        <v>12</v>
      </c>
      <c r="K22" s="37">
        <f t="shared" ref="K22" si="7">SUM(M22:M26)</f>
        <v>6</v>
      </c>
      <c r="L22" s="28">
        <v>2</v>
      </c>
      <c r="M22" s="33">
        <f t="shared" si="2"/>
        <v>2</v>
      </c>
      <c r="N22" s="1">
        <v>1410581100</v>
      </c>
    </row>
    <row r="23" spans="1:14" ht="18" customHeight="1" x14ac:dyDescent="0.45">
      <c r="A23" s="8">
        <v>17</v>
      </c>
      <c r="B23" s="35" t="str">
        <f t="shared" ref="B23:C26" si="8">B22</f>
        <v>東日本本部</v>
      </c>
      <c r="C23" s="35" t="str">
        <f t="shared" si="8"/>
        <v>そんぽの家　仙台岩切</v>
      </c>
      <c r="D23" s="9" t="s">
        <v>4</v>
      </c>
      <c r="E23" s="10">
        <v>1</v>
      </c>
      <c r="F23" s="11">
        <v>26</v>
      </c>
      <c r="G23" s="12">
        <v>26</v>
      </c>
      <c r="H23" s="11">
        <v>2</v>
      </c>
      <c r="I23" s="12">
        <v>2</v>
      </c>
      <c r="J23" s="10">
        <v>28</v>
      </c>
      <c r="K23" s="38">
        <f t="shared" si="1"/>
        <v>6</v>
      </c>
      <c r="L23" s="28">
        <v>2</v>
      </c>
      <c r="M23" s="33">
        <f t="shared" si="2"/>
        <v>2</v>
      </c>
      <c r="N23" s="1">
        <v>1410581100</v>
      </c>
    </row>
    <row r="24" spans="1:14" ht="18" customHeight="1" x14ac:dyDescent="0.45">
      <c r="A24" s="8">
        <v>18</v>
      </c>
      <c r="B24" s="35" t="str">
        <f t="shared" si="8"/>
        <v>東日本本部</v>
      </c>
      <c r="C24" s="35" t="str">
        <f t="shared" si="8"/>
        <v>そんぽの家　仙台岩切</v>
      </c>
      <c r="D24" s="9" t="s">
        <v>5</v>
      </c>
      <c r="E24" s="10">
        <v>1</v>
      </c>
      <c r="F24" s="11">
        <v>23</v>
      </c>
      <c r="G24" s="12">
        <v>23</v>
      </c>
      <c r="H24" s="11">
        <v>0</v>
      </c>
      <c r="I24" s="12">
        <v>0</v>
      </c>
      <c r="J24" s="10">
        <v>23</v>
      </c>
      <c r="K24" s="38">
        <f t="shared" si="1"/>
        <v>6</v>
      </c>
      <c r="L24" s="28">
        <v>2</v>
      </c>
      <c r="M24" s="33">
        <f t="shared" si="2"/>
        <v>2</v>
      </c>
      <c r="N24" s="1">
        <v>1410581100</v>
      </c>
    </row>
    <row r="25" spans="1:14" ht="18" customHeight="1" x14ac:dyDescent="0.45">
      <c r="A25" s="8">
        <v>19</v>
      </c>
      <c r="B25" s="35" t="str">
        <f t="shared" si="8"/>
        <v>東日本本部</v>
      </c>
      <c r="C25" s="35" t="str">
        <f t="shared" si="8"/>
        <v>そんぽの家　仙台岩切</v>
      </c>
      <c r="D25" s="9" t="s">
        <v>6</v>
      </c>
      <c r="E25" s="10">
        <v>3</v>
      </c>
      <c r="F25" s="11">
        <v>0</v>
      </c>
      <c r="G25" s="12">
        <v>0</v>
      </c>
      <c r="H25" s="11">
        <v>0</v>
      </c>
      <c r="I25" s="12">
        <v>0</v>
      </c>
      <c r="J25" s="10">
        <v>0</v>
      </c>
      <c r="K25" s="38">
        <f t="shared" si="1"/>
        <v>6</v>
      </c>
      <c r="L25" s="28">
        <v>0</v>
      </c>
      <c r="M25" s="33">
        <f t="shared" si="2"/>
        <v>0</v>
      </c>
      <c r="N25" s="1">
        <v>1410581100</v>
      </c>
    </row>
    <row r="26" spans="1:14" ht="18" customHeight="1" x14ac:dyDescent="0.45">
      <c r="A26" s="8">
        <v>20</v>
      </c>
      <c r="B26" s="36" t="str">
        <f t="shared" si="8"/>
        <v>東日本本部</v>
      </c>
      <c r="C26" s="36" t="str">
        <f t="shared" si="8"/>
        <v>そんぽの家　仙台岩切</v>
      </c>
      <c r="D26" s="9" t="s">
        <v>2</v>
      </c>
      <c r="E26" s="10">
        <v>1</v>
      </c>
      <c r="F26" s="11">
        <v>0</v>
      </c>
      <c r="G26" s="12">
        <v>0</v>
      </c>
      <c r="H26" s="11">
        <v>0</v>
      </c>
      <c r="I26" s="12">
        <v>0</v>
      </c>
      <c r="J26" s="10">
        <v>0</v>
      </c>
      <c r="K26" s="39">
        <f t="shared" si="1"/>
        <v>6</v>
      </c>
      <c r="L26" s="28">
        <v>0</v>
      </c>
      <c r="M26" s="33">
        <f t="shared" si="2"/>
        <v>0</v>
      </c>
      <c r="N26" s="1">
        <v>1410581100</v>
      </c>
    </row>
    <row r="27" spans="1:14" ht="18" customHeight="1" x14ac:dyDescent="0.45">
      <c r="A27" s="13">
        <v>21</v>
      </c>
      <c r="B27" s="40" t="s">
        <v>0</v>
      </c>
      <c r="C27" s="40" t="s">
        <v>194</v>
      </c>
      <c r="D27" s="14" t="s">
        <v>3</v>
      </c>
      <c r="E27" s="15">
        <v>1</v>
      </c>
      <c r="F27" s="16">
        <v>1</v>
      </c>
      <c r="G27" s="17">
        <v>1</v>
      </c>
      <c r="H27" s="16">
        <v>1</v>
      </c>
      <c r="I27" s="17">
        <v>1</v>
      </c>
      <c r="J27" s="15">
        <v>2</v>
      </c>
      <c r="K27" s="43">
        <f t="shared" ref="K27" si="9">SUM(M27:M31)</f>
        <v>4</v>
      </c>
      <c r="L27" s="28">
        <v>0</v>
      </c>
      <c r="M27" s="33">
        <f t="shared" si="2"/>
        <v>0</v>
      </c>
      <c r="N27" s="1">
        <v>1418251100</v>
      </c>
    </row>
    <row r="28" spans="1:14" ht="18" customHeight="1" x14ac:dyDescent="0.45">
      <c r="A28" s="13">
        <v>22</v>
      </c>
      <c r="B28" s="41" t="str">
        <f t="shared" ref="B28:C31" si="10">B27</f>
        <v>東日本本部</v>
      </c>
      <c r="C28" s="41" t="str">
        <f t="shared" si="10"/>
        <v>ラヴィーレ仙台東</v>
      </c>
      <c r="D28" s="14" t="s">
        <v>4</v>
      </c>
      <c r="E28" s="15">
        <v>1</v>
      </c>
      <c r="F28" s="16">
        <v>5</v>
      </c>
      <c r="G28" s="17">
        <v>5</v>
      </c>
      <c r="H28" s="16">
        <v>4</v>
      </c>
      <c r="I28" s="17">
        <v>4</v>
      </c>
      <c r="J28" s="15">
        <v>9</v>
      </c>
      <c r="K28" s="44">
        <f t="shared" si="1"/>
        <v>4</v>
      </c>
      <c r="L28" s="28">
        <v>2</v>
      </c>
      <c r="M28" s="33">
        <f t="shared" si="2"/>
        <v>2</v>
      </c>
      <c r="N28" s="1">
        <v>1418251100</v>
      </c>
    </row>
    <row r="29" spans="1:14" ht="18" customHeight="1" x14ac:dyDescent="0.45">
      <c r="A29" s="13">
        <v>23</v>
      </c>
      <c r="B29" s="41" t="str">
        <f t="shared" si="10"/>
        <v>東日本本部</v>
      </c>
      <c r="C29" s="41" t="str">
        <f t="shared" si="10"/>
        <v>ラヴィーレ仙台東</v>
      </c>
      <c r="D29" s="14" t="s">
        <v>5</v>
      </c>
      <c r="E29" s="15">
        <v>2</v>
      </c>
      <c r="F29" s="16">
        <v>9</v>
      </c>
      <c r="G29" s="17">
        <v>4.5</v>
      </c>
      <c r="H29" s="16">
        <v>0</v>
      </c>
      <c r="I29" s="17">
        <v>0</v>
      </c>
      <c r="J29" s="15">
        <v>9</v>
      </c>
      <c r="K29" s="44">
        <f t="shared" si="1"/>
        <v>4</v>
      </c>
      <c r="L29" s="28">
        <v>2</v>
      </c>
      <c r="M29" s="33">
        <f t="shared" si="2"/>
        <v>2</v>
      </c>
      <c r="N29" s="1">
        <v>1418251100</v>
      </c>
    </row>
    <row r="30" spans="1:14" ht="18" customHeight="1" x14ac:dyDescent="0.45">
      <c r="A30" s="13">
        <v>24</v>
      </c>
      <c r="B30" s="41" t="str">
        <f t="shared" si="10"/>
        <v>東日本本部</v>
      </c>
      <c r="C30" s="41" t="str">
        <f t="shared" si="10"/>
        <v>ラヴィーレ仙台東</v>
      </c>
      <c r="D30" s="14" t="s">
        <v>6</v>
      </c>
      <c r="E30" s="15">
        <v>16</v>
      </c>
      <c r="F30" s="16">
        <v>2</v>
      </c>
      <c r="G30" s="17">
        <v>0.1</v>
      </c>
      <c r="H30" s="16">
        <v>0</v>
      </c>
      <c r="I30" s="17">
        <v>0</v>
      </c>
      <c r="J30" s="15">
        <v>2</v>
      </c>
      <c r="K30" s="44">
        <f t="shared" si="1"/>
        <v>4</v>
      </c>
      <c r="L30" s="28">
        <v>0</v>
      </c>
      <c r="M30" s="33">
        <f t="shared" si="2"/>
        <v>0</v>
      </c>
      <c r="N30" s="1">
        <v>1418251100</v>
      </c>
    </row>
    <row r="31" spans="1:14" ht="18" customHeight="1" x14ac:dyDescent="0.45">
      <c r="A31" s="13">
        <v>25</v>
      </c>
      <c r="B31" s="42" t="str">
        <f t="shared" si="10"/>
        <v>東日本本部</v>
      </c>
      <c r="C31" s="42" t="str">
        <f t="shared" si="10"/>
        <v>ラヴィーレ仙台東</v>
      </c>
      <c r="D31" s="14" t="s">
        <v>2</v>
      </c>
      <c r="E31" s="15">
        <v>4</v>
      </c>
      <c r="F31" s="16">
        <v>0</v>
      </c>
      <c r="G31" s="17">
        <v>0</v>
      </c>
      <c r="H31" s="16">
        <v>0</v>
      </c>
      <c r="I31" s="17">
        <v>0</v>
      </c>
      <c r="J31" s="15">
        <v>0</v>
      </c>
      <c r="K31" s="45">
        <f t="shared" si="1"/>
        <v>4</v>
      </c>
      <c r="L31" s="28">
        <v>0</v>
      </c>
      <c r="M31" s="33">
        <f t="shared" si="2"/>
        <v>0</v>
      </c>
      <c r="N31" s="1">
        <v>1418251100</v>
      </c>
    </row>
    <row r="32" spans="1:14" ht="18" customHeight="1" x14ac:dyDescent="0.45">
      <c r="A32" s="8">
        <v>26</v>
      </c>
      <c r="B32" s="34" t="s">
        <v>0</v>
      </c>
      <c r="C32" s="34" t="s">
        <v>195</v>
      </c>
      <c r="D32" s="9" t="s">
        <v>3</v>
      </c>
      <c r="E32" s="10">
        <v>1</v>
      </c>
      <c r="F32" s="11">
        <v>5</v>
      </c>
      <c r="G32" s="12">
        <v>5</v>
      </c>
      <c r="H32" s="11">
        <v>3</v>
      </c>
      <c r="I32" s="12">
        <v>3</v>
      </c>
      <c r="J32" s="10">
        <v>8</v>
      </c>
      <c r="K32" s="37">
        <f t="shared" ref="K32" si="11">SUM(M32:M36)</f>
        <v>10</v>
      </c>
      <c r="L32" s="28">
        <v>2</v>
      </c>
      <c r="M32" s="33">
        <f t="shared" si="2"/>
        <v>2</v>
      </c>
      <c r="N32" s="1">
        <v>1418431100</v>
      </c>
    </row>
    <row r="33" spans="1:14" ht="18" customHeight="1" x14ac:dyDescent="0.45">
      <c r="A33" s="8">
        <v>27</v>
      </c>
      <c r="B33" s="35" t="str">
        <f t="shared" ref="B33:C36" si="12">B32</f>
        <v>東日本本部</v>
      </c>
      <c r="C33" s="35" t="str">
        <f t="shared" si="12"/>
        <v xml:space="preserve">ラヴィーレ泉パークタウン朝日 </v>
      </c>
      <c r="D33" s="9" t="s">
        <v>4</v>
      </c>
      <c r="E33" s="10">
        <v>1</v>
      </c>
      <c r="F33" s="11">
        <v>26</v>
      </c>
      <c r="G33" s="12">
        <v>26</v>
      </c>
      <c r="H33" s="11">
        <v>3</v>
      </c>
      <c r="I33" s="12">
        <v>3</v>
      </c>
      <c r="J33" s="10">
        <v>29</v>
      </c>
      <c r="K33" s="38">
        <f t="shared" si="1"/>
        <v>10</v>
      </c>
      <c r="L33" s="28">
        <v>2</v>
      </c>
      <c r="M33" s="33">
        <f t="shared" si="2"/>
        <v>2</v>
      </c>
      <c r="N33" s="1">
        <v>1418431100</v>
      </c>
    </row>
    <row r="34" spans="1:14" ht="18" customHeight="1" x14ac:dyDescent="0.45">
      <c r="A34" s="8">
        <v>28</v>
      </c>
      <c r="B34" s="35" t="str">
        <f t="shared" si="12"/>
        <v>東日本本部</v>
      </c>
      <c r="C34" s="35" t="str">
        <f t="shared" si="12"/>
        <v xml:space="preserve">ラヴィーレ泉パークタウン朝日 </v>
      </c>
      <c r="D34" s="9" t="s">
        <v>5</v>
      </c>
      <c r="E34" s="10">
        <v>1</v>
      </c>
      <c r="F34" s="11">
        <v>41</v>
      </c>
      <c r="G34" s="12">
        <v>41</v>
      </c>
      <c r="H34" s="11">
        <v>0</v>
      </c>
      <c r="I34" s="12">
        <v>0</v>
      </c>
      <c r="J34" s="10">
        <v>41</v>
      </c>
      <c r="K34" s="38">
        <f t="shared" si="1"/>
        <v>10</v>
      </c>
      <c r="L34" s="28">
        <v>2</v>
      </c>
      <c r="M34" s="33">
        <f t="shared" si="2"/>
        <v>2</v>
      </c>
      <c r="N34" s="1">
        <v>1418431100</v>
      </c>
    </row>
    <row r="35" spans="1:14" ht="18" customHeight="1" x14ac:dyDescent="0.45">
      <c r="A35" s="8">
        <v>29</v>
      </c>
      <c r="B35" s="35" t="str">
        <f t="shared" si="12"/>
        <v>東日本本部</v>
      </c>
      <c r="C35" s="35" t="str">
        <f t="shared" si="12"/>
        <v xml:space="preserve">ラヴィーレ泉パークタウン朝日 </v>
      </c>
      <c r="D35" s="9" t="s">
        <v>6</v>
      </c>
      <c r="E35" s="10">
        <v>2</v>
      </c>
      <c r="F35" s="11">
        <v>9</v>
      </c>
      <c r="G35" s="12">
        <v>4.5</v>
      </c>
      <c r="H35" s="11">
        <v>0</v>
      </c>
      <c r="I35" s="12">
        <v>0</v>
      </c>
      <c r="J35" s="10">
        <v>9</v>
      </c>
      <c r="K35" s="38">
        <f t="shared" si="1"/>
        <v>10</v>
      </c>
      <c r="L35" s="28">
        <v>2</v>
      </c>
      <c r="M35" s="33">
        <f t="shared" si="2"/>
        <v>2</v>
      </c>
      <c r="N35" s="1">
        <v>1418431100</v>
      </c>
    </row>
    <row r="36" spans="1:14" ht="18" customHeight="1" x14ac:dyDescent="0.45">
      <c r="A36" s="8">
        <v>30</v>
      </c>
      <c r="B36" s="36" t="str">
        <f t="shared" si="12"/>
        <v>東日本本部</v>
      </c>
      <c r="C36" s="36" t="str">
        <f t="shared" si="12"/>
        <v xml:space="preserve">ラヴィーレ泉パークタウン朝日 </v>
      </c>
      <c r="D36" s="9" t="s">
        <v>2</v>
      </c>
      <c r="E36" s="10">
        <v>1</v>
      </c>
      <c r="F36" s="11">
        <v>9</v>
      </c>
      <c r="G36" s="12">
        <v>9</v>
      </c>
      <c r="H36" s="11">
        <v>0</v>
      </c>
      <c r="I36" s="12">
        <v>0</v>
      </c>
      <c r="J36" s="10">
        <v>9</v>
      </c>
      <c r="K36" s="39">
        <f t="shared" si="1"/>
        <v>10</v>
      </c>
      <c r="L36" s="28">
        <v>2</v>
      </c>
      <c r="M36" s="33">
        <f t="shared" si="2"/>
        <v>2</v>
      </c>
      <c r="N36" s="1">
        <v>1418431100</v>
      </c>
    </row>
    <row r="37" spans="1:14" ht="18" customHeight="1" x14ac:dyDescent="0.45">
      <c r="A37" s="13">
        <v>31</v>
      </c>
      <c r="B37" s="40" t="s">
        <v>8</v>
      </c>
      <c r="C37" s="40" t="s">
        <v>9</v>
      </c>
      <c r="D37" s="14" t="s">
        <v>3</v>
      </c>
      <c r="E37" s="15">
        <v>1</v>
      </c>
      <c r="F37" s="16">
        <v>13</v>
      </c>
      <c r="G37" s="17">
        <v>13</v>
      </c>
      <c r="H37" s="16">
        <v>2</v>
      </c>
      <c r="I37" s="17">
        <v>2</v>
      </c>
      <c r="J37" s="15">
        <v>15</v>
      </c>
      <c r="K37" s="43">
        <f t="shared" ref="K37" si="13">SUM(M37:M41)</f>
        <v>10</v>
      </c>
      <c r="L37" s="28">
        <v>2</v>
      </c>
      <c r="M37" s="33">
        <f t="shared" si="2"/>
        <v>2</v>
      </c>
      <c r="N37" s="1">
        <v>2311161100</v>
      </c>
    </row>
    <row r="38" spans="1:14" ht="18" customHeight="1" x14ac:dyDescent="0.45">
      <c r="A38" s="13">
        <v>32</v>
      </c>
      <c r="B38" s="41" t="str">
        <f t="shared" ref="B38:C41" si="14">B37</f>
        <v>東京本部</v>
      </c>
      <c r="C38" s="41" t="str">
        <f t="shared" si="14"/>
        <v>そんぽの家　柴又</v>
      </c>
      <c r="D38" s="14" t="s">
        <v>4</v>
      </c>
      <c r="E38" s="15">
        <v>1</v>
      </c>
      <c r="F38" s="16">
        <v>18</v>
      </c>
      <c r="G38" s="17">
        <v>18</v>
      </c>
      <c r="H38" s="16">
        <v>16</v>
      </c>
      <c r="I38" s="17">
        <v>16</v>
      </c>
      <c r="J38" s="15">
        <v>34</v>
      </c>
      <c r="K38" s="44">
        <f t="shared" si="1"/>
        <v>10</v>
      </c>
      <c r="L38" s="28">
        <v>2</v>
      </c>
      <c r="M38" s="33">
        <f t="shared" si="2"/>
        <v>2</v>
      </c>
      <c r="N38" s="1">
        <v>2311161100</v>
      </c>
    </row>
    <row r="39" spans="1:14" ht="18" customHeight="1" x14ac:dyDescent="0.45">
      <c r="A39" s="13">
        <v>33</v>
      </c>
      <c r="B39" s="41" t="str">
        <f t="shared" si="14"/>
        <v>東京本部</v>
      </c>
      <c r="C39" s="41" t="str">
        <f t="shared" si="14"/>
        <v>そんぽの家　柴又</v>
      </c>
      <c r="D39" s="14" t="s">
        <v>5</v>
      </c>
      <c r="E39" s="15">
        <v>2</v>
      </c>
      <c r="F39" s="16">
        <v>68</v>
      </c>
      <c r="G39" s="17">
        <v>34</v>
      </c>
      <c r="H39" s="16">
        <v>0</v>
      </c>
      <c r="I39" s="17">
        <v>0</v>
      </c>
      <c r="J39" s="15">
        <v>68</v>
      </c>
      <c r="K39" s="44">
        <f t="shared" si="1"/>
        <v>10</v>
      </c>
      <c r="L39" s="28">
        <v>2</v>
      </c>
      <c r="M39" s="33">
        <f t="shared" si="2"/>
        <v>2</v>
      </c>
      <c r="N39" s="1">
        <v>2311161100</v>
      </c>
    </row>
    <row r="40" spans="1:14" ht="18" customHeight="1" x14ac:dyDescent="0.45">
      <c r="A40" s="13">
        <v>34</v>
      </c>
      <c r="B40" s="41" t="str">
        <f t="shared" si="14"/>
        <v>東京本部</v>
      </c>
      <c r="C40" s="41" t="str">
        <f t="shared" si="14"/>
        <v>そんぽの家　柴又</v>
      </c>
      <c r="D40" s="14" t="s">
        <v>6</v>
      </c>
      <c r="E40" s="15">
        <v>3</v>
      </c>
      <c r="F40" s="16">
        <v>8</v>
      </c>
      <c r="G40" s="17">
        <v>2.7</v>
      </c>
      <c r="H40" s="16">
        <v>0</v>
      </c>
      <c r="I40" s="17">
        <v>0</v>
      </c>
      <c r="J40" s="15">
        <v>8</v>
      </c>
      <c r="K40" s="44">
        <f t="shared" si="1"/>
        <v>10</v>
      </c>
      <c r="L40" s="28">
        <v>2</v>
      </c>
      <c r="M40" s="33">
        <f t="shared" si="2"/>
        <v>2</v>
      </c>
      <c r="N40" s="1">
        <v>2311161100</v>
      </c>
    </row>
    <row r="41" spans="1:14" ht="18" customHeight="1" x14ac:dyDescent="0.45">
      <c r="A41" s="13">
        <v>35</v>
      </c>
      <c r="B41" s="42" t="str">
        <f t="shared" si="14"/>
        <v>東京本部</v>
      </c>
      <c r="C41" s="42" t="str">
        <f t="shared" si="14"/>
        <v>そんぽの家　柴又</v>
      </c>
      <c r="D41" s="14" t="s">
        <v>2</v>
      </c>
      <c r="E41" s="15">
        <v>1</v>
      </c>
      <c r="F41" s="16">
        <v>24</v>
      </c>
      <c r="G41" s="17">
        <v>24</v>
      </c>
      <c r="H41" s="16">
        <v>0</v>
      </c>
      <c r="I41" s="17">
        <v>0</v>
      </c>
      <c r="J41" s="15">
        <v>24</v>
      </c>
      <c r="K41" s="45">
        <f t="shared" si="1"/>
        <v>10</v>
      </c>
      <c r="L41" s="28">
        <v>2</v>
      </c>
      <c r="M41" s="33">
        <f t="shared" si="2"/>
        <v>2</v>
      </c>
      <c r="N41" s="1">
        <v>2311161100</v>
      </c>
    </row>
    <row r="42" spans="1:14" ht="18" customHeight="1" x14ac:dyDescent="0.45">
      <c r="A42" s="8">
        <v>36</v>
      </c>
      <c r="B42" s="34" t="s">
        <v>8</v>
      </c>
      <c r="C42" s="34" t="s">
        <v>196</v>
      </c>
      <c r="D42" s="9" t="s">
        <v>3</v>
      </c>
      <c r="E42" s="10">
        <v>1</v>
      </c>
      <c r="F42" s="11">
        <v>6</v>
      </c>
      <c r="G42" s="12">
        <v>6</v>
      </c>
      <c r="H42" s="11">
        <v>1</v>
      </c>
      <c r="I42" s="12">
        <v>1</v>
      </c>
      <c r="J42" s="10">
        <v>7</v>
      </c>
      <c r="K42" s="37">
        <f t="shared" ref="K42" si="15">SUM(M42:M46)</f>
        <v>8</v>
      </c>
      <c r="L42" s="28">
        <v>1</v>
      </c>
      <c r="M42" s="33">
        <f t="shared" si="2"/>
        <v>1</v>
      </c>
      <c r="N42" s="1">
        <v>2311181100</v>
      </c>
    </row>
    <row r="43" spans="1:14" ht="18" customHeight="1" x14ac:dyDescent="0.45">
      <c r="A43" s="8">
        <v>37</v>
      </c>
      <c r="B43" s="35" t="str">
        <f t="shared" ref="B43:C46" si="16">B42</f>
        <v>東京本部</v>
      </c>
      <c r="C43" s="35" t="str">
        <f t="shared" si="16"/>
        <v>ラヴィーレ一之江</v>
      </c>
      <c r="D43" s="9" t="s">
        <v>4</v>
      </c>
      <c r="E43" s="10">
        <v>1</v>
      </c>
      <c r="F43" s="11">
        <v>10</v>
      </c>
      <c r="G43" s="12">
        <v>10</v>
      </c>
      <c r="H43" s="11">
        <v>9</v>
      </c>
      <c r="I43" s="12">
        <v>9</v>
      </c>
      <c r="J43" s="10">
        <v>19</v>
      </c>
      <c r="K43" s="38">
        <f t="shared" si="1"/>
        <v>8</v>
      </c>
      <c r="L43" s="28">
        <v>2</v>
      </c>
      <c r="M43" s="33">
        <f t="shared" si="2"/>
        <v>2</v>
      </c>
      <c r="N43" s="1">
        <v>2311181100</v>
      </c>
    </row>
    <row r="44" spans="1:14" ht="18" customHeight="1" x14ac:dyDescent="0.45">
      <c r="A44" s="8">
        <v>38</v>
      </c>
      <c r="B44" s="35" t="str">
        <f t="shared" si="16"/>
        <v>東京本部</v>
      </c>
      <c r="C44" s="35" t="str">
        <f t="shared" si="16"/>
        <v>ラヴィーレ一之江</v>
      </c>
      <c r="D44" s="9" t="s">
        <v>5</v>
      </c>
      <c r="E44" s="10">
        <v>2</v>
      </c>
      <c r="F44" s="11">
        <v>15</v>
      </c>
      <c r="G44" s="12">
        <v>7.5</v>
      </c>
      <c r="H44" s="11">
        <v>0</v>
      </c>
      <c r="I44" s="12">
        <v>0</v>
      </c>
      <c r="J44" s="10">
        <v>15</v>
      </c>
      <c r="K44" s="38">
        <f t="shared" si="1"/>
        <v>8</v>
      </c>
      <c r="L44" s="28">
        <v>2</v>
      </c>
      <c r="M44" s="33">
        <f t="shared" si="2"/>
        <v>2</v>
      </c>
      <c r="N44" s="1">
        <v>2311181100</v>
      </c>
    </row>
    <row r="45" spans="1:14" ht="18" customHeight="1" x14ac:dyDescent="0.45">
      <c r="A45" s="8">
        <v>39</v>
      </c>
      <c r="B45" s="35" t="str">
        <f t="shared" si="16"/>
        <v>東京本部</v>
      </c>
      <c r="C45" s="35" t="str">
        <f t="shared" si="16"/>
        <v>ラヴィーレ一之江</v>
      </c>
      <c r="D45" s="9" t="s">
        <v>6</v>
      </c>
      <c r="E45" s="10">
        <v>3</v>
      </c>
      <c r="F45" s="11">
        <v>62</v>
      </c>
      <c r="G45" s="12">
        <v>20.7</v>
      </c>
      <c r="H45" s="11">
        <v>0</v>
      </c>
      <c r="I45" s="12">
        <v>0</v>
      </c>
      <c r="J45" s="10">
        <v>62</v>
      </c>
      <c r="K45" s="38">
        <f t="shared" si="1"/>
        <v>8</v>
      </c>
      <c r="L45" s="28">
        <v>2</v>
      </c>
      <c r="M45" s="33">
        <f t="shared" si="2"/>
        <v>2</v>
      </c>
      <c r="N45" s="1">
        <v>2311181100</v>
      </c>
    </row>
    <row r="46" spans="1:14" ht="18" customHeight="1" x14ac:dyDescent="0.45">
      <c r="A46" s="8">
        <v>40</v>
      </c>
      <c r="B46" s="36" t="str">
        <f t="shared" si="16"/>
        <v>東京本部</v>
      </c>
      <c r="C46" s="36" t="str">
        <f t="shared" si="16"/>
        <v>ラヴィーレ一之江</v>
      </c>
      <c r="D46" s="9" t="s">
        <v>2</v>
      </c>
      <c r="E46" s="10">
        <v>2</v>
      </c>
      <c r="F46" s="11">
        <v>6</v>
      </c>
      <c r="G46" s="12">
        <v>3</v>
      </c>
      <c r="H46" s="11">
        <v>0</v>
      </c>
      <c r="I46" s="12">
        <v>0</v>
      </c>
      <c r="J46" s="10">
        <v>6</v>
      </c>
      <c r="K46" s="39">
        <f t="shared" si="1"/>
        <v>8</v>
      </c>
      <c r="L46" s="28">
        <v>1</v>
      </c>
      <c r="M46" s="33">
        <f t="shared" si="2"/>
        <v>1</v>
      </c>
      <c r="N46" s="1">
        <v>2311181100</v>
      </c>
    </row>
    <row r="47" spans="1:14" ht="18" customHeight="1" x14ac:dyDescent="0.45">
      <c r="A47" s="13">
        <v>41</v>
      </c>
      <c r="B47" s="40" t="s">
        <v>8</v>
      </c>
      <c r="C47" s="40" t="s">
        <v>197</v>
      </c>
      <c r="D47" s="14" t="s">
        <v>3</v>
      </c>
      <c r="E47" s="15">
        <v>1</v>
      </c>
      <c r="F47" s="16">
        <v>6</v>
      </c>
      <c r="G47" s="17">
        <v>6</v>
      </c>
      <c r="H47" s="16">
        <v>0</v>
      </c>
      <c r="I47" s="17">
        <v>0</v>
      </c>
      <c r="J47" s="15">
        <v>6</v>
      </c>
      <c r="K47" s="43">
        <f t="shared" ref="K47" si="17">SUM(M47:M51)</f>
        <v>7</v>
      </c>
      <c r="L47" s="28">
        <v>1</v>
      </c>
      <c r="M47" s="33">
        <f t="shared" si="2"/>
        <v>1</v>
      </c>
      <c r="N47" s="1">
        <v>2311201100</v>
      </c>
    </row>
    <row r="48" spans="1:14" ht="18" customHeight="1" x14ac:dyDescent="0.45">
      <c r="A48" s="13">
        <v>42</v>
      </c>
      <c r="B48" s="41" t="str">
        <f t="shared" ref="B48:C51" si="18">B47</f>
        <v>東京本部</v>
      </c>
      <c r="C48" s="41" t="str">
        <f t="shared" si="18"/>
        <v>ラヴィーレ船堀</v>
      </c>
      <c r="D48" s="14" t="s">
        <v>4</v>
      </c>
      <c r="E48" s="15">
        <v>2</v>
      </c>
      <c r="F48" s="16">
        <v>4</v>
      </c>
      <c r="G48" s="17">
        <v>2</v>
      </c>
      <c r="H48" s="16">
        <v>0</v>
      </c>
      <c r="I48" s="17">
        <v>0</v>
      </c>
      <c r="J48" s="15">
        <v>4</v>
      </c>
      <c r="K48" s="44">
        <f t="shared" si="1"/>
        <v>7</v>
      </c>
      <c r="L48" s="28">
        <v>1</v>
      </c>
      <c r="M48" s="33">
        <f t="shared" si="2"/>
        <v>1</v>
      </c>
      <c r="N48" s="1">
        <v>2311201100</v>
      </c>
    </row>
    <row r="49" spans="1:14" ht="18" customHeight="1" x14ac:dyDescent="0.45">
      <c r="A49" s="13">
        <v>43</v>
      </c>
      <c r="B49" s="41" t="str">
        <f t="shared" si="18"/>
        <v>東京本部</v>
      </c>
      <c r="C49" s="41" t="str">
        <f t="shared" si="18"/>
        <v>ラヴィーレ船堀</v>
      </c>
      <c r="D49" s="14" t="s">
        <v>5</v>
      </c>
      <c r="E49" s="15">
        <v>3</v>
      </c>
      <c r="F49" s="16">
        <v>23</v>
      </c>
      <c r="G49" s="17">
        <v>7.7</v>
      </c>
      <c r="H49" s="16">
        <v>0</v>
      </c>
      <c r="I49" s="17">
        <v>0</v>
      </c>
      <c r="J49" s="15">
        <v>23</v>
      </c>
      <c r="K49" s="44">
        <f t="shared" si="1"/>
        <v>7</v>
      </c>
      <c r="L49" s="28">
        <v>2</v>
      </c>
      <c r="M49" s="33">
        <f t="shared" si="2"/>
        <v>2</v>
      </c>
      <c r="N49" s="1">
        <v>2311201100</v>
      </c>
    </row>
    <row r="50" spans="1:14" ht="18" customHeight="1" x14ac:dyDescent="0.45">
      <c r="A50" s="13">
        <v>44</v>
      </c>
      <c r="B50" s="41" t="str">
        <f t="shared" si="18"/>
        <v>東京本部</v>
      </c>
      <c r="C50" s="41" t="str">
        <f t="shared" si="18"/>
        <v>ラヴィーレ船堀</v>
      </c>
      <c r="D50" s="14" t="s">
        <v>6</v>
      </c>
      <c r="E50" s="15">
        <v>4</v>
      </c>
      <c r="F50" s="16">
        <v>4</v>
      </c>
      <c r="G50" s="17">
        <v>1</v>
      </c>
      <c r="H50" s="16">
        <v>0</v>
      </c>
      <c r="I50" s="17">
        <v>0</v>
      </c>
      <c r="J50" s="15">
        <v>4</v>
      </c>
      <c r="K50" s="44">
        <f t="shared" si="1"/>
        <v>7</v>
      </c>
      <c r="L50" s="28">
        <v>1</v>
      </c>
      <c r="M50" s="33">
        <f t="shared" si="2"/>
        <v>1</v>
      </c>
      <c r="N50" s="1">
        <v>2311201100</v>
      </c>
    </row>
    <row r="51" spans="1:14" ht="18" customHeight="1" x14ac:dyDescent="0.45">
      <c r="A51" s="13">
        <v>45</v>
      </c>
      <c r="B51" s="42" t="str">
        <f t="shared" si="18"/>
        <v>東京本部</v>
      </c>
      <c r="C51" s="42" t="str">
        <f t="shared" si="18"/>
        <v>ラヴィーレ船堀</v>
      </c>
      <c r="D51" s="14" t="s">
        <v>2</v>
      </c>
      <c r="E51" s="15">
        <v>2</v>
      </c>
      <c r="F51" s="16">
        <v>24</v>
      </c>
      <c r="G51" s="17">
        <v>12</v>
      </c>
      <c r="H51" s="16">
        <v>0</v>
      </c>
      <c r="I51" s="17">
        <v>0</v>
      </c>
      <c r="J51" s="15">
        <v>24</v>
      </c>
      <c r="K51" s="45">
        <f t="shared" si="1"/>
        <v>7</v>
      </c>
      <c r="L51" s="28">
        <v>2</v>
      </c>
      <c r="M51" s="33">
        <f t="shared" si="2"/>
        <v>2</v>
      </c>
      <c r="N51" s="1">
        <v>2311201100</v>
      </c>
    </row>
    <row r="52" spans="1:14" ht="18" customHeight="1" x14ac:dyDescent="0.45">
      <c r="A52" s="8">
        <v>46</v>
      </c>
      <c r="B52" s="34" t="s">
        <v>8</v>
      </c>
      <c r="C52" s="34" t="s">
        <v>10</v>
      </c>
      <c r="D52" s="9" t="s">
        <v>3</v>
      </c>
      <c r="E52" s="10">
        <v>1</v>
      </c>
      <c r="F52" s="11">
        <v>8</v>
      </c>
      <c r="G52" s="12">
        <v>8</v>
      </c>
      <c r="H52" s="11">
        <v>6</v>
      </c>
      <c r="I52" s="12">
        <v>6</v>
      </c>
      <c r="J52" s="10">
        <v>14</v>
      </c>
      <c r="K52" s="37">
        <f t="shared" ref="K52" si="19">SUM(M52:M56)</f>
        <v>4</v>
      </c>
      <c r="L52" s="28">
        <v>2</v>
      </c>
      <c r="M52" s="33">
        <f t="shared" si="2"/>
        <v>2</v>
      </c>
      <c r="N52" s="1">
        <v>2311221100</v>
      </c>
    </row>
    <row r="53" spans="1:14" ht="18" customHeight="1" x14ac:dyDescent="0.45">
      <c r="A53" s="8">
        <v>47</v>
      </c>
      <c r="B53" s="35" t="str">
        <f t="shared" ref="B53:C56" si="20">B52</f>
        <v>東京本部</v>
      </c>
      <c r="C53" s="35" t="str">
        <f t="shared" si="20"/>
        <v>そんぽの家　葛西</v>
      </c>
      <c r="D53" s="9" t="s">
        <v>4</v>
      </c>
      <c r="E53" s="10">
        <v>1</v>
      </c>
      <c r="F53" s="11">
        <v>0</v>
      </c>
      <c r="G53" s="12">
        <v>0</v>
      </c>
      <c r="H53" s="11">
        <v>0</v>
      </c>
      <c r="I53" s="12">
        <v>0</v>
      </c>
      <c r="J53" s="10">
        <v>0</v>
      </c>
      <c r="K53" s="38">
        <f t="shared" si="1"/>
        <v>4</v>
      </c>
      <c r="L53" s="28">
        <v>0</v>
      </c>
      <c r="M53" s="33">
        <f t="shared" si="2"/>
        <v>0</v>
      </c>
      <c r="N53" s="1">
        <v>2311221100</v>
      </c>
    </row>
    <row r="54" spans="1:14" ht="18" customHeight="1" x14ac:dyDescent="0.45">
      <c r="A54" s="8">
        <v>48</v>
      </c>
      <c r="B54" s="35" t="str">
        <f t="shared" si="20"/>
        <v>東京本部</v>
      </c>
      <c r="C54" s="35" t="str">
        <f t="shared" si="20"/>
        <v>そんぽの家　葛西</v>
      </c>
      <c r="D54" s="9" t="s">
        <v>5</v>
      </c>
      <c r="E54" s="10">
        <v>1</v>
      </c>
      <c r="F54" s="11">
        <v>10</v>
      </c>
      <c r="G54" s="12">
        <v>10</v>
      </c>
      <c r="H54" s="11">
        <v>0</v>
      </c>
      <c r="I54" s="12">
        <v>0</v>
      </c>
      <c r="J54" s="10">
        <v>10</v>
      </c>
      <c r="K54" s="38">
        <f t="shared" si="1"/>
        <v>4</v>
      </c>
      <c r="L54" s="28">
        <v>2</v>
      </c>
      <c r="M54" s="33">
        <f t="shared" si="2"/>
        <v>2</v>
      </c>
      <c r="N54" s="1">
        <v>2311221100</v>
      </c>
    </row>
    <row r="55" spans="1:14" ht="18" customHeight="1" x14ac:dyDescent="0.45">
      <c r="A55" s="8">
        <v>49</v>
      </c>
      <c r="B55" s="35" t="str">
        <f t="shared" si="20"/>
        <v>東京本部</v>
      </c>
      <c r="C55" s="35" t="str">
        <f t="shared" si="20"/>
        <v>そんぽの家　葛西</v>
      </c>
      <c r="D55" s="9" t="s">
        <v>6</v>
      </c>
      <c r="E55" s="10">
        <v>3</v>
      </c>
      <c r="F55" s="11">
        <v>0</v>
      </c>
      <c r="G55" s="12">
        <v>0</v>
      </c>
      <c r="H55" s="11">
        <v>0</v>
      </c>
      <c r="I55" s="12">
        <v>0</v>
      </c>
      <c r="J55" s="10">
        <v>0</v>
      </c>
      <c r="K55" s="38">
        <f t="shared" si="1"/>
        <v>4</v>
      </c>
      <c r="L55" s="28">
        <v>0</v>
      </c>
      <c r="M55" s="33">
        <f t="shared" si="2"/>
        <v>0</v>
      </c>
      <c r="N55" s="1">
        <v>2311221100</v>
      </c>
    </row>
    <row r="56" spans="1:14" ht="18" customHeight="1" x14ac:dyDescent="0.45">
      <c r="A56" s="8">
        <v>50</v>
      </c>
      <c r="B56" s="36" t="str">
        <f t="shared" si="20"/>
        <v>東京本部</v>
      </c>
      <c r="C56" s="36" t="str">
        <f t="shared" si="20"/>
        <v>そんぽの家　葛西</v>
      </c>
      <c r="D56" s="9" t="s">
        <v>2</v>
      </c>
      <c r="E56" s="10">
        <v>1</v>
      </c>
      <c r="F56" s="11">
        <v>0</v>
      </c>
      <c r="G56" s="12">
        <v>0</v>
      </c>
      <c r="H56" s="11">
        <v>0</v>
      </c>
      <c r="I56" s="12">
        <v>0</v>
      </c>
      <c r="J56" s="10">
        <v>0</v>
      </c>
      <c r="K56" s="39">
        <f t="shared" si="1"/>
        <v>4</v>
      </c>
      <c r="L56" s="28">
        <v>0</v>
      </c>
      <c r="M56" s="33">
        <f t="shared" si="2"/>
        <v>0</v>
      </c>
      <c r="N56" s="1">
        <v>2311221100</v>
      </c>
    </row>
    <row r="57" spans="1:14" ht="18" customHeight="1" x14ac:dyDescent="0.45">
      <c r="A57" s="13">
        <v>51</v>
      </c>
      <c r="B57" s="40" t="s">
        <v>8</v>
      </c>
      <c r="C57" s="40" t="s">
        <v>11</v>
      </c>
      <c r="D57" s="14" t="s">
        <v>3</v>
      </c>
      <c r="E57" s="15">
        <v>1</v>
      </c>
      <c r="F57" s="16">
        <v>6</v>
      </c>
      <c r="G57" s="17">
        <v>6</v>
      </c>
      <c r="H57" s="16">
        <v>0</v>
      </c>
      <c r="I57" s="17">
        <v>0</v>
      </c>
      <c r="J57" s="15">
        <v>6</v>
      </c>
      <c r="K57" s="43">
        <f t="shared" ref="K57" si="21">SUM(M57:M61)</f>
        <v>5</v>
      </c>
      <c r="L57" s="28">
        <v>1</v>
      </c>
      <c r="M57" s="33">
        <f t="shared" si="2"/>
        <v>1</v>
      </c>
      <c r="N57" s="1">
        <v>2311231100</v>
      </c>
    </row>
    <row r="58" spans="1:14" ht="18" customHeight="1" x14ac:dyDescent="0.45">
      <c r="A58" s="13">
        <v>52</v>
      </c>
      <c r="B58" s="41" t="str">
        <f t="shared" ref="B58:C61" si="22">B57</f>
        <v>東京本部</v>
      </c>
      <c r="C58" s="41" t="str">
        <f t="shared" si="22"/>
        <v>そんぽの家　錦糸町</v>
      </c>
      <c r="D58" s="14" t="s">
        <v>4</v>
      </c>
      <c r="E58" s="15">
        <v>1</v>
      </c>
      <c r="F58" s="16">
        <v>0</v>
      </c>
      <c r="G58" s="17">
        <v>0</v>
      </c>
      <c r="H58" s="16">
        <v>0</v>
      </c>
      <c r="I58" s="17">
        <v>0</v>
      </c>
      <c r="J58" s="15">
        <v>0</v>
      </c>
      <c r="K58" s="44">
        <f t="shared" si="1"/>
        <v>5</v>
      </c>
      <c r="L58" s="28">
        <v>0</v>
      </c>
      <c r="M58" s="33">
        <f t="shared" si="2"/>
        <v>0</v>
      </c>
      <c r="N58" s="1">
        <v>2311231100</v>
      </c>
    </row>
    <row r="59" spans="1:14" ht="18" customHeight="1" x14ac:dyDescent="0.45">
      <c r="A59" s="13">
        <v>53</v>
      </c>
      <c r="B59" s="41" t="str">
        <f t="shared" si="22"/>
        <v>東京本部</v>
      </c>
      <c r="C59" s="41" t="str">
        <f t="shared" si="22"/>
        <v>そんぽの家　錦糸町</v>
      </c>
      <c r="D59" s="14" t="s">
        <v>5</v>
      </c>
      <c r="E59" s="15">
        <v>2</v>
      </c>
      <c r="F59" s="16">
        <v>15</v>
      </c>
      <c r="G59" s="17">
        <v>7.5</v>
      </c>
      <c r="H59" s="16">
        <v>0</v>
      </c>
      <c r="I59" s="17">
        <v>0</v>
      </c>
      <c r="J59" s="15">
        <v>15</v>
      </c>
      <c r="K59" s="44">
        <f t="shared" si="1"/>
        <v>5</v>
      </c>
      <c r="L59" s="28">
        <v>2</v>
      </c>
      <c r="M59" s="33">
        <f t="shared" si="2"/>
        <v>2</v>
      </c>
      <c r="N59" s="1">
        <v>2311231100</v>
      </c>
    </row>
    <row r="60" spans="1:14" ht="18" customHeight="1" x14ac:dyDescent="0.45">
      <c r="A60" s="13">
        <v>54</v>
      </c>
      <c r="B60" s="41" t="str">
        <f t="shared" si="22"/>
        <v>東京本部</v>
      </c>
      <c r="C60" s="41" t="str">
        <f t="shared" si="22"/>
        <v>そんぽの家　錦糸町</v>
      </c>
      <c r="D60" s="14" t="s">
        <v>6</v>
      </c>
      <c r="E60" s="15">
        <v>3</v>
      </c>
      <c r="F60" s="16">
        <v>0</v>
      </c>
      <c r="G60" s="17">
        <v>0</v>
      </c>
      <c r="H60" s="16">
        <v>0</v>
      </c>
      <c r="I60" s="17">
        <v>0</v>
      </c>
      <c r="J60" s="15">
        <v>0</v>
      </c>
      <c r="K60" s="44">
        <f t="shared" si="1"/>
        <v>5</v>
      </c>
      <c r="L60" s="28">
        <v>0</v>
      </c>
      <c r="M60" s="33">
        <f t="shared" si="2"/>
        <v>0</v>
      </c>
      <c r="N60" s="1">
        <v>2311231100</v>
      </c>
    </row>
    <row r="61" spans="1:14" ht="18" customHeight="1" x14ac:dyDescent="0.45">
      <c r="A61" s="13">
        <v>55</v>
      </c>
      <c r="B61" s="42" t="str">
        <f t="shared" si="22"/>
        <v>東京本部</v>
      </c>
      <c r="C61" s="42" t="str">
        <f t="shared" si="22"/>
        <v>そんぽの家　錦糸町</v>
      </c>
      <c r="D61" s="14" t="s">
        <v>2</v>
      </c>
      <c r="E61" s="15">
        <v>2</v>
      </c>
      <c r="F61" s="16">
        <v>19</v>
      </c>
      <c r="G61" s="17">
        <v>9.5</v>
      </c>
      <c r="H61" s="16">
        <v>0</v>
      </c>
      <c r="I61" s="17">
        <v>0</v>
      </c>
      <c r="J61" s="15">
        <v>19</v>
      </c>
      <c r="K61" s="45">
        <f t="shared" si="1"/>
        <v>5</v>
      </c>
      <c r="L61" s="28">
        <v>2</v>
      </c>
      <c r="M61" s="33">
        <f t="shared" si="2"/>
        <v>2</v>
      </c>
      <c r="N61" s="1">
        <v>2311231100</v>
      </c>
    </row>
    <row r="62" spans="1:14" ht="18" customHeight="1" x14ac:dyDescent="0.45">
      <c r="A62" s="8">
        <v>56</v>
      </c>
      <c r="B62" s="34" t="s">
        <v>8</v>
      </c>
      <c r="C62" s="34" t="s">
        <v>12</v>
      </c>
      <c r="D62" s="9" t="s">
        <v>3</v>
      </c>
      <c r="E62" s="10">
        <v>1</v>
      </c>
      <c r="F62" s="11">
        <v>0</v>
      </c>
      <c r="G62" s="12">
        <v>0</v>
      </c>
      <c r="H62" s="11">
        <v>0</v>
      </c>
      <c r="I62" s="12">
        <v>0</v>
      </c>
      <c r="J62" s="10">
        <v>0</v>
      </c>
      <c r="K62" s="37">
        <f t="shared" ref="K62" si="23">SUM(M62:M66)</f>
        <v>3</v>
      </c>
      <c r="L62" s="28">
        <v>0</v>
      </c>
      <c r="M62" s="33">
        <f t="shared" si="2"/>
        <v>0</v>
      </c>
      <c r="N62" s="1">
        <v>2311281100</v>
      </c>
    </row>
    <row r="63" spans="1:14" ht="18" customHeight="1" x14ac:dyDescent="0.45">
      <c r="A63" s="8">
        <v>57</v>
      </c>
      <c r="B63" s="35" t="str">
        <f t="shared" ref="B63:C66" si="24">B62</f>
        <v>東京本部</v>
      </c>
      <c r="C63" s="35" t="str">
        <f t="shared" si="24"/>
        <v>そんぽの家　東砂</v>
      </c>
      <c r="D63" s="9" t="s">
        <v>4</v>
      </c>
      <c r="E63" s="10">
        <v>1</v>
      </c>
      <c r="F63" s="11">
        <v>1</v>
      </c>
      <c r="G63" s="12">
        <v>1</v>
      </c>
      <c r="H63" s="11">
        <v>1</v>
      </c>
      <c r="I63" s="12">
        <v>1</v>
      </c>
      <c r="J63" s="10">
        <v>2</v>
      </c>
      <c r="K63" s="38">
        <f t="shared" si="1"/>
        <v>3</v>
      </c>
      <c r="L63" s="28">
        <v>0</v>
      </c>
      <c r="M63" s="33">
        <f t="shared" si="2"/>
        <v>0</v>
      </c>
      <c r="N63" s="1">
        <v>2311281100</v>
      </c>
    </row>
    <row r="64" spans="1:14" ht="18" customHeight="1" x14ac:dyDescent="0.45">
      <c r="A64" s="8">
        <v>58</v>
      </c>
      <c r="B64" s="35" t="str">
        <f t="shared" si="24"/>
        <v>東京本部</v>
      </c>
      <c r="C64" s="35" t="str">
        <f t="shared" si="24"/>
        <v>そんぽの家　東砂</v>
      </c>
      <c r="D64" s="9" t="s">
        <v>5</v>
      </c>
      <c r="E64" s="10">
        <v>1</v>
      </c>
      <c r="F64" s="11">
        <v>15</v>
      </c>
      <c r="G64" s="12">
        <v>15</v>
      </c>
      <c r="H64" s="11">
        <v>0</v>
      </c>
      <c r="I64" s="12">
        <v>0</v>
      </c>
      <c r="J64" s="10">
        <v>15</v>
      </c>
      <c r="K64" s="38">
        <f t="shared" si="1"/>
        <v>3</v>
      </c>
      <c r="L64" s="28">
        <v>2</v>
      </c>
      <c r="M64" s="33">
        <f t="shared" si="2"/>
        <v>2</v>
      </c>
      <c r="N64" s="1">
        <v>2311281100</v>
      </c>
    </row>
    <row r="65" spans="1:14" ht="18" customHeight="1" x14ac:dyDescent="0.45">
      <c r="A65" s="8">
        <v>59</v>
      </c>
      <c r="B65" s="35" t="str">
        <f t="shared" si="24"/>
        <v>東京本部</v>
      </c>
      <c r="C65" s="35" t="str">
        <f t="shared" si="24"/>
        <v>そんぽの家　東砂</v>
      </c>
      <c r="D65" s="9" t="s">
        <v>6</v>
      </c>
      <c r="E65" s="10">
        <v>3</v>
      </c>
      <c r="F65" s="11">
        <v>3</v>
      </c>
      <c r="G65" s="12">
        <v>1</v>
      </c>
      <c r="H65" s="11">
        <v>0</v>
      </c>
      <c r="I65" s="12">
        <v>0</v>
      </c>
      <c r="J65" s="10">
        <v>3</v>
      </c>
      <c r="K65" s="38">
        <f t="shared" si="1"/>
        <v>3</v>
      </c>
      <c r="L65" s="28">
        <v>0</v>
      </c>
      <c r="M65" s="33">
        <f t="shared" si="2"/>
        <v>0</v>
      </c>
      <c r="N65" s="1">
        <v>2311281100</v>
      </c>
    </row>
    <row r="66" spans="1:14" ht="18" customHeight="1" x14ac:dyDescent="0.45">
      <c r="A66" s="8">
        <v>60</v>
      </c>
      <c r="B66" s="36" t="str">
        <f t="shared" si="24"/>
        <v>東京本部</v>
      </c>
      <c r="C66" s="36" t="str">
        <f t="shared" si="24"/>
        <v>そんぽの家　東砂</v>
      </c>
      <c r="D66" s="9" t="s">
        <v>2</v>
      </c>
      <c r="E66" s="10">
        <v>1</v>
      </c>
      <c r="F66" s="11">
        <v>4</v>
      </c>
      <c r="G66" s="12">
        <v>4</v>
      </c>
      <c r="H66" s="11">
        <v>0</v>
      </c>
      <c r="I66" s="12">
        <v>0</v>
      </c>
      <c r="J66" s="10">
        <v>4</v>
      </c>
      <c r="K66" s="39">
        <f t="shared" si="1"/>
        <v>3</v>
      </c>
      <c r="L66" s="28">
        <v>1</v>
      </c>
      <c r="M66" s="33">
        <f t="shared" si="2"/>
        <v>1</v>
      </c>
      <c r="N66" s="1">
        <v>2311281100</v>
      </c>
    </row>
    <row r="67" spans="1:14" ht="18" customHeight="1" x14ac:dyDescent="0.45">
      <c r="A67" s="13">
        <v>61</v>
      </c>
      <c r="B67" s="40" t="s">
        <v>8</v>
      </c>
      <c r="C67" s="40" t="s">
        <v>13</v>
      </c>
      <c r="D67" s="14" t="s">
        <v>3</v>
      </c>
      <c r="E67" s="15">
        <v>1</v>
      </c>
      <c r="F67" s="16">
        <v>7</v>
      </c>
      <c r="G67" s="17">
        <v>7</v>
      </c>
      <c r="H67" s="16">
        <v>4</v>
      </c>
      <c r="I67" s="17">
        <v>4</v>
      </c>
      <c r="J67" s="15">
        <v>11</v>
      </c>
      <c r="K67" s="43">
        <f t="shared" ref="K67" si="25">SUM(M67:M71)</f>
        <v>4</v>
      </c>
      <c r="L67" s="28">
        <v>2</v>
      </c>
      <c r="M67" s="33">
        <f t="shared" si="2"/>
        <v>2</v>
      </c>
      <c r="N67" s="1">
        <v>2311361100</v>
      </c>
    </row>
    <row r="68" spans="1:14" ht="18" customHeight="1" x14ac:dyDescent="0.45">
      <c r="A68" s="13">
        <v>62</v>
      </c>
      <c r="B68" s="41" t="str">
        <f t="shared" ref="B68:C71" si="26">B67</f>
        <v>東京本部</v>
      </c>
      <c r="C68" s="41" t="str">
        <f t="shared" si="26"/>
        <v>そんぽの家　竹ノ塚サンフラワー</v>
      </c>
      <c r="D68" s="14" t="s">
        <v>4</v>
      </c>
      <c r="E68" s="15">
        <v>1</v>
      </c>
      <c r="F68" s="16">
        <v>1</v>
      </c>
      <c r="G68" s="17">
        <v>1</v>
      </c>
      <c r="H68" s="16">
        <v>1</v>
      </c>
      <c r="I68" s="17">
        <v>1</v>
      </c>
      <c r="J68" s="15">
        <v>2</v>
      </c>
      <c r="K68" s="44">
        <f t="shared" si="1"/>
        <v>4</v>
      </c>
      <c r="L68" s="28">
        <v>0</v>
      </c>
      <c r="M68" s="33">
        <f t="shared" si="2"/>
        <v>0</v>
      </c>
      <c r="N68" s="1">
        <v>2311361100</v>
      </c>
    </row>
    <row r="69" spans="1:14" ht="18" customHeight="1" x14ac:dyDescent="0.45">
      <c r="A69" s="13">
        <v>63</v>
      </c>
      <c r="B69" s="41" t="str">
        <f t="shared" si="26"/>
        <v>東京本部</v>
      </c>
      <c r="C69" s="41" t="str">
        <f t="shared" si="26"/>
        <v>そんぽの家　竹ノ塚サンフラワー</v>
      </c>
      <c r="D69" s="14" t="s">
        <v>5</v>
      </c>
      <c r="E69" s="15">
        <v>2</v>
      </c>
      <c r="F69" s="16">
        <v>8</v>
      </c>
      <c r="G69" s="17">
        <v>4</v>
      </c>
      <c r="H69" s="16">
        <v>0</v>
      </c>
      <c r="I69" s="17">
        <v>0</v>
      </c>
      <c r="J69" s="15">
        <v>8</v>
      </c>
      <c r="K69" s="44">
        <f t="shared" si="1"/>
        <v>4</v>
      </c>
      <c r="L69" s="28">
        <v>2</v>
      </c>
      <c r="M69" s="33">
        <f t="shared" si="2"/>
        <v>2</v>
      </c>
      <c r="N69" s="1">
        <v>2311361100</v>
      </c>
    </row>
    <row r="70" spans="1:14" ht="18" customHeight="1" x14ac:dyDescent="0.45">
      <c r="A70" s="13">
        <v>64</v>
      </c>
      <c r="B70" s="41" t="str">
        <f t="shared" si="26"/>
        <v>東京本部</v>
      </c>
      <c r="C70" s="41" t="str">
        <f t="shared" si="26"/>
        <v>そんぽの家　竹ノ塚サンフラワー</v>
      </c>
      <c r="D70" s="14" t="s">
        <v>6</v>
      </c>
      <c r="E70" s="15">
        <v>2</v>
      </c>
      <c r="F70" s="16">
        <v>1</v>
      </c>
      <c r="G70" s="17">
        <v>0.5</v>
      </c>
      <c r="H70" s="16">
        <v>0</v>
      </c>
      <c r="I70" s="17">
        <v>0</v>
      </c>
      <c r="J70" s="15">
        <v>1</v>
      </c>
      <c r="K70" s="44">
        <f t="shared" si="1"/>
        <v>4</v>
      </c>
      <c r="L70" s="28">
        <v>0</v>
      </c>
      <c r="M70" s="33">
        <f t="shared" si="2"/>
        <v>0</v>
      </c>
      <c r="N70" s="1">
        <v>2311361100</v>
      </c>
    </row>
    <row r="71" spans="1:14" ht="18" customHeight="1" x14ac:dyDescent="0.45">
      <c r="A71" s="13">
        <v>65</v>
      </c>
      <c r="B71" s="42" t="str">
        <f t="shared" si="26"/>
        <v>東京本部</v>
      </c>
      <c r="C71" s="42" t="str">
        <f t="shared" si="26"/>
        <v>そんぽの家　竹ノ塚サンフラワー</v>
      </c>
      <c r="D71" s="14" t="s">
        <v>2</v>
      </c>
      <c r="E71" s="15">
        <v>1</v>
      </c>
      <c r="F71" s="16">
        <v>2</v>
      </c>
      <c r="G71" s="17">
        <v>2</v>
      </c>
      <c r="H71" s="16">
        <v>0</v>
      </c>
      <c r="I71" s="17">
        <v>0</v>
      </c>
      <c r="J71" s="15">
        <v>2</v>
      </c>
      <c r="K71" s="45">
        <f t="shared" si="1"/>
        <v>4</v>
      </c>
      <c r="L71" s="28">
        <v>0</v>
      </c>
      <c r="M71" s="33">
        <f t="shared" si="2"/>
        <v>0</v>
      </c>
      <c r="N71" s="1">
        <v>2311361100</v>
      </c>
    </row>
    <row r="72" spans="1:14" ht="18" customHeight="1" x14ac:dyDescent="0.45">
      <c r="A72" s="8">
        <v>66</v>
      </c>
      <c r="B72" s="34" t="s">
        <v>8</v>
      </c>
      <c r="C72" s="34" t="s">
        <v>198</v>
      </c>
      <c r="D72" s="9" t="s">
        <v>3</v>
      </c>
      <c r="E72" s="10">
        <v>1</v>
      </c>
      <c r="F72" s="11">
        <v>5</v>
      </c>
      <c r="G72" s="12">
        <v>5</v>
      </c>
      <c r="H72" s="11">
        <v>5</v>
      </c>
      <c r="I72" s="12">
        <v>5</v>
      </c>
      <c r="J72" s="10">
        <v>10</v>
      </c>
      <c r="K72" s="37">
        <f t="shared" ref="K72" si="27">SUM(M72:M76)</f>
        <v>8</v>
      </c>
      <c r="L72" s="28">
        <v>2</v>
      </c>
      <c r="M72" s="33">
        <f t="shared" ref="M72:M135" si="28">L72</f>
        <v>2</v>
      </c>
      <c r="N72" s="1">
        <v>2311431100</v>
      </c>
    </row>
    <row r="73" spans="1:14" ht="18" customHeight="1" x14ac:dyDescent="0.45">
      <c r="A73" s="8">
        <v>67</v>
      </c>
      <c r="B73" s="35" t="str">
        <f t="shared" ref="B73:C76" si="29">B72</f>
        <v>東京本部</v>
      </c>
      <c r="C73" s="35" t="str">
        <f t="shared" si="29"/>
        <v>ラヴィーレ錦糸町</v>
      </c>
      <c r="D73" s="9" t="s">
        <v>4</v>
      </c>
      <c r="E73" s="10">
        <v>1</v>
      </c>
      <c r="F73" s="11">
        <v>9</v>
      </c>
      <c r="G73" s="12">
        <v>9</v>
      </c>
      <c r="H73" s="11">
        <v>9</v>
      </c>
      <c r="I73" s="12">
        <v>9</v>
      </c>
      <c r="J73" s="10">
        <v>18</v>
      </c>
      <c r="K73" s="38">
        <f t="shared" ref="K73:K136" si="30">K72</f>
        <v>8</v>
      </c>
      <c r="L73" s="28">
        <v>2</v>
      </c>
      <c r="M73" s="33">
        <f t="shared" si="28"/>
        <v>2</v>
      </c>
      <c r="N73" s="1">
        <v>2311431100</v>
      </c>
    </row>
    <row r="74" spans="1:14" ht="18" customHeight="1" x14ac:dyDescent="0.45">
      <c r="A74" s="8">
        <v>68</v>
      </c>
      <c r="B74" s="35" t="str">
        <f t="shared" si="29"/>
        <v>東京本部</v>
      </c>
      <c r="C74" s="35" t="str">
        <f t="shared" si="29"/>
        <v>ラヴィーレ錦糸町</v>
      </c>
      <c r="D74" s="9" t="s">
        <v>5</v>
      </c>
      <c r="E74" s="10">
        <v>2</v>
      </c>
      <c r="F74" s="11">
        <v>23</v>
      </c>
      <c r="G74" s="12">
        <v>11.5</v>
      </c>
      <c r="H74" s="11">
        <v>0</v>
      </c>
      <c r="I74" s="12">
        <v>0</v>
      </c>
      <c r="J74" s="10">
        <v>23</v>
      </c>
      <c r="K74" s="38">
        <f t="shared" si="30"/>
        <v>8</v>
      </c>
      <c r="L74" s="28">
        <v>2</v>
      </c>
      <c r="M74" s="33">
        <f t="shared" si="28"/>
        <v>2</v>
      </c>
      <c r="N74" s="1">
        <v>2311431100</v>
      </c>
    </row>
    <row r="75" spans="1:14" ht="18" customHeight="1" x14ac:dyDescent="0.45">
      <c r="A75" s="8">
        <v>69</v>
      </c>
      <c r="B75" s="35" t="str">
        <f t="shared" si="29"/>
        <v>東京本部</v>
      </c>
      <c r="C75" s="35" t="str">
        <f t="shared" si="29"/>
        <v>ラヴィーレ錦糸町</v>
      </c>
      <c r="D75" s="9" t="s">
        <v>6</v>
      </c>
      <c r="E75" s="10">
        <v>11</v>
      </c>
      <c r="F75" s="11">
        <v>0</v>
      </c>
      <c r="G75" s="12">
        <v>0</v>
      </c>
      <c r="H75" s="11">
        <v>0</v>
      </c>
      <c r="I75" s="12">
        <v>0</v>
      </c>
      <c r="J75" s="10">
        <v>0</v>
      </c>
      <c r="K75" s="38">
        <f t="shared" si="30"/>
        <v>8</v>
      </c>
      <c r="L75" s="28">
        <v>0</v>
      </c>
      <c r="M75" s="33">
        <f t="shared" si="28"/>
        <v>0</v>
      </c>
      <c r="N75" s="1">
        <v>2311431100</v>
      </c>
    </row>
    <row r="76" spans="1:14" ht="18" customHeight="1" x14ac:dyDescent="0.45">
      <c r="A76" s="8">
        <v>70</v>
      </c>
      <c r="B76" s="36" t="str">
        <f t="shared" si="29"/>
        <v>東京本部</v>
      </c>
      <c r="C76" s="36" t="str">
        <f t="shared" si="29"/>
        <v>ラヴィーレ錦糸町</v>
      </c>
      <c r="D76" s="9" t="s">
        <v>2</v>
      </c>
      <c r="E76" s="10">
        <v>1</v>
      </c>
      <c r="F76" s="11">
        <v>13</v>
      </c>
      <c r="G76" s="12">
        <v>13</v>
      </c>
      <c r="H76" s="11">
        <v>0</v>
      </c>
      <c r="I76" s="12">
        <v>0</v>
      </c>
      <c r="J76" s="10">
        <v>13</v>
      </c>
      <c r="K76" s="39">
        <f t="shared" si="30"/>
        <v>8</v>
      </c>
      <c r="L76" s="28">
        <v>2</v>
      </c>
      <c r="M76" s="33">
        <f t="shared" si="28"/>
        <v>2</v>
      </c>
      <c r="N76" s="1">
        <v>2311431100</v>
      </c>
    </row>
    <row r="77" spans="1:14" ht="18" customHeight="1" x14ac:dyDescent="0.45">
      <c r="A77" s="13">
        <v>71</v>
      </c>
      <c r="B77" s="40" t="s">
        <v>8</v>
      </c>
      <c r="C77" s="40" t="s">
        <v>14</v>
      </c>
      <c r="D77" s="14" t="s">
        <v>3</v>
      </c>
      <c r="E77" s="15">
        <v>1</v>
      </c>
      <c r="F77" s="16">
        <v>3</v>
      </c>
      <c r="G77" s="17">
        <v>3</v>
      </c>
      <c r="H77" s="16">
        <v>0</v>
      </c>
      <c r="I77" s="17">
        <v>0</v>
      </c>
      <c r="J77" s="15">
        <v>3</v>
      </c>
      <c r="K77" s="43">
        <f t="shared" ref="K77" si="31">SUM(M77:M81)</f>
        <v>5</v>
      </c>
      <c r="L77" s="28">
        <v>0</v>
      </c>
      <c r="M77" s="33">
        <f t="shared" si="28"/>
        <v>0</v>
      </c>
      <c r="N77" s="1">
        <v>2311491100</v>
      </c>
    </row>
    <row r="78" spans="1:14" ht="18" customHeight="1" x14ac:dyDescent="0.45">
      <c r="A78" s="13">
        <v>72</v>
      </c>
      <c r="B78" s="41" t="str">
        <f t="shared" ref="B78:C81" si="32">B77</f>
        <v>東京本部</v>
      </c>
      <c r="C78" s="41" t="str">
        <f t="shared" si="32"/>
        <v>そんぽの家　隅田公園</v>
      </c>
      <c r="D78" s="14" t="s">
        <v>4</v>
      </c>
      <c r="E78" s="15">
        <v>3</v>
      </c>
      <c r="F78" s="16">
        <v>5</v>
      </c>
      <c r="G78" s="17">
        <v>1.7</v>
      </c>
      <c r="H78" s="16">
        <v>0</v>
      </c>
      <c r="I78" s="17">
        <v>0</v>
      </c>
      <c r="J78" s="15">
        <v>5</v>
      </c>
      <c r="K78" s="44">
        <f t="shared" si="30"/>
        <v>5</v>
      </c>
      <c r="L78" s="28">
        <v>1</v>
      </c>
      <c r="M78" s="33">
        <f t="shared" si="28"/>
        <v>1</v>
      </c>
      <c r="N78" s="1">
        <v>2311491100</v>
      </c>
    </row>
    <row r="79" spans="1:14" ht="18" customHeight="1" x14ac:dyDescent="0.45">
      <c r="A79" s="13">
        <v>73</v>
      </c>
      <c r="B79" s="41" t="str">
        <f t="shared" si="32"/>
        <v>東京本部</v>
      </c>
      <c r="C79" s="41" t="str">
        <f t="shared" si="32"/>
        <v>そんぽの家　隅田公園</v>
      </c>
      <c r="D79" s="14" t="s">
        <v>5</v>
      </c>
      <c r="E79" s="15">
        <v>3</v>
      </c>
      <c r="F79" s="16">
        <v>10</v>
      </c>
      <c r="G79" s="17">
        <v>3.3</v>
      </c>
      <c r="H79" s="16">
        <v>0</v>
      </c>
      <c r="I79" s="17">
        <v>0</v>
      </c>
      <c r="J79" s="15">
        <v>10</v>
      </c>
      <c r="K79" s="44">
        <f t="shared" si="30"/>
        <v>5</v>
      </c>
      <c r="L79" s="28">
        <v>2</v>
      </c>
      <c r="M79" s="33">
        <f t="shared" si="28"/>
        <v>2</v>
      </c>
      <c r="N79" s="1">
        <v>2311491100</v>
      </c>
    </row>
    <row r="80" spans="1:14" ht="18" customHeight="1" x14ac:dyDescent="0.45">
      <c r="A80" s="13">
        <v>74</v>
      </c>
      <c r="B80" s="41" t="str">
        <f t="shared" si="32"/>
        <v>東京本部</v>
      </c>
      <c r="C80" s="41" t="str">
        <f t="shared" si="32"/>
        <v>そんぽの家　隅田公園</v>
      </c>
      <c r="D80" s="14" t="s">
        <v>6</v>
      </c>
      <c r="E80" s="15">
        <v>5</v>
      </c>
      <c r="F80" s="16">
        <v>0</v>
      </c>
      <c r="G80" s="17">
        <v>0</v>
      </c>
      <c r="H80" s="16">
        <v>0</v>
      </c>
      <c r="I80" s="17">
        <v>0</v>
      </c>
      <c r="J80" s="15">
        <v>0</v>
      </c>
      <c r="K80" s="44">
        <f t="shared" si="30"/>
        <v>5</v>
      </c>
      <c r="L80" s="28">
        <v>0</v>
      </c>
      <c r="M80" s="33">
        <f t="shared" si="28"/>
        <v>0</v>
      </c>
      <c r="N80" s="1">
        <v>2311491100</v>
      </c>
    </row>
    <row r="81" spans="1:14" ht="18" customHeight="1" x14ac:dyDescent="0.45">
      <c r="A81" s="13">
        <v>75</v>
      </c>
      <c r="B81" s="42" t="str">
        <f t="shared" si="32"/>
        <v>東京本部</v>
      </c>
      <c r="C81" s="42" t="str">
        <f t="shared" si="32"/>
        <v>そんぽの家　隅田公園</v>
      </c>
      <c r="D81" s="14" t="s">
        <v>2</v>
      </c>
      <c r="E81" s="15">
        <v>4</v>
      </c>
      <c r="F81" s="16">
        <v>21</v>
      </c>
      <c r="G81" s="17">
        <v>5.3</v>
      </c>
      <c r="H81" s="16">
        <v>0</v>
      </c>
      <c r="I81" s="17">
        <v>0</v>
      </c>
      <c r="J81" s="15">
        <v>21</v>
      </c>
      <c r="K81" s="45">
        <f t="shared" si="30"/>
        <v>5</v>
      </c>
      <c r="L81" s="28">
        <v>2</v>
      </c>
      <c r="M81" s="33">
        <f t="shared" si="28"/>
        <v>2</v>
      </c>
      <c r="N81" s="1">
        <v>2311491100</v>
      </c>
    </row>
    <row r="82" spans="1:14" ht="18" customHeight="1" x14ac:dyDescent="0.45">
      <c r="A82" s="8">
        <v>76</v>
      </c>
      <c r="B82" s="34" t="s">
        <v>8</v>
      </c>
      <c r="C82" s="34" t="s">
        <v>199</v>
      </c>
      <c r="D82" s="9" t="s">
        <v>3</v>
      </c>
      <c r="E82" s="10">
        <v>1</v>
      </c>
      <c r="F82" s="11">
        <v>0</v>
      </c>
      <c r="G82" s="12">
        <v>0</v>
      </c>
      <c r="H82" s="11">
        <v>0</v>
      </c>
      <c r="I82" s="12">
        <v>0</v>
      </c>
      <c r="J82" s="10">
        <v>0</v>
      </c>
      <c r="K82" s="37">
        <f t="shared" ref="K82" si="33">SUM(M82:M86)</f>
        <v>6</v>
      </c>
      <c r="L82" s="28">
        <v>0</v>
      </c>
      <c r="M82" s="33">
        <f t="shared" si="28"/>
        <v>0</v>
      </c>
      <c r="N82" s="1">
        <v>2311531100</v>
      </c>
    </row>
    <row r="83" spans="1:14" ht="18" customHeight="1" x14ac:dyDescent="0.45">
      <c r="A83" s="8">
        <v>77</v>
      </c>
      <c r="B83" s="35" t="str">
        <f t="shared" ref="B83:C86" si="34">B82</f>
        <v>東京本部</v>
      </c>
      <c r="C83" s="35" t="str">
        <f t="shared" si="34"/>
        <v>ラヴィーレ羽田</v>
      </c>
      <c r="D83" s="9" t="s">
        <v>4</v>
      </c>
      <c r="E83" s="10">
        <v>2</v>
      </c>
      <c r="F83" s="11">
        <v>21</v>
      </c>
      <c r="G83" s="12">
        <v>10.5</v>
      </c>
      <c r="H83" s="11">
        <v>0</v>
      </c>
      <c r="I83" s="12">
        <v>0</v>
      </c>
      <c r="J83" s="10">
        <v>21</v>
      </c>
      <c r="K83" s="38">
        <f t="shared" si="30"/>
        <v>6</v>
      </c>
      <c r="L83" s="28">
        <v>2</v>
      </c>
      <c r="M83" s="33">
        <f t="shared" si="28"/>
        <v>2</v>
      </c>
      <c r="N83" s="1">
        <v>2311531100</v>
      </c>
    </row>
    <row r="84" spans="1:14" ht="18" customHeight="1" x14ac:dyDescent="0.45">
      <c r="A84" s="8">
        <v>78</v>
      </c>
      <c r="B84" s="35" t="str">
        <f t="shared" si="34"/>
        <v>東京本部</v>
      </c>
      <c r="C84" s="35" t="str">
        <f t="shared" si="34"/>
        <v>ラヴィーレ羽田</v>
      </c>
      <c r="D84" s="9" t="s">
        <v>5</v>
      </c>
      <c r="E84" s="10">
        <v>2</v>
      </c>
      <c r="F84" s="11">
        <v>38</v>
      </c>
      <c r="G84" s="12">
        <v>19</v>
      </c>
      <c r="H84" s="11">
        <v>0</v>
      </c>
      <c r="I84" s="12">
        <v>0</v>
      </c>
      <c r="J84" s="10">
        <v>38</v>
      </c>
      <c r="K84" s="38">
        <f t="shared" si="30"/>
        <v>6</v>
      </c>
      <c r="L84" s="28">
        <v>2</v>
      </c>
      <c r="M84" s="33">
        <f t="shared" si="28"/>
        <v>2</v>
      </c>
      <c r="N84" s="1">
        <v>2311531100</v>
      </c>
    </row>
    <row r="85" spans="1:14" ht="18" customHeight="1" x14ac:dyDescent="0.45">
      <c r="A85" s="8">
        <v>79</v>
      </c>
      <c r="B85" s="35" t="str">
        <f t="shared" si="34"/>
        <v>東京本部</v>
      </c>
      <c r="C85" s="35" t="str">
        <f t="shared" si="34"/>
        <v>ラヴィーレ羽田</v>
      </c>
      <c r="D85" s="9" t="s">
        <v>6</v>
      </c>
      <c r="E85" s="10">
        <v>5</v>
      </c>
      <c r="F85" s="11">
        <v>0</v>
      </c>
      <c r="G85" s="12">
        <v>0</v>
      </c>
      <c r="H85" s="11">
        <v>0</v>
      </c>
      <c r="I85" s="12">
        <v>0</v>
      </c>
      <c r="J85" s="10">
        <v>0</v>
      </c>
      <c r="K85" s="38">
        <f t="shared" si="30"/>
        <v>6</v>
      </c>
      <c r="L85" s="28">
        <v>0</v>
      </c>
      <c r="M85" s="33">
        <f t="shared" si="28"/>
        <v>0</v>
      </c>
      <c r="N85" s="1">
        <v>2311531100</v>
      </c>
    </row>
    <row r="86" spans="1:14" ht="18" customHeight="1" x14ac:dyDescent="0.45">
      <c r="A86" s="8">
        <v>80</v>
      </c>
      <c r="B86" s="36" t="str">
        <f t="shared" si="34"/>
        <v>東京本部</v>
      </c>
      <c r="C86" s="36" t="str">
        <f t="shared" si="34"/>
        <v>ラヴィーレ羽田</v>
      </c>
      <c r="D86" s="9" t="s">
        <v>2</v>
      </c>
      <c r="E86" s="10">
        <v>2</v>
      </c>
      <c r="F86" s="11">
        <v>11</v>
      </c>
      <c r="G86" s="12">
        <v>5.5</v>
      </c>
      <c r="H86" s="11">
        <v>0</v>
      </c>
      <c r="I86" s="12">
        <v>0</v>
      </c>
      <c r="J86" s="10">
        <v>11</v>
      </c>
      <c r="K86" s="39">
        <f t="shared" si="30"/>
        <v>6</v>
      </c>
      <c r="L86" s="28">
        <v>2</v>
      </c>
      <c r="M86" s="33">
        <f t="shared" si="28"/>
        <v>2</v>
      </c>
      <c r="N86" s="1">
        <v>2311531100</v>
      </c>
    </row>
    <row r="87" spans="1:14" ht="18" customHeight="1" x14ac:dyDescent="0.45">
      <c r="A87" s="13">
        <v>81</v>
      </c>
      <c r="B87" s="40" t="s">
        <v>8</v>
      </c>
      <c r="C87" s="40" t="s">
        <v>15</v>
      </c>
      <c r="D87" s="14" t="s">
        <v>3</v>
      </c>
      <c r="E87" s="15">
        <v>1</v>
      </c>
      <c r="F87" s="16">
        <v>3</v>
      </c>
      <c r="G87" s="17">
        <v>3</v>
      </c>
      <c r="H87" s="16">
        <v>1</v>
      </c>
      <c r="I87" s="17">
        <v>1</v>
      </c>
      <c r="J87" s="15">
        <v>4</v>
      </c>
      <c r="K87" s="43">
        <f t="shared" ref="K87" si="35">SUM(M87:M91)</f>
        <v>1</v>
      </c>
      <c r="L87" s="28">
        <v>1</v>
      </c>
      <c r="M87" s="33">
        <f t="shared" si="28"/>
        <v>1</v>
      </c>
      <c r="N87" s="1">
        <v>2311551100</v>
      </c>
    </row>
    <row r="88" spans="1:14" ht="18" customHeight="1" x14ac:dyDescent="0.45">
      <c r="A88" s="13">
        <v>82</v>
      </c>
      <c r="B88" s="41" t="str">
        <f t="shared" ref="B88:C91" si="36">B87</f>
        <v>東京本部</v>
      </c>
      <c r="C88" s="41" t="str">
        <f t="shared" si="36"/>
        <v>そんぽの家　大鳥居</v>
      </c>
      <c r="D88" s="14" t="s">
        <v>4</v>
      </c>
      <c r="E88" s="15">
        <v>1</v>
      </c>
      <c r="F88" s="16">
        <v>3</v>
      </c>
      <c r="G88" s="17">
        <v>3</v>
      </c>
      <c r="H88" s="16">
        <v>0</v>
      </c>
      <c r="I88" s="17">
        <v>0</v>
      </c>
      <c r="J88" s="15">
        <v>3</v>
      </c>
      <c r="K88" s="44">
        <f t="shared" si="30"/>
        <v>1</v>
      </c>
      <c r="L88" s="28">
        <v>0</v>
      </c>
      <c r="M88" s="33">
        <f t="shared" si="28"/>
        <v>0</v>
      </c>
      <c r="N88" s="1">
        <v>2311551100</v>
      </c>
    </row>
    <row r="89" spans="1:14" ht="18" customHeight="1" x14ac:dyDescent="0.45">
      <c r="A89" s="13">
        <v>83</v>
      </c>
      <c r="B89" s="41" t="str">
        <f t="shared" si="36"/>
        <v>東京本部</v>
      </c>
      <c r="C89" s="41" t="str">
        <f t="shared" si="36"/>
        <v>そんぽの家　大鳥居</v>
      </c>
      <c r="D89" s="14" t="s">
        <v>5</v>
      </c>
      <c r="E89" s="15">
        <v>1</v>
      </c>
      <c r="F89" s="16">
        <v>0</v>
      </c>
      <c r="G89" s="17">
        <v>0</v>
      </c>
      <c r="H89" s="16">
        <v>0</v>
      </c>
      <c r="I89" s="17">
        <v>0</v>
      </c>
      <c r="J89" s="15">
        <v>0</v>
      </c>
      <c r="K89" s="44">
        <f t="shared" si="30"/>
        <v>1</v>
      </c>
      <c r="L89" s="28">
        <v>0</v>
      </c>
      <c r="M89" s="33">
        <f t="shared" si="28"/>
        <v>0</v>
      </c>
      <c r="N89" s="1">
        <v>2311551100</v>
      </c>
    </row>
    <row r="90" spans="1:14" ht="18" customHeight="1" x14ac:dyDescent="0.45">
      <c r="A90" s="13">
        <v>84</v>
      </c>
      <c r="B90" s="41" t="str">
        <f t="shared" si="36"/>
        <v>東京本部</v>
      </c>
      <c r="C90" s="41" t="str">
        <f t="shared" si="36"/>
        <v>そんぽの家　大鳥居</v>
      </c>
      <c r="D90" s="14" t="s">
        <v>6</v>
      </c>
      <c r="E90" s="15">
        <v>4</v>
      </c>
      <c r="F90" s="16">
        <v>0</v>
      </c>
      <c r="G90" s="17">
        <v>0</v>
      </c>
      <c r="H90" s="16">
        <v>0</v>
      </c>
      <c r="I90" s="17">
        <v>0</v>
      </c>
      <c r="J90" s="15">
        <v>0</v>
      </c>
      <c r="K90" s="44">
        <f t="shared" si="30"/>
        <v>1</v>
      </c>
      <c r="L90" s="28">
        <v>0</v>
      </c>
      <c r="M90" s="33">
        <f t="shared" si="28"/>
        <v>0</v>
      </c>
      <c r="N90" s="1">
        <v>2311551100</v>
      </c>
    </row>
    <row r="91" spans="1:14" ht="18" customHeight="1" x14ac:dyDescent="0.45">
      <c r="A91" s="13">
        <v>85</v>
      </c>
      <c r="B91" s="42" t="str">
        <f t="shared" si="36"/>
        <v>東京本部</v>
      </c>
      <c r="C91" s="42" t="str">
        <f t="shared" si="36"/>
        <v>そんぽの家　大鳥居</v>
      </c>
      <c r="D91" s="14" t="s">
        <v>2</v>
      </c>
      <c r="E91" s="15">
        <v>2</v>
      </c>
      <c r="F91" s="16">
        <v>0</v>
      </c>
      <c r="G91" s="17">
        <v>0</v>
      </c>
      <c r="H91" s="16">
        <v>0</v>
      </c>
      <c r="I91" s="17">
        <v>0</v>
      </c>
      <c r="J91" s="15">
        <v>0</v>
      </c>
      <c r="K91" s="45">
        <f t="shared" si="30"/>
        <v>1</v>
      </c>
      <c r="L91" s="28">
        <v>0</v>
      </c>
      <c r="M91" s="33">
        <f t="shared" si="28"/>
        <v>0</v>
      </c>
      <c r="N91" s="1">
        <v>2311551100</v>
      </c>
    </row>
    <row r="92" spans="1:14" ht="18" customHeight="1" x14ac:dyDescent="0.45">
      <c r="A92" s="8">
        <v>86</v>
      </c>
      <c r="B92" s="34" t="s">
        <v>8</v>
      </c>
      <c r="C92" s="34" t="s">
        <v>16</v>
      </c>
      <c r="D92" s="9" t="s">
        <v>3</v>
      </c>
      <c r="E92" s="10">
        <v>1</v>
      </c>
      <c r="F92" s="11">
        <v>4</v>
      </c>
      <c r="G92" s="12">
        <v>4</v>
      </c>
      <c r="H92" s="11">
        <v>3</v>
      </c>
      <c r="I92" s="12">
        <v>3</v>
      </c>
      <c r="J92" s="10">
        <v>7</v>
      </c>
      <c r="K92" s="37">
        <f t="shared" ref="K92" si="37">SUM(M92:M96)</f>
        <v>4</v>
      </c>
      <c r="L92" s="28">
        <v>1</v>
      </c>
      <c r="M92" s="33">
        <f t="shared" si="28"/>
        <v>1</v>
      </c>
      <c r="N92" s="1">
        <v>2311661100</v>
      </c>
    </row>
    <row r="93" spans="1:14" ht="18" customHeight="1" x14ac:dyDescent="0.45">
      <c r="A93" s="8">
        <v>87</v>
      </c>
      <c r="B93" s="35" t="str">
        <f t="shared" ref="B93:C96" si="38">B92</f>
        <v>東京本部</v>
      </c>
      <c r="C93" s="35" t="str">
        <f t="shared" si="38"/>
        <v>そんぽの家　東六郷</v>
      </c>
      <c r="D93" s="9" t="s">
        <v>4</v>
      </c>
      <c r="E93" s="10">
        <v>1</v>
      </c>
      <c r="F93" s="11">
        <v>1</v>
      </c>
      <c r="G93" s="12">
        <v>1</v>
      </c>
      <c r="H93" s="11">
        <v>0</v>
      </c>
      <c r="I93" s="12">
        <v>0</v>
      </c>
      <c r="J93" s="10">
        <v>1</v>
      </c>
      <c r="K93" s="38">
        <f t="shared" si="30"/>
        <v>4</v>
      </c>
      <c r="L93" s="28">
        <v>0</v>
      </c>
      <c r="M93" s="33">
        <f t="shared" si="28"/>
        <v>0</v>
      </c>
      <c r="N93" s="1">
        <v>2311661100</v>
      </c>
    </row>
    <row r="94" spans="1:14" ht="18" customHeight="1" x14ac:dyDescent="0.45">
      <c r="A94" s="8">
        <v>88</v>
      </c>
      <c r="B94" s="35" t="str">
        <f t="shared" si="38"/>
        <v>東京本部</v>
      </c>
      <c r="C94" s="35" t="str">
        <f t="shared" si="38"/>
        <v>そんぽの家　東六郷</v>
      </c>
      <c r="D94" s="9" t="s">
        <v>5</v>
      </c>
      <c r="E94" s="10">
        <v>1</v>
      </c>
      <c r="F94" s="11">
        <v>18</v>
      </c>
      <c r="G94" s="12">
        <v>18</v>
      </c>
      <c r="H94" s="11">
        <v>0</v>
      </c>
      <c r="I94" s="12">
        <v>0</v>
      </c>
      <c r="J94" s="10">
        <v>18</v>
      </c>
      <c r="K94" s="38">
        <f t="shared" si="30"/>
        <v>4</v>
      </c>
      <c r="L94" s="28">
        <v>2</v>
      </c>
      <c r="M94" s="33">
        <f t="shared" si="28"/>
        <v>2</v>
      </c>
      <c r="N94" s="1">
        <v>2311661100</v>
      </c>
    </row>
    <row r="95" spans="1:14" ht="18" customHeight="1" x14ac:dyDescent="0.45">
      <c r="A95" s="8">
        <v>89</v>
      </c>
      <c r="B95" s="35" t="str">
        <f t="shared" si="38"/>
        <v>東京本部</v>
      </c>
      <c r="C95" s="35" t="str">
        <f t="shared" si="38"/>
        <v>そんぽの家　東六郷</v>
      </c>
      <c r="D95" s="9" t="s">
        <v>6</v>
      </c>
      <c r="E95" s="10">
        <v>3</v>
      </c>
      <c r="F95" s="11">
        <v>5</v>
      </c>
      <c r="G95" s="12">
        <v>1.7</v>
      </c>
      <c r="H95" s="11">
        <v>0</v>
      </c>
      <c r="I95" s="12">
        <v>0</v>
      </c>
      <c r="J95" s="10">
        <v>5</v>
      </c>
      <c r="K95" s="38">
        <f t="shared" si="30"/>
        <v>4</v>
      </c>
      <c r="L95" s="28">
        <v>1</v>
      </c>
      <c r="M95" s="33">
        <f t="shared" si="28"/>
        <v>1</v>
      </c>
      <c r="N95" s="1">
        <v>2311661100</v>
      </c>
    </row>
    <row r="96" spans="1:14" ht="18" customHeight="1" x14ac:dyDescent="0.45">
      <c r="A96" s="8">
        <v>90</v>
      </c>
      <c r="B96" s="36" t="str">
        <f t="shared" si="38"/>
        <v>東京本部</v>
      </c>
      <c r="C96" s="36" t="str">
        <f t="shared" si="38"/>
        <v>そんぽの家　東六郷</v>
      </c>
      <c r="D96" s="9" t="s">
        <v>2</v>
      </c>
      <c r="E96" s="10">
        <v>1</v>
      </c>
      <c r="F96" s="11">
        <v>0</v>
      </c>
      <c r="G96" s="12">
        <v>0</v>
      </c>
      <c r="H96" s="11">
        <v>0</v>
      </c>
      <c r="I96" s="12">
        <v>0</v>
      </c>
      <c r="J96" s="10">
        <v>0</v>
      </c>
      <c r="K96" s="39">
        <f t="shared" si="30"/>
        <v>4</v>
      </c>
      <c r="L96" s="28">
        <v>0</v>
      </c>
      <c r="M96" s="33">
        <f t="shared" si="28"/>
        <v>0</v>
      </c>
      <c r="N96" s="1">
        <v>2311661100</v>
      </c>
    </row>
    <row r="97" spans="1:14" ht="18" customHeight="1" x14ac:dyDescent="0.45">
      <c r="A97" s="13">
        <v>91</v>
      </c>
      <c r="B97" s="40" t="s">
        <v>8</v>
      </c>
      <c r="C97" s="40" t="s">
        <v>200</v>
      </c>
      <c r="D97" s="14" t="s">
        <v>3</v>
      </c>
      <c r="E97" s="15">
        <v>1</v>
      </c>
      <c r="F97" s="16">
        <v>2</v>
      </c>
      <c r="G97" s="17">
        <v>2</v>
      </c>
      <c r="H97" s="16">
        <v>0</v>
      </c>
      <c r="I97" s="17">
        <v>0</v>
      </c>
      <c r="J97" s="15">
        <v>2</v>
      </c>
      <c r="K97" s="43">
        <f t="shared" ref="K97" si="39">SUM(M97:M101)</f>
        <v>6</v>
      </c>
      <c r="L97" s="28">
        <v>0</v>
      </c>
      <c r="M97" s="33">
        <f t="shared" si="28"/>
        <v>0</v>
      </c>
      <c r="N97" s="1">
        <v>2311691100</v>
      </c>
    </row>
    <row r="98" spans="1:14" ht="18" customHeight="1" x14ac:dyDescent="0.45">
      <c r="A98" s="13">
        <v>92</v>
      </c>
      <c r="B98" s="41" t="str">
        <f t="shared" ref="B98:C101" si="40">B97</f>
        <v>東京本部</v>
      </c>
      <c r="C98" s="41" t="str">
        <f t="shared" si="40"/>
        <v>ラヴィーレ多摩川</v>
      </c>
      <c r="D98" s="14" t="s">
        <v>4</v>
      </c>
      <c r="E98" s="15">
        <v>2</v>
      </c>
      <c r="F98" s="16">
        <v>10</v>
      </c>
      <c r="G98" s="17">
        <v>5</v>
      </c>
      <c r="H98" s="16">
        <v>0</v>
      </c>
      <c r="I98" s="17">
        <v>0</v>
      </c>
      <c r="J98" s="15">
        <v>10</v>
      </c>
      <c r="K98" s="44">
        <f t="shared" si="30"/>
        <v>6</v>
      </c>
      <c r="L98" s="28">
        <v>2</v>
      </c>
      <c r="M98" s="33">
        <f t="shared" si="28"/>
        <v>2</v>
      </c>
      <c r="N98" s="1">
        <v>2311691100</v>
      </c>
    </row>
    <row r="99" spans="1:14" ht="18" customHeight="1" x14ac:dyDescent="0.45">
      <c r="A99" s="13">
        <v>93</v>
      </c>
      <c r="B99" s="41" t="str">
        <f t="shared" si="40"/>
        <v>東京本部</v>
      </c>
      <c r="C99" s="41" t="str">
        <f t="shared" si="40"/>
        <v>ラヴィーレ多摩川</v>
      </c>
      <c r="D99" s="14" t="s">
        <v>5</v>
      </c>
      <c r="E99" s="15">
        <v>2</v>
      </c>
      <c r="F99" s="16">
        <v>62</v>
      </c>
      <c r="G99" s="17">
        <v>31</v>
      </c>
      <c r="H99" s="16">
        <v>0</v>
      </c>
      <c r="I99" s="17">
        <v>0</v>
      </c>
      <c r="J99" s="15">
        <v>62</v>
      </c>
      <c r="K99" s="44">
        <f t="shared" si="30"/>
        <v>6</v>
      </c>
      <c r="L99" s="28">
        <v>2</v>
      </c>
      <c r="M99" s="33">
        <f t="shared" si="28"/>
        <v>2</v>
      </c>
      <c r="N99" s="1">
        <v>2311691100</v>
      </c>
    </row>
    <row r="100" spans="1:14" ht="18" customHeight="1" x14ac:dyDescent="0.45">
      <c r="A100" s="13">
        <v>94</v>
      </c>
      <c r="B100" s="41" t="str">
        <f t="shared" si="40"/>
        <v>東京本部</v>
      </c>
      <c r="C100" s="41" t="str">
        <f t="shared" si="40"/>
        <v>ラヴィーレ多摩川</v>
      </c>
      <c r="D100" s="14" t="s">
        <v>6</v>
      </c>
      <c r="E100" s="15">
        <v>5</v>
      </c>
      <c r="F100" s="16">
        <v>62</v>
      </c>
      <c r="G100" s="17">
        <v>12.4</v>
      </c>
      <c r="H100" s="16">
        <v>0</v>
      </c>
      <c r="I100" s="17">
        <v>0</v>
      </c>
      <c r="J100" s="15">
        <v>62</v>
      </c>
      <c r="K100" s="44">
        <f t="shared" si="30"/>
        <v>6</v>
      </c>
      <c r="L100" s="28">
        <v>2</v>
      </c>
      <c r="M100" s="33">
        <f t="shared" si="28"/>
        <v>2</v>
      </c>
      <c r="N100" s="1">
        <v>2311691100</v>
      </c>
    </row>
    <row r="101" spans="1:14" ht="18" customHeight="1" x14ac:dyDescent="0.45">
      <c r="A101" s="13">
        <v>95</v>
      </c>
      <c r="B101" s="42" t="str">
        <f t="shared" si="40"/>
        <v>東京本部</v>
      </c>
      <c r="C101" s="42" t="str">
        <f t="shared" si="40"/>
        <v>ラヴィーレ多摩川</v>
      </c>
      <c r="D101" s="14" t="s">
        <v>2</v>
      </c>
      <c r="E101" s="15">
        <v>2</v>
      </c>
      <c r="F101" s="16">
        <v>0</v>
      </c>
      <c r="G101" s="17">
        <v>0</v>
      </c>
      <c r="H101" s="16">
        <v>0</v>
      </c>
      <c r="I101" s="17">
        <v>0</v>
      </c>
      <c r="J101" s="15">
        <v>0</v>
      </c>
      <c r="K101" s="45">
        <f t="shared" si="30"/>
        <v>6</v>
      </c>
      <c r="L101" s="28">
        <v>0</v>
      </c>
      <c r="M101" s="33">
        <f t="shared" si="28"/>
        <v>0</v>
      </c>
      <c r="N101" s="1">
        <v>2311691100</v>
      </c>
    </row>
    <row r="102" spans="1:14" ht="18" customHeight="1" x14ac:dyDescent="0.45">
      <c r="A102" s="8">
        <v>96</v>
      </c>
      <c r="B102" s="34" t="s">
        <v>8</v>
      </c>
      <c r="C102" s="34" t="s">
        <v>17</v>
      </c>
      <c r="D102" s="9" t="s">
        <v>3</v>
      </c>
      <c r="E102" s="10">
        <v>1</v>
      </c>
      <c r="F102" s="11">
        <v>18</v>
      </c>
      <c r="G102" s="12">
        <v>18</v>
      </c>
      <c r="H102" s="11">
        <v>18</v>
      </c>
      <c r="I102" s="12">
        <v>18</v>
      </c>
      <c r="J102" s="10">
        <v>36</v>
      </c>
      <c r="K102" s="37">
        <f t="shared" ref="K102" si="41">SUM(M102:M106)</f>
        <v>6</v>
      </c>
      <c r="L102" s="28">
        <v>2</v>
      </c>
      <c r="M102" s="33">
        <f t="shared" si="28"/>
        <v>2</v>
      </c>
      <c r="N102" s="1">
        <v>2311761100</v>
      </c>
    </row>
    <row r="103" spans="1:14" ht="18" customHeight="1" x14ac:dyDescent="0.45">
      <c r="A103" s="8">
        <v>97</v>
      </c>
      <c r="B103" s="35" t="str">
        <f t="shared" ref="B103:C106" si="42">B102</f>
        <v>東京本部</v>
      </c>
      <c r="C103" s="35" t="str">
        <f t="shared" si="42"/>
        <v>そんぽの家　経堂</v>
      </c>
      <c r="D103" s="9" t="s">
        <v>4</v>
      </c>
      <c r="E103" s="10">
        <v>1</v>
      </c>
      <c r="F103" s="11">
        <v>0</v>
      </c>
      <c r="G103" s="12">
        <v>0</v>
      </c>
      <c r="H103" s="11">
        <v>0</v>
      </c>
      <c r="I103" s="12">
        <v>0</v>
      </c>
      <c r="J103" s="10">
        <v>0</v>
      </c>
      <c r="K103" s="38">
        <f t="shared" si="30"/>
        <v>6</v>
      </c>
      <c r="L103" s="28">
        <v>0</v>
      </c>
      <c r="M103" s="33">
        <f t="shared" si="28"/>
        <v>0</v>
      </c>
      <c r="N103" s="1">
        <v>2311761100</v>
      </c>
    </row>
    <row r="104" spans="1:14" ht="18" customHeight="1" x14ac:dyDescent="0.45">
      <c r="A104" s="8">
        <v>98</v>
      </c>
      <c r="B104" s="35" t="str">
        <f t="shared" si="42"/>
        <v>東京本部</v>
      </c>
      <c r="C104" s="35" t="str">
        <f t="shared" si="42"/>
        <v>そんぽの家　経堂</v>
      </c>
      <c r="D104" s="9" t="s">
        <v>5</v>
      </c>
      <c r="E104" s="10">
        <v>1</v>
      </c>
      <c r="F104" s="11">
        <v>10</v>
      </c>
      <c r="G104" s="12">
        <v>10</v>
      </c>
      <c r="H104" s="11">
        <v>0</v>
      </c>
      <c r="I104" s="12">
        <v>0</v>
      </c>
      <c r="J104" s="10">
        <v>10</v>
      </c>
      <c r="K104" s="38">
        <f t="shared" si="30"/>
        <v>6</v>
      </c>
      <c r="L104" s="28">
        <v>2</v>
      </c>
      <c r="M104" s="33">
        <f t="shared" si="28"/>
        <v>2</v>
      </c>
      <c r="N104" s="1">
        <v>2311761100</v>
      </c>
    </row>
    <row r="105" spans="1:14" ht="18" customHeight="1" x14ac:dyDescent="0.45">
      <c r="A105" s="8">
        <v>99</v>
      </c>
      <c r="B105" s="35" t="str">
        <f t="shared" si="42"/>
        <v>東京本部</v>
      </c>
      <c r="C105" s="35" t="str">
        <f t="shared" si="42"/>
        <v>そんぽの家　経堂</v>
      </c>
      <c r="D105" s="9" t="s">
        <v>6</v>
      </c>
      <c r="E105" s="10">
        <v>4</v>
      </c>
      <c r="F105" s="11">
        <v>26</v>
      </c>
      <c r="G105" s="12">
        <v>6.5</v>
      </c>
      <c r="H105" s="11">
        <v>0</v>
      </c>
      <c r="I105" s="12">
        <v>0</v>
      </c>
      <c r="J105" s="10">
        <v>26</v>
      </c>
      <c r="K105" s="38">
        <f t="shared" si="30"/>
        <v>6</v>
      </c>
      <c r="L105" s="28">
        <v>2</v>
      </c>
      <c r="M105" s="33">
        <f t="shared" si="28"/>
        <v>2</v>
      </c>
      <c r="N105" s="1">
        <v>2311761100</v>
      </c>
    </row>
    <row r="106" spans="1:14" ht="18" customHeight="1" x14ac:dyDescent="0.45">
      <c r="A106" s="8">
        <v>100</v>
      </c>
      <c r="B106" s="36" t="str">
        <f t="shared" si="42"/>
        <v>東京本部</v>
      </c>
      <c r="C106" s="36" t="str">
        <f t="shared" si="42"/>
        <v>そんぽの家　経堂</v>
      </c>
      <c r="D106" s="9" t="s">
        <v>2</v>
      </c>
      <c r="E106" s="10">
        <v>1</v>
      </c>
      <c r="F106" s="11">
        <v>2</v>
      </c>
      <c r="G106" s="12">
        <v>2</v>
      </c>
      <c r="H106" s="11">
        <v>0</v>
      </c>
      <c r="I106" s="12">
        <v>0</v>
      </c>
      <c r="J106" s="10">
        <v>2</v>
      </c>
      <c r="K106" s="39">
        <f t="shared" si="30"/>
        <v>6</v>
      </c>
      <c r="L106" s="28">
        <v>0</v>
      </c>
      <c r="M106" s="33">
        <f t="shared" si="28"/>
        <v>0</v>
      </c>
      <c r="N106" s="1">
        <v>2311761100</v>
      </c>
    </row>
    <row r="107" spans="1:14" ht="18" customHeight="1" x14ac:dyDescent="0.45">
      <c r="A107" s="13">
        <v>101</v>
      </c>
      <c r="B107" s="40" t="s">
        <v>8</v>
      </c>
      <c r="C107" s="40" t="s">
        <v>201</v>
      </c>
      <c r="D107" s="14" t="s">
        <v>3</v>
      </c>
      <c r="E107" s="15">
        <v>1</v>
      </c>
      <c r="F107" s="16">
        <v>3</v>
      </c>
      <c r="G107" s="17">
        <v>3</v>
      </c>
      <c r="H107" s="16">
        <v>0</v>
      </c>
      <c r="I107" s="17">
        <v>0</v>
      </c>
      <c r="J107" s="15">
        <v>3</v>
      </c>
      <c r="K107" s="43">
        <f t="shared" ref="K107" si="43">SUM(M107:M111)</f>
        <v>5</v>
      </c>
      <c r="L107" s="28">
        <v>0</v>
      </c>
      <c r="M107" s="33">
        <f t="shared" si="28"/>
        <v>0</v>
      </c>
      <c r="N107" s="1">
        <v>2311771100</v>
      </c>
    </row>
    <row r="108" spans="1:14" ht="18" customHeight="1" x14ac:dyDescent="0.45">
      <c r="A108" s="13">
        <v>102</v>
      </c>
      <c r="B108" s="41" t="str">
        <f t="shared" ref="B108:C111" si="44">B107</f>
        <v>東京本部</v>
      </c>
      <c r="C108" s="41" t="str">
        <f t="shared" si="44"/>
        <v>ラヴィーレ世田谷船橋</v>
      </c>
      <c r="D108" s="14" t="s">
        <v>4</v>
      </c>
      <c r="E108" s="15">
        <v>1</v>
      </c>
      <c r="F108" s="16">
        <v>3</v>
      </c>
      <c r="G108" s="17">
        <v>3</v>
      </c>
      <c r="H108" s="16">
        <v>3</v>
      </c>
      <c r="I108" s="17">
        <v>3</v>
      </c>
      <c r="J108" s="15">
        <v>6</v>
      </c>
      <c r="K108" s="44">
        <f t="shared" si="30"/>
        <v>5</v>
      </c>
      <c r="L108" s="28">
        <v>1</v>
      </c>
      <c r="M108" s="33">
        <f t="shared" si="28"/>
        <v>1</v>
      </c>
      <c r="N108" s="1">
        <v>2311771100</v>
      </c>
    </row>
    <row r="109" spans="1:14" ht="18" customHeight="1" x14ac:dyDescent="0.45">
      <c r="A109" s="13">
        <v>103</v>
      </c>
      <c r="B109" s="41" t="str">
        <f t="shared" si="44"/>
        <v>東京本部</v>
      </c>
      <c r="C109" s="41" t="str">
        <f t="shared" si="44"/>
        <v>ラヴィーレ世田谷船橋</v>
      </c>
      <c r="D109" s="14" t="s">
        <v>5</v>
      </c>
      <c r="E109" s="15">
        <v>2</v>
      </c>
      <c r="F109" s="16">
        <v>14</v>
      </c>
      <c r="G109" s="17">
        <v>7</v>
      </c>
      <c r="H109" s="16">
        <v>0</v>
      </c>
      <c r="I109" s="17">
        <v>0</v>
      </c>
      <c r="J109" s="15">
        <v>14</v>
      </c>
      <c r="K109" s="44">
        <f t="shared" si="30"/>
        <v>5</v>
      </c>
      <c r="L109" s="28">
        <v>2</v>
      </c>
      <c r="M109" s="33">
        <f t="shared" si="28"/>
        <v>2</v>
      </c>
      <c r="N109" s="1">
        <v>2311771100</v>
      </c>
    </row>
    <row r="110" spans="1:14" ht="18" customHeight="1" x14ac:dyDescent="0.45">
      <c r="A110" s="13">
        <v>104</v>
      </c>
      <c r="B110" s="41" t="str">
        <f t="shared" si="44"/>
        <v>東京本部</v>
      </c>
      <c r="C110" s="41" t="str">
        <f t="shared" si="44"/>
        <v>ラヴィーレ世田谷船橋</v>
      </c>
      <c r="D110" s="14" t="s">
        <v>6</v>
      </c>
      <c r="E110" s="15">
        <v>7</v>
      </c>
      <c r="F110" s="16">
        <v>1</v>
      </c>
      <c r="G110" s="17">
        <v>0.1</v>
      </c>
      <c r="H110" s="16">
        <v>0</v>
      </c>
      <c r="I110" s="17">
        <v>0</v>
      </c>
      <c r="J110" s="15">
        <v>1</v>
      </c>
      <c r="K110" s="44">
        <f t="shared" si="30"/>
        <v>5</v>
      </c>
      <c r="L110" s="28">
        <v>0</v>
      </c>
      <c r="M110" s="33">
        <f t="shared" si="28"/>
        <v>0</v>
      </c>
      <c r="N110" s="1">
        <v>2311771100</v>
      </c>
    </row>
    <row r="111" spans="1:14" ht="18" customHeight="1" x14ac:dyDescent="0.45">
      <c r="A111" s="13">
        <v>105</v>
      </c>
      <c r="B111" s="42" t="str">
        <f t="shared" si="44"/>
        <v>東京本部</v>
      </c>
      <c r="C111" s="42" t="str">
        <f t="shared" si="44"/>
        <v>ラヴィーレ世田谷船橋</v>
      </c>
      <c r="D111" s="14" t="s">
        <v>2</v>
      </c>
      <c r="E111" s="15">
        <v>2</v>
      </c>
      <c r="F111" s="16">
        <v>15</v>
      </c>
      <c r="G111" s="17">
        <v>7.5</v>
      </c>
      <c r="H111" s="16">
        <v>0</v>
      </c>
      <c r="I111" s="17">
        <v>0</v>
      </c>
      <c r="J111" s="15">
        <v>15</v>
      </c>
      <c r="K111" s="45">
        <f t="shared" si="30"/>
        <v>5</v>
      </c>
      <c r="L111" s="28">
        <v>2</v>
      </c>
      <c r="M111" s="33">
        <f t="shared" si="28"/>
        <v>2</v>
      </c>
      <c r="N111" s="1">
        <v>2311771100</v>
      </c>
    </row>
    <row r="112" spans="1:14" ht="18" customHeight="1" x14ac:dyDescent="0.45">
      <c r="A112" s="8">
        <v>106</v>
      </c>
      <c r="B112" s="34" t="s">
        <v>8</v>
      </c>
      <c r="C112" s="34" t="s">
        <v>202</v>
      </c>
      <c r="D112" s="9" t="s">
        <v>3</v>
      </c>
      <c r="E112" s="10">
        <v>1</v>
      </c>
      <c r="F112" s="11">
        <v>1</v>
      </c>
      <c r="G112" s="12">
        <v>1</v>
      </c>
      <c r="H112" s="11">
        <v>3</v>
      </c>
      <c r="I112" s="12">
        <v>3</v>
      </c>
      <c r="J112" s="10">
        <v>4</v>
      </c>
      <c r="K112" s="37">
        <f t="shared" ref="K112" si="45">SUM(M112:M116)</f>
        <v>5</v>
      </c>
      <c r="L112" s="28">
        <v>1</v>
      </c>
      <c r="M112" s="33">
        <f t="shared" si="28"/>
        <v>1</v>
      </c>
      <c r="N112" s="1">
        <v>2311811100</v>
      </c>
    </row>
    <row r="113" spans="1:14" ht="18" customHeight="1" x14ac:dyDescent="0.45">
      <c r="A113" s="8">
        <v>107</v>
      </c>
      <c r="B113" s="35" t="str">
        <f t="shared" ref="B113:C116" si="46">B112</f>
        <v>東京本部</v>
      </c>
      <c r="C113" s="35" t="str">
        <f t="shared" si="46"/>
        <v>ラヴィーレ駒沢公園</v>
      </c>
      <c r="D113" s="9" t="s">
        <v>4</v>
      </c>
      <c r="E113" s="10">
        <v>1</v>
      </c>
      <c r="F113" s="11">
        <v>1</v>
      </c>
      <c r="G113" s="12">
        <v>1</v>
      </c>
      <c r="H113" s="11">
        <v>0</v>
      </c>
      <c r="I113" s="12">
        <v>0</v>
      </c>
      <c r="J113" s="10">
        <v>1</v>
      </c>
      <c r="K113" s="38">
        <f t="shared" si="30"/>
        <v>5</v>
      </c>
      <c r="L113" s="28">
        <v>0</v>
      </c>
      <c r="M113" s="33">
        <f t="shared" si="28"/>
        <v>0</v>
      </c>
      <c r="N113" s="1">
        <v>2311811100</v>
      </c>
    </row>
    <row r="114" spans="1:14" ht="18" customHeight="1" x14ac:dyDescent="0.45">
      <c r="A114" s="8">
        <v>108</v>
      </c>
      <c r="B114" s="35" t="str">
        <f t="shared" si="46"/>
        <v>東京本部</v>
      </c>
      <c r="C114" s="35" t="str">
        <f t="shared" si="46"/>
        <v>ラヴィーレ駒沢公園</v>
      </c>
      <c r="D114" s="9" t="s">
        <v>5</v>
      </c>
      <c r="E114" s="10">
        <v>1</v>
      </c>
      <c r="F114" s="11">
        <v>24</v>
      </c>
      <c r="G114" s="12">
        <v>24</v>
      </c>
      <c r="H114" s="11">
        <v>0</v>
      </c>
      <c r="I114" s="12">
        <v>0</v>
      </c>
      <c r="J114" s="10">
        <v>24</v>
      </c>
      <c r="K114" s="38">
        <f t="shared" si="30"/>
        <v>5</v>
      </c>
      <c r="L114" s="28">
        <v>2</v>
      </c>
      <c r="M114" s="33">
        <f t="shared" si="28"/>
        <v>2</v>
      </c>
      <c r="N114" s="1">
        <v>2311811100</v>
      </c>
    </row>
    <row r="115" spans="1:14" ht="18" customHeight="1" x14ac:dyDescent="0.45">
      <c r="A115" s="8">
        <v>109</v>
      </c>
      <c r="B115" s="35" t="str">
        <f t="shared" si="46"/>
        <v>東京本部</v>
      </c>
      <c r="C115" s="35" t="str">
        <f t="shared" si="46"/>
        <v>ラヴィーレ駒沢公園</v>
      </c>
      <c r="D115" s="9" t="s">
        <v>6</v>
      </c>
      <c r="E115" s="10">
        <v>3</v>
      </c>
      <c r="F115" s="11">
        <v>3</v>
      </c>
      <c r="G115" s="12">
        <v>1</v>
      </c>
      <c r="H115" s="11">
        <v>0</v>
      </c>
      <c r="I115" s="12">
        <v>0</v>
      </c>
      <c r="J115" s="10">
        <v>3</v>
      </c>
      <c r="K115" s="38">
        <f t="shared" si="30"/>
        <v>5</v>
      </c>
      <c r="L115" s="28">
        <v>0</v>
      </c>
      <c r="M115" s="33">
        <f t="shared" si="28"/>
        <v>0</v>
      </c>
      <c r="N115" s="1">
        <v>2311811100</v>
      </c>
    </row>
    <row r="116" spans="1:14" ht="18" customHeight="1" x14ac:dyDescent="0.45">
      <c r="A116" s="8">
        <v>110</v>
      </c>
      <c r="B116" s="36" t="str">
        <f t="shared" si="46"/>
        <v>東京本部</v>
      </c>
      <c r="C116" s="36" t="str">
        <f t="shared" si="46"/>
        <v>ラヴィーレ駒沢公園</v>
      </c>
      <c r="D116" s="9" t="s">
        <v>2</v>
      </c>
      <c r="E116" s="10">
        <v>1</v>
      </c>
      <c r="F116" s="11">
        <v>36</v>
      </c>
      <c r="G116" s="12">
        <v>36</v>
      </c>
      <c r="H116" s="11">
        <v>0</v>
      </c>
      <c r="I116" s="12">
        <v>0</v>
      </c>
      <c r="J116" s="10">
        <v>36</v>
      </c>
      <c r="K116" s="39">
        <f t="shared" si="30"/>
        <v>5</v>
      </c>
      <c r="L116" s="28">
        <v>2</v>
      </c>
      <c r="M116" s="33">
        <f t="shared" si="28"/>
        <v>2</v>
      </c>
      <c r="N116" s="1">
        <v>2311811100</v>
      </c>
    </row>
    <row r="117" spans="1:14" ht="18" customHeight="1" x14ac:dyDescent="0.45">
      <c r="A117" s="13">
        <v>111</v>
      </c>
      <c r="B117" s="40" t="s">
        <v>8</v>
      </c>
      <c r="C117" s="40" t="s">
        <v>18</v>
      </c>
      <c r="D117" s="14" t="s">
        <v>3</v>
      </c>
      <c r="E117" s="15">
        <v>1</v>
      </c>
      <c r="F117" s="16">
        <v>3</v>
      </c>
      <c r="G117" s="17">
        <v>3</v>
      </c>
      <c r="H117" s="16">
        <v>0</v>
      </c>
      <c r="I117" s="17">
        <v>0</v>
      </c>
      <c r="J117" s="15">
        <v>3</v>
      </c>
      <c r="K117" s="43">
        <f t="shared" ref="K117" si="47">SUM(M117:M121)</f>
        <v>6</v>
      </c>
      <c r="L117" s="28">
        <v>0</v>
      </c>
      <c r="M117" s="33">
        <f t="shared" si="28"/>
        <v>0</v>
      </c>
      <c r="N117" s="1">
        <v>2311841100</v>
      </c>
    </row>
    <row r="118" spans="1:14" ht="18" customHeight="1" x14ac:dyDescent="0.45">
      <c r="A118" s="13">
        <v>112</v>
      </c>
      <c r="B118" s="41" t="str">
        <f t="shared" ref="B118:C121" si="48">B117</f>
        <v>東京本部</v>
      </c>
      <c r="C118" s="41" t="str">
        <f t="shared" si="48"/>
        <v>そんぽの家　成城南</v>
      </c>
      <c r="D118" s="14" t="s">
        <v>4</v>
      </c>
      <c r="E118" s="15">
        <v>2</v>
      </c>
      <c r="F118" s="16">
        <v>5</v>
      </c>
      <c r="G118" s="17">
        <v>2.5</v>
      </c>
      <c r="H118" s="16">
        <v>3</v>
      </c>
      <c r="I118" s="17">
        <v>1.5</v>
      </c>
      <c r="J118" s="15">
        <v>8</v>
      </c>
      <c r="K118" s="44">
        <f t="shared" si="30"/>
        <v>6</v>
      </c>
      <c r="L118" s="28">
        <v>2</v>
      </c>
      <c r="M118" s="33">
        <f t="shared" si="28"/>
        <v>2</v>
      </c>
      <c r="N118" s="1">
        <v>2311841100</v>
      </c>
    </row>
    <row r="119" spans="1:14" ht="18" customHeight="1" x14ac:dyDescent="0.45">
      <c r="A119" s="13">
        <v>113</v>
      </c>
      <c r="B119" s="41" t="str">
        <f t="shared" si="48"/>
        <v>東京本部</v>
      </c>
      <c r="C119" s="41" t="str">
        <f t="shared" si="48"/>
        <v>そんぽの家　成城南</v>
      </c>
      <c r="D119" s="14" t="s">
        <v>5</v>
      </c>
      <c r="E119" s="15">
        <v>1</v>
      </c>
      <c r="F119" s="16">
        <v>24</v>
      </c>
      <c r="G119" s="17">
        <v>24</v>
      </c>
      <c r="H119" s="16">
        <v>0</v>
      </c>
      <c r="I119" s="17">
        <v>0</v>
      </c>
      <c r="J119" s="15">
        <v>24</v>
      </c>
      <c r="K119" s="44">
        <f t="shared" si="30"/>
        <v>6</v>
      </c>
      <c r="L119" s="28">
        <v>2</v>
      </c>
      <c r="M119" s="33">
        <f t="shared" si="28"/>
        <v>2</v>
      </c>
      <c r="N119" s="1">
        <v>2311841100</v>
      </c>
    </row>
    <row r="120" spans="1:14" ht="18" customHeight="1" x14ac:dyDescent="0.45">
      <c r="A120" s="13">
        <v>114</v>
      </c>
      <c r="B120" s="41" t="str">
        <f t="shared" si="48"/>
        <v>東京本部</v>
      </c>
      <c r="C120" s="41" t="str">
        <f t="shared" si="48"/>
        <v>そんぽの家　成城南</v>
      </c>
      <c r="D120" s="14" t="s">
        <v>6</v>
      </c>
      <c r="E120" s="15">
        <v>6</v>
      </c>
      <c r="F120" s="16">
        <v>0</v>
      </c>
      <c r="G120" s="17">
        <v>0</v>
      </c>
      <c r="H120" s="16">
        <v>0</v>
      </c>
      <c r="I120" s="17">
        <v>0</v>
      </c>
      <c r="J120" s="15">
        <v>0</v>
      </c>
      <c r="K120" s="44">
        <f t="shared" si="30"/>
        <v>6</v>
      </c>
      <c r="L120" s="28">
        <v>0</v>
      </c>
      <c r="M120" s="33">
        <f t="shared" si="28"/>
        <v>0</v>
      </c>
      <c r="N120" s="1">
        <v>2311841100</v>
      </c>
    </row>
    <row r="121" spans="1:14" ht="18" customHeight="1" x14ac:dyDescent="0.45">
      <c r="A121" s="13">
        <v>115</v>
      </c>
      <c r="B121" s="42" t="str">
        <f t="shared" si="48"/>
        <v>東京本部</v>
      </c>
      <c r="C121" s="42" t="str">
        <f t="shared" si="48"/>
        <v>そんぽの家　成城南</v>
      </c>
      <c r="D121" s="14" t="s">
        <v>2</v>
      </c>
      <c r="E121" s="15">
        <v>3</v>
      </c>
      <c r="F121" s="16">
        <v>53</v>
      </c>
      <c r="G121" s="17">
        <v>17.7</v>
      </c>
      <c r="H121" s="16">
        <v>0</v>
      </c>
      <c r="I121" s="17">
        <v>0</v>
      </c>
      <c r="J121" s="15">
        <v>53</v>
      </c>
      <c r="K121" s="45">
        <f t="shared" si="30"/>
        <v>6</v>
      </c>
      <c r="L121" s="28">
        <v>2</v>
      </c>
      <c r="M121" s="33">
        <f t="shared" si="28"/>
        <v>2</v>
      </c>
      <c r="N121" s="1">
        <v>2311841100</v>
      </c>
    </row>
    <row r="122" spans="1:14" ht="18" customHeight="1" x14ac:dyDescent="0.45">
      <c r="A122" s="8">
        <v>116</v>
      </c>
      <c r="B122" s="34" t="s">
        <v>8</v>
      </c>
      <c r="C122" s="34" t="s">
        <v>203</v>
      </c>
      <c r="D122" s="9" t="s">
        <v>3</v>
      </c>
      <c r="E122" s="10">
        <v>1</v>
      </c>
      <c r="F122" s="11">
        <v>6</v>
      </c>
      <c r="G122" s="12">
        <v>6</v>
      </c>
      <c r="H122" s="11">
        <v>1</v>
      </c>
      <c r="I122" s="12">
        <v>1</v>
      </c>
      <c r="J122" s="10">
        <v>7</v>
      </c>
      <c r="K122" s="37">
        <f t="shared" ref="K122" si="49">SUM(M122:M126)</f>
        <v>3</v>
      </c>
      <c r="L122" s="28">
        <v>1</v>
      </c>
      <c r="M122" s="33">
        <f t="shared" si="28"/>
        <v>1</v>
      </c>
      <c r="N122" s="1">
        <v>2311851100</v>
      </c>
    </row>
    <row r="123" spans="1:14" ht="18" customHeight="1" x14ac:dyDescent="0.45">
      <c r="A123" s="8">
        <v>117</v>
      </c>
      <c r="B123" s="35" t="str">
        <f t="shared" ref="B123:C126" si="50">B122</f>
        <v>東京本部</v>
      </c>
      <c r="C123" s="35" t="str">
        <f t="shared" si="50"/>
        <v>ラヴィーレ成城南</v>
      </c>
      <c r="D123" s="9" t="s">
        <v>4</v>
      </c>
      <c r="E123" s="10">
        <v>1</v>
      </c>
      <c r="F123" s="11">
        <v>8</v>
      </c>
      <c r="G123" s="12">
        <v>8</v>
      </c>
      <c r="H123" s="11">
        <v>0</v>
      </c>
      <c r="I123" s="12">
        <v>0</v>
      </c>
      <c r="J123" s="10">
        <v>8</v>
      </c>
      <c r="K123" s="38">
        <f t="shared" si="30"/>
        <v>3</v>
      </c>
      <c r="L123" s="28">
        <v>2</v>
      </c>
      <c r="M123" s="33">
        <f t="shared" si="28"/>
        <v>2</v>
      </c>
      <c r="N123" s="1">
        <v>2311851100</v>
      </c>
    </row>
    <row r="124" spans="1:14" ht="18" customHeight="1" x14ac:dyDescent="0.45">
      <c r="A124" s="8">
        <v>118</v>
      </c>
      <c r="B124" s="35" t="str">
        <f t="shared" si="50"/>
        <v>東京本部</v>
      </c>
      <c r="C124" s="35" t="str">
        <f t="shared" si="50"/>
        <v>ラヴィーレ成城南</v>
      </c>
      <c r="D124" s="9" t="s">
        <v>5</v>
      </c>
      <c r="E124" s="10">
        <v>2</v>
      </c>
      <c r="F124" s="11">
        <v>0</v>
      </c>
      <c r="G124" s="12">
        <v>0</v>
      </c>
      <c r="H124" s="11">
        <v>0</v>
      </c>
      <c r="I124" s="12">
        <v>0</v>
      </c>
      <c r="J124" s="10">
        <v>0</v>
      </c>
      <c r="K124" s="38">
        <f t="shared" si="30"/>
        <v>3</v>
      </c>
      <c r="L124" s="28">
        <v>0</v>
      </c>
      <c r="M124" s="33">
        <f t="shared" si="28"/>
        <v>0</v>
      </c>
      <c r="N124" s="1">
        <v>2311851100</v>
      </c>
    </row>
    <row r="125" spans="1:14" ht="18" customHeight="1" x14ac:dyDescent="0.45">
      <c r="A125" s="8">
        <v>119</v>
      </c>
      <c r="B125" s="35" t="str">
        <f t="shared" si="50"/>
        <v>東京本部</v>
      </c>
      <c r="C125" s="35" t="str">
        <f t="shared" si="50"/>
        <v>ラヴィーレ成城南</v>
      </c>
      <c r="D125" s="9" t="s">
        <v>6</v>
      </c>
      <c r="E125" s="10">
        <v>7</v>
      </c>
      <c r="F125" s="11">
        <v>0</v>
      </c>
      <c r="G125" s="12">
        <v>0</v>
      </c>
      <c r="H125" s="11">
        <v>0</v>
      </c>
      <c r="I125" s="12">
        <v>0</v>
      </c>
      <c r="J125" s="10">
        <v>0</v>
      </c>
      <c r="K125" s="38">
        <f t="shared" si="30"/>
        <v>3</v>
      </c>
      <c r="L125" s="28">
        <v>0</v>
      </c>
      <c r="M125" s="33">
        <f t="shared" si="28"/>
        <v>0</v>
      </c>
      <c r="N125" s="1">
        <v>2311851100</v>
      </c>
    </row>
    <row r="126" spans="1:14" ht="18" customHeight="1" x14ac:dyDescent="0.45">
      <c r="A126" s="8">
        <v>120</v>
      </c>
      <c r="B126" s="36" t="str">
        <f t="shared" si="50"/>
        <v>東京本部</v>
      </c>
      <c r="C126" s="36" t="str">
        <f t="shared" si="50"/>
        <v>ラヴィーレ成城南</v>
      </c>
      <c r="D126" s="9" t="s">
        <v>2</v>
      </c>
      <c r="E126" s="10">
        <v>3</v>
      </c>
      <c r="F126" s="11">
        <v>1</v>
      </c>
      <c r="G126" s="12">
        <v>0.3</v>
      </c>
      <c r="H126" s="11">
        <v>0</v>
      </c>
      <c r="I126" s="12">
        <v>0</v>
      </c>
      <c r="J126" s="10">
        <v>1</v>
      </c>
      <c r="K126" s="39">
        <f t="shared" si="30"/>
        <v>3</v>
      </c>
      <c r="L126" s="28">
        <v>0</v>
      </c>
      <c r="M126" s="33">
        <f t="shared" si="28"/>
        <v>0</v>
      </c>
      <c r="N126" s="1">
        <v>2311851100</v>
      </c>
    </row>
    <row r="127" spans="1:14" ht="18" customHeight="1" x14ac:dyDescent="0.45">
      <c r="A127" s="13">
        <v>121</v>
      </c>
      <c r="B127" s="40" t="s">
        <v>8</v>
      </c>
      <c r="C127" s="40" t="s">
        <v>19</v>
      </c>
      <c r="D127" s="14" t="s">
        <v>3</v>
      </c>
      <c r="E127" s="15">
        <v>1</v>
      </c>
      <c r="F127" s="16">
        <v>22</v>
      </c>
      <c r="G127" s="17">
        <v>22</v>
      </c>
      <c r="H127" s="16">
        <v>0</v>
      </c>
      <c r="I127" s="17">
        <v>0</v>
      </c>
      <c r="J127" s="15">
        <v>22</v>
      </c>
      <c r="K127" s="43">
        <f t="shared" ref="K127" si="51">SUM(M127:M131)</f>
        <v>6</v>
      </c>
      <c r="L127" s="28">
        <v>2</v>
      </c>
      <c r="M127" s="33">
        <f t="shared" si="28"/>
        <v>2</v>
      </c>
      <c r="N127" s="1">
        <v>2311871100</v>
      </c>
    </row>
    <row r="128" spans="1:14" ht="18" customHeight="1" x14ac:dyDescent="0.45">
      <c r="A128" s="13">
        <v>122</v>
      </c>
      <c r="B128" s="41" t="str">
        <f t="shared" ref="B128:C131" si="52">B127</f>
        <v>東京本部</v>
      </c>
      <c r="C128" s="41" t="str">
        <f t="shared" si="52"/>
        <v>そんぽの家　砧南</v>
      </c>
      <c r="D128" s="14" t="s">
        <v>4</v>
      </c>
      <c r="E128" s="15">
        <v>1</v>
      </c>
      <c r="F128" s="16">
        <v>10</v>
      </c>
      <c r="G128" s="17">
        <v>10</v>
      </c>
      <c r="H128" s="16">
        <v>4</v>
      </c>
      <c r="I128" s="17">
        <v>4</v>
      </c>
      <c r="J128" s="15">
        <v>14</v>
      </c>
      <c r="K128" s="44">
        <f t="shared" si="30"/>
        <v>6</v>
      </c>
      <c r="L128" s="28">
        <v>2</v>
      </c>
      <c r="M128" s="33">
        <f t="shared" si="28"/>
        <v>2</v>
      </c>
      <c r="N128" s="1">
        <v>2311871100</v>
      </c>
    </row>
    <row r="129" spans="1:14" ht="18" customHeight="1" x14ac:dyDescent="0.45">
      <c r="A129" s="13">
        <v>123</v>
      </c>
      <c r="B129" s="41" t="str">
        <f t="shared" si="52"/>
        <v>東京本部</v>
      </c>
      <c r="C129" s="41" t="str">
        <f t="shared" si="52"/>
        <v>そんぽの家　砧南</v>
      </c>
      <c r="D129" s="14" t="s">
        <v>5</v>
      </c>
      <c r="E129" s="15">
        <v>1</v>
      </c>
      <c r="F129" s="16">
        <v>1</v>
      </c>
      <c r="G129" s="17">
        <v>1</v>
      </c>
      <c r="H129" s="16">
        <v>0</v>
      </c>
      <c r="I129" s="17">
        <v>0</v>
      </c>
      <c r="J129" s="15">
        <v>1</v>
      </c>
      <c r="K129" s="44">
        <f t="shared" si="30"/>
        <v>6</v>
      </c>
      <c r="L129" s="28">
        <v>0</v>
      </c>
      <c r="M129" s="33">
        <f t="shared" si="28"/>
        <v>0</v>
      </c>
      <c r="N129" s="1">
        <v>2311871100</v>
      </c>
    </row>
    <row r="130" spans="1:14" ht="18" customHeight="1" x14ac:dyDescent="0.45">
      <c r="A130" s="13">
        <v>124</v>
      </c>
      <c r="B130" s="41" t="str">
        <f t="shared" si="52"/>
        <v>東京本部</v>
      </c>
      <c r="C130" s="41" t="str">
        <f t="shared" si="52"/>
        <v>そんぽの家　砧南</v>
      </c>
      <c r="D130" s="14" t="s">
        <v>6</v>
      </c>
      <c r="E130" s="15">
        <v>2</v>
      </c>
      <c r="F130" s="16">
        <v>5</v>
      </c>
      <c r="G130" s="17">
        <v>2.5</v>
      </c>
      <c r="H130" s="16">
        <v>0</v>
      </c>
      <c r="I130" s="17">
        <v>0</v>
      </c>
      <c r="J130" s="15">
        <v>5</v>
      </c>
      <c r="K130" s="44">
        <f t="shared" si="30"/>
        <v>6</v>
      </c>
      <c r="L130" s="28">
        <v>1</v>
      </c>
      <c r="M130" s="33">
        <f t="shared" si="28"/>
        <v>1</v>
      </c>
      <c r="N130" s="1">
        <v>2311871100</v>
      </c>
    </row>
    <row r="131" spans="1:14" ht="18" customHeight="1" x14ac:dyDescent="0.45">
      <c r="A131" s="13">
        <v>125</v>
      </c>
      <c r="B131" s="42" t="str">
        <f t="shared" si="52"/>
        <v>東京本部</v>
      </c>
      <c r="C131" s="42" t="str">
        <f t="shared" si="52"/>
        <v>そんぽの家　砧南</v>
      </c>
      <c r="D131" s="14" t="s">
        <v>2</v>
      </c>
      <c r="E131" s="15">
        <v>1</v>
      </c>
      <c r="F131" s="16">
        <v>4</v>
      </c>
      <c r="G131" s="17">
        <v>4</v>
      </c>
      <c r="H131" s="16">
        <v>0</v>
      </c>
      <c r="I131" s="17">
        <v>0</v>
      </c>
      <c r="J131" s="15">
        <v>4</v>
      </c>
      <c r="K131" s="45">
        <f t="shared" si="30"/>
        <v>6</v>
      </c>
      <c r="L131" s="28">
        <v>1</v>
      </c>
      <c r="M131" s="33">
        <f t="shared" si="28"/>
        <v>1</v>
      </c>
      <c r="N131" s="1">
        <v>2311871100</v>
      </c>
    </row>
    <row r="132" spans="1:14" ht="18" customHeight="1" x14ac:dyDescent="0.45">
      <c r="A132" s="8">
        <v>126</v>
      </c>
      <c r="B132" s="34" t="s">
        <v>8</v>
      </c>
      <c r="C132" s="34" t="s">
        <v>204</v>
      </c>
      <c r="D132" s="9" t="s">
        <v>3</v>
      </c>
      <c r="E132" s="10">
        <v>1</v>
      </c>
      <c r="F132" s="11">
        <v>19</v>
      </c>
      <c r="G132" s="12">
        <v>19</v>
      </c>
      <c r="H132" s="11">
        <v>2</v>
      </c>
      <c r="I132" s="12">
        <v>2</v>
      </c>
      <c r="J132" s="10">
        <v>21</v>
      </c>
      <c r="K132" s="37">
        <f t="shared" ref="K132" si="53">SUM(M132:M136)</f>
        <v>7</v>
      </c>
      <c r="L132" s="28">
        <v>2</v>
      </c>
      <c r="M132" s="33">
        <f t="shared" si="28"/>
        <v>2</v>
      </c>
      <c r="N132" s="1">
        <v>2311881100</v>
      </c>
    </row>
    <row r="133" spans="1:14" ht="18" customHeight="1" x14ac:dyDescent="0.45">
      <c r="A133" s="8">
        <v>127</v>
      </c>
      <c r="B133" s="35" t="str">
        <f t="shared" ref="B133:C136" si="54">B132</f>
        <v>東京本部</v>
      </c>
      <c r="C133" s="35" t="str">
        <f t="shared" si="54"/>
        <v>ラヴィーレ二子玉川</v>
      </c>
      <c r="D133" s="9" t="s">
        <v>4</v>
      </c>
      <c r="E133" s="10">
        <v>1</v>
      </c>
      <c r="F133" s="11">
        <v>6</v>
      </c>
      <c r="G133" s="12">
        <v>6</v>
      </c>
      <c r="H133" s="11">
        <v>0</v>
      </c>
      <c r="I133" s="12">
        <v>0</v>
      </c>
      <c r="J133" s="10">
        <v>6</v>
      </c>
      <c r="K133" s="38">
        <f t="shared" si="30"/>
        <v>7</v>
      </c>
      <c r="L133" s="28">
        <v>1</v>
      </c>
      <c r="M133" s="33">
        <f t="shared" si="28"/>
        <v>1</v>
      </c>
      <c r="N133" s="1">
        <v>2311881100</v>
      </c>
    </row>
    <row r="134" spans="1:14" ht="18" customHeight="1" x14ac:dyDescent="0.45">
      <c r="A134" s="8">
        <v>128</v>
      </c>
      <c r="B134" s="35" t="str">
        <f t="shared" si="54"/>
        <v>東京本部</v>
      </c>
      <c r="C134" s="35" t="str">
        <f t="shared" si="54"/>
        <v>ラヴィーレ二子玉川</v>
      </c>
      <c r="D134" s="9" t="s">
        <v>5</v>
      </c>
      <c r="E134" s="10">
        <v>1</v>
      </c>
      <c r="F134" s="11">
        <v>22</v>
      </c>
      <c r="G134" s="12">
        <v>22</v>
      </c>
      <c r="H134" s="11">
        <v>0</v>
      </c>
      <c r="I134" s="12">
        <v>0</v>
      </c>
      <c r="J134" s="10">
        <v>22</v>
      </c>
      <c r="K134" s="38">
        <f t="shared" si="30"/>
        <v>7</v>
      </c>
      <c r="L134" s="28">
        <v>2</v>
      </c>
      <c r="M134" s="33">
        <f t="shared" si="28"/>
        <v>2</v>
      </c>
      <c r="N134" s="1">
        <v>2311881100</v>
      </c>
    </row>
    <row r="135" spans="1:14" ht="18" customHeight="1" x14ac:dyDescent="0.45">
      <c r="A135" s="8">
        <v>129</v>
      </c>
      <c r="B135" s="35" t="str">
        <f t="shared" si="54"/>
        <v>東京本部</v>
      </c>
      <c r="C135" s="35" t="str">
        <f t="shared" si="54"/>
        <v>ラヴィーレ二子玉川</v>
      </c>
      <c r="D135" s="9" t="s">
        <v>6</v>
      </c>
      <c r="E135" s="10">
        <v>5</v>
      </c>
      <c r="F135" s="11">
        <v>0</v>
      </c>
      <c r="G135" s="12">
        <v>0</v>
      </c>
      <c r="H135" s="11">
        <v>0</v>
      </c>
      <c r="I135" s="12">
        <v>0</v>
      </c>
      <c r="J135" s="10">
        <v>0</v>
      </c>
      <c r="K135" s="38">
        <f t="shared" si="30"/>
        <v>7</v>
      </c>
      <c r="L135" s="28">
        <v>0</v>
      </c>
      <c r="M135" s="33">
        <f t="shared" si="28"/>
        <v>0</v>
      </c>
      <c r="N135" s="1">
        <v>2311881100</v>
      </c>
    </row>
    <row r="136" spans="1:14" ht="18" customHeight="1" x14ac:dyDescent="0.45">
      <c r="A136" s="8">
        <v>130</v>
      </c>
      <c r="B136" s="36" t="str">
        <f t="shared" si="54"/>
        <v>東京本部</v>
      </c>
      <c r="C136" s="36" t="str">
        <f t="shared" si="54"/>
        <v>ラヴィーレ二子玉川</v>
      </c>
      <c r="D136" s="9" t="s">
        <v>2</v>
      </c>
      <c r="E136" s="10">
        <v>1</v>
      </c>
      <c r="F136" s="11">
        <v>10</v>
      </c>
      <c r="G136" s="12">
        <v>10</v>
      </c>
      <c r="H136" s="11">
        <v>0</v>
      </c>
      <c r="I136" s="12">
        <v>0</v>
      </c>
      <c r="J136" s="10">
        <v>10</v>
      </c>
      <c r="K136" s="39">
        <f t="shared" si="30"/>
        <v>7</v>
      </c>
      <c r="L136" s="28">
        <v>2</v>
      </c>
      <c r="M136" s="33">
        <f t="shared" ref="M136:M199" si="55">L136</f>
        <v>2</v>
      </c>
      <c r="N136" s="1">
        <v>2311881100</v>
      </c>
    </row>
    <row r="137" spans="1:14" ht="18" customHeight="1" x14ac:dyDescent="0.45">
      <c r="A137" s="13">
        <v>131</v>
      </c>
      <c r="B137" s="40" t="s">
        <v>8</v>
      </c>
      <c r="C137" s="40" t="s">
        <v>20</v>
      </c>
      <c r="D137" s="14" t="s">
        <v>3</v>
      </c>
      <c r="E137" s="15">
        <v>1</v>
      </c>
      <c r="F137" s="16">
        <v>5</v>
      </c>
      <c r="G137" s="17">
        <v>5</v>
      </c>
      <c r="H137" s="16">
        <v>0</v>
      </c>
      <c r="I137" s="17">
        <v>0</v>
      </c>
      <c r="J137" s="15">
        <v>5</v>
      </c>
      <c r="K137" s="43">
        <f t="shared" ref="K137" si="56">SUM(M137:M141)</f>
        <v>5</v>
      </c>
      <c r="L137" s="28">
        <v>1</v>
      </c>
      <c r="M137" s="33">
        <f t="shared" si="55"/>
        <v>1</v>
      </c>
      <c r="N137" s="1">
        <v>2312001100</v>
      </c>
    </row>
    <row r="138" spans="1:14" ht="18" customHeight="1" x14ac:dyDescent="0.45">
      <c r="A138" s="13">
        <v>132</v>
      </c>
      <c r="B138" s="41" t="str">
        <f t="shared" ref="B138:C141" si="57">B137</f>
        <v>東京本部</v>
      </c>
      <c r="C138" s="41" t="str">
        <f t="shared" si="57"/>
        <v>そんぽの家　ときわ台</v>
      </c>
      <c r="D138" s="14" t="s">
        <v>4</v>
      </c>
      <c r="E138" s="15">
        <v>1</v>
      </c>
      <c r="F138" s="16">
        <v>7</v>
      </c>
      <c r="G138" s="17">
        <v>7</v>
      </c>
      <c r="H138" s="16">
        <v>7</v>
      </c>
      <c r="I138" s="17">
        <v>7</v>
      </c>
      <c r="J138" s="15">
        <v>14</v>
      </c>
      <c r="K138" s="44">
        <f t="shared" ref="K138:K201" si="58">K137</f>
        <v>5</v>
      </c>
      <c r="L138" s="28">
        <v>2</v>
      </c>
      <c r="M138" s="33">
        <f t="shared" si="55"/>
        <v>2</v>
      </c>
      <c r="N138" s="1">
        <v>2312001100</v>
      </c>
    </row>
    <row r="139" spans="1:14" ht="18" customHeight="1" x14ac:dyDescent="0.45">
      <c r="A139" s="13">
        <v>133</v>
      </c>
      <c r="B139" s="41" t="str">
        <f t="shared" si="57"/>
        <v>東京本部</v>
      </c>
      <c r="C139" s="41" t="str">
        <f t="shared" si="57"/>
        <v>そんぽの家　ときわ台</v>
      </c>
      <c r="D139" s="14" t="s">
        <v>5</v>
      </c>
      <c r="E139" s="15">
        <v>2</v>
      </c>
      <c r="F139" s="16">
        <v>11</v>
      </c>
      <c r="G139" s="17">
        <v>5.5</v>
      </c>
      <c r="H139" s="16">
        <v>0</v>
      </c>
      <c r="I139" s="17">
        <v>0</v>
      </c>
      <c r="J139" s="15">
        <v>11</v>
      </c>
      <c r="K139" s="44">
        <f t="shared" si="58"/>
        <v>5</v>
      </c>
      <c r="L139" s="28">
        <v>2</v>
      </c>
      <c r="M139" s="33">
        <f t="shared" si="55"/>
        <v>2</v>
      </c>
      <c r="N139" s="1">
        <v>2312001100</v>
      </c>
    </row>
    <row r="140" spans="1:14" ht="18" customHeight="1" x14ac:dyDescent="0.45">
      <c r="A140" s="13">
        <v>134</v>
      </c>
      <c r="B140" s="41" t="str">
        <f t="shared" si="57"/>
        <v>東京本部</v>
      </c>
      <c r="C140" s="41" t="str">
        <f t="shared" si="57"/>
        <v>そんぽの家　ときわ台</v>
      </c>
      <c r="D140" s="14" t="s">
        <v>6</v>
      </c>
      <c r="E140" s="15">
        <v>3</v>
      </c>
      <c r="F140" s="16">
        <v>2</v>
      </c>
      <c r="G140" s="17">
        <v>0.7</v>
      </c>
      <c r="H140" s="16">
        <v>0</v>
      </c>
      <c r="I140" s="17">
        <v>0</v>
      </c>
      <c r="J140" s="15">
        <v>2</v>
      </c>
      <c r="K140" s="44">
        <f t="shared" si="58"/>
        <v>5</v>
      </c>
      <c r="L140" s="28">
        <v>0</v>
      </c>
      <c r="M140" s="33">
        <f t="shared" si="55"/>
        <v>0</v>
      </c>
      <c r="N140" s="1">
        <v>2312001100</v>
      </c>
    </row>
    <row r="141" spans="1:14" ht="18" customHeight="1" x14ac:dyDescent="0.45">
      <c r="A141" s="13">
        <v>135</v>
      </c>
      <c r="B141" s="42" t="str">
        <f t="shared" si="57"/>
        <v>東京本部</v>
      </c>
      <c r="C141" s="42" t="str">
        <f t="shared" si="57"/>
        <v>そんぽの家　ときわ台</v>
      </c>
      <c r="D141" s="14" t="s">
        <v>2</v>
      </c>
      <c r="E141" s="15">
        <v>2</v>
      </c>
      <c r="F141" s="16">
        <v>0</v>
      </c>
      <c r="G141" s="17">
        <v>0</v>
      </c>
      <c r="H141" s="16">
        <v>0</v>
      </c>
      <c r="I141" s="17">
        <v>0</v>
      </c>
      <c r="J141" s="15">
        <v>0</v>
      </c>
      <c r="K141" s="45">
        <f t="shared" si="58"/>
        <v>5</v>
      </c>
      <c r="L141" s="28">
        <v>0</v>
      </c>
      <c r="M141" s="33">
        <f t="shared" si="55"/>
        <v>0</v>
      </c>
      <c r="N141" s="1">
        <v>2312001100</v>
      </c>
    </row>
    <row r="142" spans="1:14" ht="18" customHeight="1" x14ac:dyDescent="0.45">
      <c r="A142" s="8">
        <v>136</v>
      </c>
      <c r="B142" s="34" t="s">
        <v>8</v>
      </c>
      <c r="C142" s="34" t="s">
        <v>21</v>
      </c>
      <c r="D142" s="9" t="s">
        <v>3</v>
      </c>
      <c r="E142" s="10">
        <v>1</v>
      </c>
      <c r="F142" s="11">
        <v>4</v>
      </c>
      <c r="G142" s="12">
        <v>4</v>
      </c>
      <c r="H142" s="11">
        <v>2</v>
      </c>
      <c r="I142" s="12">
        <v>2</v>
      </c>
      <c r="J142" s="10">
        <v>6</v>
      </c>
      <c r="K142" s="37">
        <f t="shared" ref="K142" si="59">SUM(M142:M146)</f>
        <v>4</v>
      </c>
      <c r="L142" s="28">
        <v>1</v>
      </c>
      <c r="M142" s="33">
        <f t="shared" si="55"/>
        <v>1</v>
      </c>
      <c r="N142" s="1">
        <v>2312041100</v>
      </c>
    </row>
    <row r="143" spans="1:14" ht="18" customHeight="1" x14ac:dyDescent="0.45">
      <c r="A143" s="8">
        <v>137</v>
      </c>
      <c r="B143" s="35" t="str">
        <f t="shared" ref="B143:C146" si="60">B142</f>
        <v>東京本部</v>
      </c>
      <c r="C143" s="35" t="str">
        <f t="shared" si="60"/>
        <v>そんぽの家　板橋徳丸</v>
      </c>
      <c r="D143" s="9" t="s">
        <v>4</v>
      </c>
      <c r="E143" s="10">
        <v>1</v>
      </c>
      <c r="F143" s="11">
        <v>3</v>
      </c>
      <c r="G143" s="12">
        <v>3</v>
      </c>
      <c r="H143" s="11">
        <v>1</v>
      </c>
      <c r="I143" s="12">
        <v>1</v>
      </c>
      <c r="J143" s="10">
        <v>4</v>
      </c>
      <c r="K143" s="38">
        <f t="shared" si="58"/>
        <v>4</v>
      </c>
      <c r="L143" s="28">
        <v>1</v>
      </c>
      <c r="M143" s="33">
        <f t="shared" si="55"/>
        <v>1</v>
      </c>
      <c r="N143" s="1">
        <v>2312041100</v>
      </c>
    </row>
    <row r="144" spans="1:14" ht="18" customHeight="1" x14ac:dyDescent="0.45">
      <c r="A144" s="8">
        <v>138</v>
      </c>
      <c r="B144" s="35" t="str">
        <f t="shared" si="60"/>
        <v>東京本部</v>
      </c>
      <c r="C144" s="35" t="str">
        <f t="shared" si="60"/>
        <v>そんぽの家　板橋徳丸</v>
      </c>
      <c r="D144" s="9" t="s">
        <v>5</v>
      </c>
      <c r="E144" s="10">
        <v>1</v>
      </c>
      <c r="F144" s="11">
        <v>0</v>
      </c>
      <c r="G144" s="12">
        <v>0</v>
      </c>
      <c r="H144" s="11">
        <v>0</v>
      </c>
      <c r="I144" s="12">
        <v>0</v>
      </c>
      <c r="J144" s="10">
        <v>0</v>
      </c>
      <c r="K144" s="38">
        <f t="shared" si="58"/>
        <v>4</v>
      </c>
      <c r="L144" s="28">
        <v>0</v>
      </c>
      <c r="M144" s="33">
        <f t="shared" si="55"/>
        <v>0</v>
      </c>
      <c r="N144" s="1">
        <v>2312041100</v>
      </c>
    </row>
    <row r="145" spans="1:14" ht="18" customHeight="1" x14ac:dyDescent="0.45">
      <c r="A145" s="8">
        <v>139</v>
      </c>
      <c r="B145" s="35" t="str">
        <f t="shared" si="60"/>
        <v>東京本部</v>
      </c>
      <c r="C145" s="35" t="str">
        <f t="shared" si="60"/>
        <v>そんぽの家　板橋徳丸</v>
      </c>
      <c r="D145" s="9" t="s">
        <v>6</v>
      </c>
      <c r="E145" s="10">
        <v>3</v>
      </c>
      <c r="F145" s="11">
        <v>0</v>
      </c>
      <c r="G145" s="12">
        <v>0</v>
      </c>
      <c r="H145" s="11">
        <v>0</v>
      </c>
      <c r="I145" s="12">
        <v>0</v>
      </c>
      <c r="J145" s="10">
        <v>0</v>
      </c>
      <c r="K145" s="38">
        <f t="shared" si="58"/>
        <v>4</v>
      </c>
      <c r="L145" s="28">
        <v>0</v>
      </c>
      <c r="M145" s="33">
        <f t="shared" si="55"/>
        <v>0</v>
      </c>
      <c r="N145" s="1">
        <v>2312041100</v>
      </c>
    </row>
    <row r="146" spans="1:14" ht="18" customHeight="1" x14ac:dyDescent="0.45">
      <c r="A146" s="8">
        <v>140</v>
      </c>
      <c r="B146" s="36" t="str">
        <f t="shared" si="60"/>
        <v>東京本部</v>
      </c>
      <c r="C146" s="36" t="str">
        <f t="shared" si="60"/>
        <v>そんぽの家　板橋徳丸</v>
      </c>
      <c r="D146" s="9" t="s">
        <v>2</v>
      </c>
      <c r="E146" s="10">
        <v>2</v>
      </c>
      <c r="F146" s="11">
        <v>10</v>
      </c>
      <c r="G146" s="12">
        <v>5</v>
      </c>
      <c r="H146" s="11">
        <v>0</v>
      </c>
      <c r="I146" s="12">
        <v>0</v>
      </c>
      <c r="J146" s="10">
        <v>10</v>
      </c>
      <c r="K146" s="39">
        <f t="shared" si="58"/>
        <v>4</v>
      </c>
      <c r="L146" s="28">
        <v>2</v>
      </c>
      <c r="M146" s="33">
        <f t="shared" si="55"/>
        <v>2</v>
      </c>
      <c r="N146" s="1">
        <v>2312041100</v>
      </c>
    </row>
    <row r="147" spans="1:14" ht="18" customHeight="1" x14ac:dyDescent="0.45">
      <c r="A147" s="13">
        <v>141</v>
      </c>
      <c r="B147" s="40" t="s">
        <v>8</v>
      </c>
      <c r="C147" s="40" t="s">
        <v>205</v>
      </c>
      <c r="D147" s="14" t="s">
        <v>3</v>
      </c>
      <c r="E147" s="15">
        <v>1</v>
      </c>
      <c r="F147" s="16">
        <v>2</v>
      </c>
      <c r="G147" s="17">
        <v>2</v>
      </c>
      <c r="H147" s="16">
        <v>0</v>
      </c>
      <c r="I147" s="17">
        <v>0</v>
      </c>
      <c r="J147" s="15">
        <v>2</v>
      </c>
      <c r="K147" s="43">
        <f t="shared" ref="K147" si="61">SUM(M147:M151)</f>
        <v>7</v>
      </c>
      <c r="L147" s="28">
        <v>0</v>
      </c>
      <c r="M147" s="33">
        <f t="shared" si="55"/>
        <v>0</v>
      </c>
      <c r="N147" s="1">
        <v>2312071100</v>
      </c>
    </row>
    <row r="148" spans="1:14" ht="18" customHeight="1" x14ac:dyDescent="0.45">
      <c r="A148" s="13">
        <v>142</v>
      </c>
      <c r="B148" s="41" t="str">
        <f t="shared" ref="B148:C151" si="62">B147</f>
        <v>東京本部</v>
      </c>
      <c r="C148" s="41" t="str">
        <f t="shared" si="62"/>
        <v>ラヴィーレ高島平</v>
      </c>
      <c r="D148" s="14" t="s">
        <v>4</v>
      </c>
      <c r="E148" s="15">
        <v>2</v>
      </c>
      <c r="F148" s="16">
        <v>5</v>
      </c>
      <c r="G148" s="17">
        <v>2.5</v>
      </c>
      <c r="H148" s="16">
        <v>0</v>
      </c>
      <c r="I148" s="17">
        <v>0</v>
      </c>
      <c r="J148" s="15">
        <v>5</v>
      </c>
      <c r="K148" s="44">
        <f t="shared" si="58"/>
        <v>7</v>
      </c>
      <c r="L148" s="28">
        <v>1</v>
      </c>
      <c r="M148" s="33">
        <f t="shared" si="55"/>
        <v>1</v>
      </c>
      <c r="N148" s="1">
        <v>2312071100</v>
      </c>
    </row>
    <row r="149" spans="1:14" ht="18" customHeight="1" x14ac:dyDescent="0.45">
      <c r="A149" s="13">
        <v>143</v>
      </c>
      <c r="B149" s="41" t="str">
        <f t="shared" si="62"/>
        <v>東京本部</v>
      </c>
      <c r="C149" s="41" t="str">
        <f t="shared" si="62"/>
        <v>ラヴィーレ高島平</v>
      </c>
      <c r="D149" s="14" t="s">
        <v>5</v>
      </c>
      <c r="E149" s="15">
        <v>1</v>
      </c>
      <c r="F149" s="16">
        <v>23</v>
      </c>
      <c r="G149" s="17">
        <v>23</v>
      </c>
      <c r="H149" s="16">
        <v>0</v>
      </c>
      <c r="I149" s="17">
        <v>0</v>
      </c>
      <c r="J149" s="15">
        <v>23</v>
      </c>
      <c r="K149" s="44">
        <f t="shared" si="58"/>
        <v>7</v>
      </c>
      <c r="L149" s="28">
        <v>2</v>
      </c>
      <c r="M149" s="33">
        <f t="shared" si="55"/>
        <v>2</v>
      </c>
      <c r="N149" s="1">
        <v>2312071100</v>
      </c>
    </row>
    <row r="150" spans="1:14" ht="18" customHeight="1" x14ac:dyDescent="0.45">
      <c r="A150" s="13">
        <v>144</v>
      </c>
      <c r="B150" s="41" t="str">
        <f t="shared" si="62"/>
        <v>東京本部</v>
      </c>
      <c r="C150" s="41" t="str">
        <f t="shared" si="62"/>
        <v>ラヴィーレ高島平</v>
      </c>
      <c r="D150" s="14" t="s">
        <v>6</v>
      </c>
      <c r="E150" s="15">
        <v>3</v>
      </c>
      <c r="F150" s="16">
        <v>24</v>
      </c>
      <c r="G150" s="17">
        <v>8</v>
      </c>
      <c r="H150" s="16">
        <v>0</v>
      </c>
      <c r="I150" s="17">
        <v>0</v>
      </c>
      <c r="J150" s="15">
        <v>24</v>
      </c>
      <c r="K150" s="44">
        <f t="shared" si="58"/>
        <v>7</v>
      </c>
      <c r="L150" s="28">
        <v>2</v>
      </c>
      <c r="M150" s="33">
        <f t="shared" si="55"/>
        <v>2</v>
      </c>
      <c r="N150" s="1">
        <v>2312071100</v>
      </c>
    </row>
    <row r="151" spans="1:14" ht="18" customHeight="1" x14ac:dyDescent="0.45">
      <c r="A151" s="13">
        <v>145</v>
      </c>
      <c r="B151" s="42" t="str">
        <f t="shared" si="62"/>
        <v>東京本部</v>
      </c>
      <c r="C151" s="42" t="str">
        <f t="shared" si="62"/>
        <v>ラヴィーレ高島平</v>
      </c>
      <c r="D151" s="14" t="s">
        <v>2</v>
      </c>
      <c r="E151" s="15">
        <v>2</v>
      </c>
      <c r="F151" s="16">
        <v>12</v>
      </c>
      <c r="G151" s="17">
        <v>6</v>
      </c>
      <c r="H151" s="16">
        <v>0</v>
      </c>
      <c r="I151" s="17">
        <v>0</v>
      </c>
      <c r="J151" s="15">
        <v>12</v>
      </c>
      <c r="K151" s="45">
        <f t="shared" si="58"/>
        <v>7</v>
      </c>
      <c r="L151" s="28">
        <v>2</v>
      </c>
      <c r="M151" s="33">
        <f t="shared" si="55"/>
        <v>2</v>
      </c>
      <c r="N151" s="1">
        <v>2312071100</v>
      </c>
    </row>
    <row r="152" spans="1:14" ht="18" customHeight="1" x14ac:dyDescent="0.45">
      <c r="A152" s="8">
        <v>146</v>
      </c>
      <c r="B152" s="34" t="s">
        <v>8</v>
      </c>
      <c r="C152" s="34" t="s">
        <v>206</v>
      </c>
      <c r="D152" s="9" t="s">
        <v>3</v>
      </c>
      <c r="E152" s="10">
        <v>1</v>
      </c>
      <c r="F152" s="11">
        <v>4</v>
      </c>
      <c r="G152" s="12">
        <v>4</v>
      </c>
      <c r="H152" s="11">
        <v>2</v>
      </c>
      <c r="I152" s="12">
        <v>2</v>
      </c>
      <c r="J152" s="10">
        <v>6</v>
      </c>
      <c r="K152" s="37">
        <f t="shared" ref="K152" si="63">SUM(M152:M156)</f>
        <v>3</v>
      </c>
      <c r="L152" s="28">
        <v>1</v>
      </c>
      <c r="M152" s="33">
        <f t="shared" si="55"/>
        <v>1</v>
      </c>
      <c r="N152" s="1">
        <v>2312101100</v>
      </c>
    </row>
    <row r="153" spans="1:14" ht="18" customHeight="1" x14ac:dyDescent="0.45">
      <c r="A153" s="8">
        <v>147</v>
      </c>
      <c r="B153" s="35" t="str">
        <f t="shared" ref="B153:C156" si="64">B152</f>
        <v>東京本部</v>
      </c>
      <c r="C153" s="35" t="str">
        <f t="shared" si="64"/>
        <v>ラヴィーレ赤塚公園</v>
      </c>
      <c r="D153" s="9" t="s">
        <v>4</v>
      </c>
      <c r="E153" s="10">
        <v>1</v>
      </c>
      <c r="F153" s="11">
        <v>3</v>
      </c>
      <c r="G153" s="12">
        <v>3</v>
      </c>
      <c r="H153" s="11">
        <v>0</v>
      </c>
      <c r="I153" s="12">
        <v>0</v>
      </c>
      <c r="J153" s="10">
        <v>3</v>
      </c>
      <c r="K153" s="38">
        <f t="shared" si="58"/>
        <v>3</v>
      </c>
      <c r="L153" s="28">
        <v>0</v>
      </c>
      <c r="M153" s="33">
        <f t="shared" si="55"/>
        <v>0</v>
      </c>
      <c r="N153" s="1">
        <v>2312101100</v>
      </c>
    </row>
    <row r="154" spans="1:14" ht="18" customHeight="1" x14ac:dyDescent="0.45">
      <c r="A154" s="8">
        <v>148</v>
      </c>
      <c r="B154" s="35" t="str">
        <f t="shared" si="64"/>
        <v>東京本部</v>
      </c>
      <c r="C154" s="35" t="str">
        <f t="shared" si="64"/>
        <v>ラヴィーレ赤塚公園</v>
      </c>
      <c r="D154" s="9" t="s">
        <v>5</v>
      </c>
      <c r="E154" s="10">
        <v>2</v>
      </c>
      <c r="F154" s="11">
        <v>14</v>
      </c>
      <c r="G154" s="12">
        <v>7</v>
      </c>
      <c r="H154" s="11">
        <v>0</v>
      </c>
      <c r="I154" s="12">
        <v>0</v>
      </c>
      <c r="J154" s="10">
        <v>14</v>
      </c>
      <c r="K154" s="38">
        <f t="shared" si="58"/>
        <v>3</v>
      </c>
      <c r="L154" s="28">
        <v>2</v>
      </c>
      <c r="M154" s="33">
        <f t="shared" si="55"/>
        <v>2</v>
      </c>
      <c r="N154" s="1">
        <v>2312101100</v>
      </c>
    </row>
    <row r="155" spans="1:14" ht="18" customHeight="1" x14ac:dyDescent="0.45">
      <c r="A155" s="8">
        <v>149</v>
      </c>
      <c r="B155" s="35" t="str">
        <f t="shared" si="64"/>
        <v>東京本部</v>
      </c>
      <c r="C155" s="35" t="str">
        <f t="shared" si="64"/>
        <v>ラヴィーレ赤塚公園</v>
      </c>
      <c r="D155" s="9" t="s">
        <v>6</v>
      </c>
      <c r="E155" s="10">
        <v>3</v>
      </c>
      <c r="F155" s="11">
        <v>0</v>
      </c>
      <c r="G155" s="12">
        <v>0</v>
      </c>
      <c r="H155" s="11">
        <v>0</v>
      </c>
      <c r="I155" s="12">
        <v>0</v>
      </c>
      <c r="J155" s="10">
        <v>0</v>
      </c>
      <c r="K155" s="38">
        <f t="shared" si="58"/>
        <v>3</v>
      </c>
      <c r="L155" s="28">
        <v>0</v>
      </c>
      <c r="M155" s="33">
        <f t="shared" si="55"/>
        <v>0</v>
      </c>
      <c r="N155" s="1">
        <v>2312101100</v>
      </c>
    </row>
    <row r="156" spans="1:14" ht="18" customHeight="1" x14ac:dyDescent="0.45">
      <c r="A156" s="8">
        <v>150</v>
      </c>
      <c r="B156" s="36" t="str">
        <f t="shared" si="64"/>
        <v>東京本部</v>
      </c>
      <c r="C156" s="36" t="str">
        <f t="shared" si="64"/>
        <v>ラヴィーレ赤塚公園</v>
      </c>
      <c r="D156" s="9" t="s">
        <v>2</v>
      </c>
      <c r="E156" s="10">
        <v>2</v>
      </c>
      <c r="F156" s="11">
        <v>1</v>
      </c>
      <c r="G156" s="12">
        <v>0.5</v>
      </c>
      <c r="H156" s="11">
        <v>0</v>
      </c>
      <c r="I156" s="12">
        <v>0</v>
      </c>
      <c r="J156" s="10">
        <v>1</v>
      </c>
      <c r="K156" s="39">
        <f t="shared" si="58"/>
        <v>3</v>
      </c>
      <c r="L156" s="28">
        <v>0</v>
      </c>
      <c r="M156" s="33">
        <f t="shared" si="55"/>
        <v>0</v>
      </c>
      <c r="N156" s="1">
        <v>2312101100</v>
      </c>
    </row>
    <row r="157" spans="1:14" ht="18" customHeight="1" x14ac:dyDescent="0.45">
      <c r="A157" s="13">
        <v>151</v>
      </c>
      <c r="B157" s="40" t="s">
        <v>8</v>
      </c>
      <c r="C157" s="40" t="s">
        <v>22</v>
      </c>
      <c r="D157" s="14" t="s">
        <v>3</v>
      </c>
      <c r="E157" s="15">
        <v>1</v>
      </c>
      <c r="F157" s="16">
        <v>7</v>
      </c>
      <c r="G157" s="17">
        <v>7</v>
      </c>
      <c r="H157" s="16">
        <v>2</v>
      </c>
      <c r="I157" s="17">
        <v>2</v>
      </c>
      <c r="J157" s="15">
        <v>9</v>
      </c>
      <c r="K157" s="43">
        <f t="shared" ref="K157" si="65">SUM(M157:M161)</f>
        <v>5</v>
      </c>
      <c r="L157" s="28">
        <v>2</v>
      </c>
      <c r="M157" s="33">
        <f t="shared" si="55"/>
        <v>2</v>
      </c>
      <c r="N157" s="1">
        <v>2312111100</v>
      </c>
    </row>
    <row r="158" spans="1:14" ht="18" customHeight="1" x14ac:dyDescent="0.45">
      <c r="A158" s="13">
        <v>152</v>
      </c>
      <c r="B158" s="41" t="str">
        <f t="shared" ref="B158:C161" si="66">B157</f>
        <v>東京本部</v>
      </c>
      <c r="C158" s="41" t="str">
        <f t="shared" si="66"/>
        <v>そんぽの家　板橋三園</v>
      </c>
      <c r="D158" s="14" t="s">
        <v>4</v>
      </c>
      <c r="E158" s="15">
        <v>1</v>
      </c>
      <c r="F158" s="16">
        <v>0</v>
      </c>
      <c r="G158" s="17">
        <v>0</v>
      </c>
      <c r="H158" s="16">
        <v>0</v>
      </c>
      <c r="I158" s="17">
        <v>0</v>
      </c>
      <c r="J158" s="15">
        <v>0</v>
      </c>
      <c r="K158" s="44">
        <f t="shared" si="58"/>
        <v>5</v>
      </c>
      <c r="L158" s="28">
        <v>0</v>
      </c>
      <c r="M158" s="33">
        <f t="shared" si="55"/>
        <v>0</v>
      </c>
      <c r="N158" s="1">
        <v>2312111100</v>
      </c>
    </row>
    <row r="159" spans="1:14" ht="18" customHeight="1" x14ac:dyDescent="0.45">
      <c r="A159" s="13">
        <v>153</v>
      </c>
      <c r="B159" s="41" t="str">
        <f t="shared" si="66"/>
        <v>東京本部</v>
      </c>
      <c r="C159" s="41" t="str">
        <f t="shared" si="66"/>
        <v>そんぽの家　板橋三園</v>
      </c>
      <c r="D159" s="14" t="s">
        <v>5</v>
      </c>
      <c r="E159" s="15">
        <v>1</v>
      </c>
      <c r="F159" s="16">
        <v>14</v>
      </c>
      <c r="G159" s="17">
        <v>14</v>
      </c>
      <c r="H159" s="16">
        <v>0</v>
      </c>
      <c r="I159" s="17">
        <v>0</v>
      </c>
      <c r="J159" s="15">
        <v>14</v>
      </c>
      <c r="K159" s="44">
        <f t="shared" si="58"/>
        <v>5</v>
      </c>
      <c r="L159" s="28">
        <v>2</v>
      </c>
      <c r="M159" s="33">
        <f t="shared" si="55"/>
        <v>2</v>
      </c>
      <c r="N159" s="1">
        <v>2312111100</v>
      </c>
    </row>
    <row r="160" spans="1:14" ht="18" customHeight="1" x14ac:dyDescent="0.45">
      <c r="A160" s="13">
        <v>154</v>
      </c>
      <c r="B160" s="41" t="str">
        <f t="shared" si="66"/>
        <v>東京本部</v>
      </c>
      <c r="C160" s="41" t="str">
        <f t="shared" si="66"/>
        <v>そんぽの家　板橋三園</v>
      </c>
      <c r="D160" s="14" t="s">
        <v>6</v>
      </c>
      <c r="E160" s="15">
        <v>3</v>
      </c>
      <c r="F160" s="16">
        <v>0</v>
      </c>
      <c r="G160" s="17">
        <v>0</v>
      </c>
      <c r="H160" s="16">
        <v>0</v>
      </c>
      <c r="I160" s="17">
        <v>0</v>
      </c>
      <c r="J160" s="15">
        <v>0</v>
      </c>
      <c r="K160" s="44">
        <f t="shared" si="58"/>
        <v>5</v>
      </c>
      <c r="L160" s="28">
        <v>0</v>
      </c>
      <c r="M160" s="33">
        <f t="shared" si="55"/>
        <v>0</v>
      </c>
      <c r="N160" s="1">
        <v>2312111100</v>
      </c>
    </row>
    <row r="161" spans="1:14" ht="18" customHeight="1" x14ac:dyDescent="0.45">
      <c r="A161" s="13">
        <v>155</v>
      </c>
      <c r="B161" s="42" t="str">
        <f t="shared" si="66"/>
        <v>東京本部</v>
      </c>
      <c r="C161" s="42" t="str">
        <f t="shared" si="66"/>
        <v>そんぽの家　板橋三園</v>
      </c>
      <c r="D161" s="14" t="s">
        <v>2</v>
      </c>
      <c r="E161" s="15">
        <v>2</v>
      </c>
      <c r="F161" s="16">
        <v>5</v>
      </c>
      <c r="G161" s="17">
        <v>2.5</v>
      </c>
      <c r="H161" s="16">
        <v>0</v>
      </c>
      <c r="I161" s="17">
        <v>0</v>
      </c>
      <c r="J161" s="15">
        <v>5</v>
      </c>
      <c r="K161" s="45">
        <f t="shared" si="58"/>
        <v>5</v>
      </c>
      <c r="L161" s="28">
        <v>1</v>
      </c>
      <c r="M161" s="33">
        <f t="shared" si="55"/>
        <v>1</v>
      </c>
      <c r="N161" s="1">
        <v>2312111100</v>
      </c>
    </row>
    <row r="162" spans="1:14" ht="18" customHeight="1" x14ac:dyDescent="0.45">
      <c r="A162" s="8">
        <v>156</v>
      </c>
      <c r="B162" s="34" t="s">
        <v>8</v>
      </c>
      <c r="C162" s="34" t="s">
        <v>207</v>
      </c>
      <c r="D162" s="9" t="s">
        <v>3</v>
      </c>
      <c r="E162" s="10">
        <v>1</v>
      </c>
      <c r="F162" s="11">
        <v>4</v>
      </c>
      <c r="G162" s="12">
        <v>4</v>
      </c>
      <c r="H162" s="11">
        <v>0</v>
      </c>
      <c r="I162" s="12">
        <v>0</v>
      </c>
      <c r="J162" s="10">
        <v>4</v>
      </c>
      <c r="K162" s="37">
        <f t="shared" ref="K162" si="67">SUM(M162:M166)</f>
        <v>5</v>
      </c>
      <c r="L162" s="28">
        <v>1</v>
      </c>
      <c r="M162" s="33">
        <f t="shared" si="55"/>
        <v>1</v>
      </c>
      <c r="N162" s="1">
        <v>2312121100</v>
      </c>
    </row>
    <row r="163" spans="1:14" ht="18" customHeight="1" x14ac:dyDescent="0.45">
      <c r="A163" s="8">
        <v>157</v>
      </c>
      <c r="B163" s="35" t="str">
        <f t="shared" ref="B163:C166" si="68">B162</f>
        <v>東京本部</v>
      </c>
      <c r="C163" s="35" t="str">
        <f t="shared" si="68"/>
        <v>ラヴィーレ光が丘公園</v>
      </c>
      <c r="D163" s="9" t="s">
        <v>4</v>
      </c>
      <c r="E163" s="10">
        <v>1</v>
      </c>
      <c r="F163" s="11">
        <v>3</v>
      </c>
      <c r="G163" s="12">
        <v>3</v>
      </c>
      <c r="H163" s="11">
        <v>0</v>
      </c>
      <c r="I163" s="12">
        <v>0</v>
      </c>
      <c r="J163" s="10">
        <v>3</v>
      </c>
      <c r="K163" s="38">
        <f t="shared" si="58"/>
        <v>5</v>
      </c>
      <c r="L163" s="28">
        <v>0</v>
      </c>
      <c r="M163" s="33">
        <f t="shared" si="55"/>
        <v>0</v>
      </c>
      <c r="N163" s="1">
        <v>2312121100</v>
      </c>
    </row>
    <row r="164" spans="1:14" ht="18" customHeight="1" x14ac:dyDescent="0.45">
      <c r="A164" s="8">
        <v>158</v>
      </c>
      <c r="B164" s="35" t="str">
        <f t="shared" si="68"/>
        <v>東京本部</v>
      </c>
      <c r="C164" s="35" t="str">
        <f t="shared" si="68"/>
        <v>ラヴィーレ光が丘公園</v>
      </c>
      <c r="D164" s="9" t="s">
        <v>5</v>
      </c>
      <c r="E164" s="10">
        <v>3</v>
      </c>
      <c r="F164" s="11">
        <v>52</v>
      </c>
      <c r="G164" s="12">
        <v>17.3</v>
      </c>
      <c r="H164" s="11">
        <v>0</v>
      </c>
      <c r="I164" s="12">
        <v>0</v>
      </c>
      <c r="J164" s="10">
        <v>52</v>
      </c>
      <c r="K164" s="38">
        <f t="shared" si="58"/>
        <v>5</v>
      </c>
      <c r="L164" s="28">
        <v>2</v>
      </c>
      <c r="M164" s="33">
        <f t="shared" si="55"/>
        <v>2</v>
      </c>
      <c r="N164" s="1">
        <v>2312121100</v>
      </c>
    </row>
    <row r="165" spans="1:14" ht="18" customHeight="1" x14ac:dyDescent="0.45">
      <c r="A165" s="8">
        <v>159</v>
      </c>
      <c r="B165" s="35" t="str">
        <f t="shared" si="68"/>
        <v>東京本部</v>
      </c>
      <c r="C165" s="35" t="str">
        <f t="shared" si="68"/>
        <v>ラヴィーレ光が丘公園</v>
      </c>
      <c r="D165" s="9" t="s">
        <v>6</v>
      </c>
      <c r="E165" s="10">
        <v>8</v>
      </c>
      <c r="F165" s="11">
        <v>0</v>
      </c>
      <c r="G165" s="12">
        <v>0</v>
      </c>
      <c r="H165" s="11">
        <v>0</v>
      </c>
      <c r="I165" s="12">
        <v>0</v>
      </c>
      <c r="J165" s="10">
        <v>0</v>
      </c>
      <c r="K165" s="38">
        <f t="shared" si="58"/>
        <v>5</v>
      </c>
      <c r="L165" s="28">
        <v>0</v>
      </c>
      <c r="M165" s="33">
        <f t="shared" si="55"/>
        <v>0</v>
      </c>
      <c r="N165" s="1">
        <v>2312121100</v>
      </c>
    </row>
    <row r="166" spans="1:14" ht="18" customHeight="1" x14ac:dyDescent="0.45">
      <c r="A166" s="8">
        <v>160</v>
      </c>
      <c r="B166" s="36" t="str">
        <f t="shared" si="68"/>
        <v>東京本部</v>
      </c>
      <c r="C166" s="36" t="str">
        <f t="shared" si="68"/>
        <v>ラヴィーレ光が丘公園</v>
      </c>
      <c r="D166" s="9" t="s">
        <v>2</v>
      </c>
      <c r="E166" s="10">
        <v>1</v>
      </c>
      <c r="F166" s="11">
        <v>10</v>
      </c>
      <c r="G166" s="12">
        <v>10</v>
      </c>
      <c r="H166" s="11">
        <v>0</v>
      </c>
      <c r="I166" s="12">
        <v>0</v>
      </c>
      <c r="J166" s="10">
        <v>10</v>
      </c>
      <c r="K166" s="39">
        <f t="shared" si="58"/>
        <v>5</v>
      </c>
      <c r="L166" s="28">
        <v>2</v>
      </c>
      <c r="M166" s="33">
        <f t="shared" si="55"/>
        <v>2</v>
      </c>
      <c r="N166" s="1">
        <v>2312121100</v>
      </c>
    </row>
    <row r="167" spans="1:14" ht="18" customHeight="1" x14ac:dyDescent="0.45">
      <c r="A167" s="13">
        <v>161</v>
      </c>
      <c r="B167" s="40" t="s">
        <v>8</v>
      </c>
      <c r="C167" s="40" t="s">
        <v>208</v>
      </c>
      <c r="D167" s="14" t="s">
        <v>3</v>
      </c>
      <c r="E167" s="15">
        <v>1</v>
      </c>
      <c r="F167" s="16">
        <v>0</v>
      </c>
      <c r="G167" s="17">
        <v>0</v>
      </c>
      <c r="H167" s="16">
        <v>0</v>
      </c>
      <c r="I167" s="17">
        <v>0</v>
      </c>
      <c r="J167" s="15">
        <v>0</v>
      </c>
      <c r="K167" s="43">
        <f t="shared" ref="K167" si="69">SUM(M167:M171)</f>
        <v>4</v>
      </c>
      <c r="L167" s="28">
        <v>0</v>
      </c>
      <c r="M167" s="33">
        <f t="shared" si="55"/>
        <v>0</v>
      </c>
      <c r="N167" s="1">
        <v>2312161100</v>
      </c>
    </row>
    <row r="168" spans="1:14" ht="18" customHeight="1" x14ac:dyDescent="0.45">
      <c r="A168" s="13">
        <v>162</v>
      </c>
      <c r="B168" s="41" t="str">
        <f t="shared" ref="B168:C171" si="70">B167</f>
        <v>東京本部</v>
      </c>
      <c r="C168" s="41" t="str">
        <f t="shared" si="70"/>
        <v>ラヴィーレ赤羽</v>
      </c>
      <c r="D168" s="14" t="s">
        <v>4</v>
      </c>
      <c r="E168" s="15">
        <v>1</v>
      </c>
      <c r="F168" s="16">
        <v>22</v>
      </c>
      <c r="G168" s="17">
        <v>22</v>
      </c>
      <c r="H168" s="16">
        <v>19</v>
      </c>
      <c r="I168" s="17">
        <v>19</v>
      </c>
      <c r="J168" s="15">
        <v>41</v>
      </c>
      <c r="K168" s="44">
        <f t="shared" si="58"/>
        <v>4</v>
      </c>
      <c r="L168" s="28">
        <v>2</v>
      </c>
      <c r="M168" s="33">
        <f t="shared" si="55"/>
        <v>2</v>
      </c>
      <c r="N168" s="1">
        <v>2312161100</v>
      </c>
    </row>
    <row r="169" spans="1:14" ht="18" customHeight="1" x14ac:dyDescent="0.45">
      <c r="A169" s="13">
        <v>163</v>
      </c>
      <c r="B169" s="41" t="str">
        <f t="shared" si="70"/>
        <v>東京本部</v>
      </c>
      <c r="C169" s="41" t="str">
        <f t="shared" si="70"/>
        <v>ラヴィーレ赤羽</v>
      </c>
      <c r="D169" s="14" t="s">
        <v>5</v>
      </c>
      <c r="E169" s="15">
        <v>2</v>
      </c>
      <c r="F169" s="16">
        <v>11</v>
      </c>
      <c r="G169" s="17">
        <v>5.5</v>
      </c>
      <c r="H169" s="16">
        <v>0</v>
      </c>
      <c r="I169" s="17">
        <v>0</v>
      </c>
      <c r="J169" s="15">
        <v>11</v>
      </c>
      <c r="K169" s="44">
        <f t="shared" si="58"/>
        <v>4</v>
      </c>
      <c r="L169" s="28">
        <v>2</v>
      </c>
      <c r="M169" s="33">
        <f t="shared" si="55"/>
        <v>2</v>
      </c>
      <c r="N169" s="1">
        <v>2312161100</v>
      </c>
    </row>
    <row r="170" spans="1:14" ht="18" customHeight="1" x14ac:dyDescent="0.45">
      <c r="A170" s="13">
        <v>164</v>
      </c>
      <c r="B170" s="41" t="str">
        <f t="shared" si="70"/>
        <v>東京本部</v>
      </c>
      <c r="C170" s="41" t="str">
        <f t="shared" si="70"/>
        <v>ラヴィーレ赤羽</v>
      </c>
      <c r="D170" s="14" t="s">
        <v>6</v>
      </c>
      <c r="E170" s="15">
        <v>5</v>
      </c>
      <c r="F170" s="16">
        <v>1</v>
      </c>
      <c r="G170" s="17">
        <v>0.2</v>
      </c>
      <c r="H170" s="16">
        <v>0</v>
      </c>
      <c r="I170" s="17">
        <v>0</v>
      </c>
      <c r="J170" s="15">
        <v>1</v>
      </c>
      <c r="K170" s="44">
        <f t="shared" si="58"/>
        <v>4</v>
      </c>
      <c r="L170" s="28">
        <v>0</v>
      </c>
      <c r="M170" s="33">
        <f t="shared" si="55"/>
        <v>0</v>
      </c>
      <c r="N170" s="1">
        <v>2312161100</v>
      </c>
    </row>
    <row r="171" spans="1:14" ht="18" customHeight="1" x14ac:dyDescent="0.45">
      <c r="A171" s="13">
        <v>165</v>
      </c>
      <c r="B171" s="42" t="str">
        <f t="shared" si="70"/>
        <v>東京本部</v>
      </c>
      <c r="C171" s="42" t="str">
        <f t="shared" si="70"/>
        <v>ラヴィーレ赤羽</v>
      </c>
      <c r="D171" s="14" t="s">
        <v>2</v>
      </c>
      <c r="E171" s="15">
        <v>3</v>
      </c>
      <c r="F171" s="16">
        <v>0</v>
      </c>
      <c r="G171" s="17">
        <v>0</v>
      </c>
      <c r="H171" s="16">
        <v>0</v>
      </c>
      <c r="I171" s="17">
        <v>0</v>
      </c>
      <c r="J171" s="15">
        <v>0</v>
      </c>
      <c r="K171" s="45">
        <f t="shared" si="58"/>
        <v>4</v>
      </c>
      <c r="L171" s="28">
        <v>0</v>
      </c>
      <c r="M171" s="33">
        <f t="shared" si="55"/>
        <v>0</v>
      </c>
      <c r="N171" s="1">
        <v>2312161100</v>
      </c>
    </row>
    <row r="172" spans="1:14" ht="18" customHeight="1" x14ac:dyDescent="0.45">
      <c r="A172" s="8">
        <v>166</v>
      </c>
      <c r="B172" s="34" t="s">
        <v>8</v>
      </c>
      <c r="C172" s="34" t="s">
        <v>209</v>
      </c>
      <c r="D172" s="9" t="s">
        <v>3</v>
      </c>
      <c r="E172" s="10">
        <v>1</v>
      </c>
      <c r="F172" s="11">
        <v>12</v>
      </c>
      <c r="G172" s="12">
        <v>12</v>
      </c>
      <c r="H172" s="11">
        <v>5</v>
      </c>
      <c r="I172" s="12">
        <v>5</v>
      </c>
      <c r="J172" s="10">
        <v>17</v>
      </c>
      <c r="K172" s="37">
        <f t="shared" ref="K172" si="71">SUM(M172:M176)</f>
        <v>8</v>
      </c>
      <c r="L172" s="28">
        <v>2</v>
      </c>
      <c r="M172" s="33">
        <f t="shared" si="55"/>
        <v>2</v>
      </c>
      <c r="N172" s="1">
        <v>2312221100</v>
      </c>
    </row>
    <row r="173" spans="1:14" ht="18" customHeight="1" x14ac:dyDescent="0.45">
      <c r="A173" s="8">
        <v>167</v>
      </c>
      <c r="B173" s="35" t="str">
        <f t="shared" ref="B173:C176" si="72">B172</f>
        <v>東京本部</v>
      </c>
      <c r="C173" s="35" t="str">
        <f t="shared" si="72"/>
        <v>ラヴィーレ練馬</v>
      </c>
      <c r="D173" s="9" t="s">
        <v>4</v>
      </c>
      <c r="E173" s="10">
        <v>1</v>
      </c>
      <c r="F173" s="11">
        <v>3</v>
      </c>
      <c r="G173" s="12">
        <v>3</v>
      </c>
      <c r="H173" s="11">
        <v>0</v>
      </c>
      <c r="I173" s="12">
        <v>0</v>
      </c>
      <c r="J173" s="10">
        <v>3</v>
      </c>
      <c r="K173" s="38">
        <f t="shared" si="58"/>
        <v>8</v>
      </c>
      <c r="L173" s="28">
        <v>0</v>
      </c>
      <c r="M173" s="33">
        <f t="shared" si="55"/>
        <v>0</v>
      </c>
      <c r="N173" s="1">
        <v>2312221100</v>
      </c>
    </row>
    <row r="174" spans="1:14" ht="18" customHeight="1" x14ac:dyDescent="0.45">
      <c r="A174" s="8">
        <v>168</v>
      </c>
      <c r="B174" s="35" t="str">
        <f t="shared" si="72"/>
        <v>東京本部</v>
      </c>
      <c r="C174" s="35" t="str">
        <f t="shared" si="72"/>
        <v>ラヴィーレ練馬</v>
      </c>
      <c r="D174" s="9" t="s">
        <v>5</v>
      </c>
      <c r="E174" s="10">
        <v>2</v>
      </c>
      <c r="F174" s="11">
        <v>20</v>
      </c>
      <c r="G174" s="12">
        <v>10</v>
      </c>
      <c r="H174" s="11">
        <v>0</v>
      </c>
      <c r="I174" s="12">
        <v>0</v>
      </c>
      <c r="J174" s="10">
        <v>20</v>
      </c>
      <c r="K174" s="38">
        <f t="shared" si="58"/>
        <v>8</v>
      </c>
      <c r="L174" s="28">
        <v>2</v>
      </c>
      <c r="M174" s="33">
        <f t="shared" si="55"/>
        <v>2</v>
      </c>
      <c r="N174" s="1">
        <v>2312221100</v>
      </c>
    </row>
    <row r="175" spans="1:14" ht="18" customHeight="1" x14ac:dyDescent="0.45">
      <c r="A175" s="8">
        <v>169</v>
      </c>
      <c r="B175" s="35" t="str">
        <f t="shared" si="72"/>
        <v>東京本部</v>
      </c>
      <c r="C175" s="35" t="str">
        <f t="shared" si="72"/>
        <v>ラヴィーレ練馬</v>
      </c>
      <c r="D175" s="9" t="s">
        <v>6</v>
      </c>
      <c r="E175" s="10">
        <v>4</v>
      </c>
      <c r="F175" s="11">
        <v>39</v>
      </c>
      <c r="G175" s="12">
        <v>9.8000000000000007</v>
      </c>
      <c r="H175" s="11">
        <v>0</v>
      </c>
      <c r="I175" s="12">
        <v>0</v>
      </c>
      <c r="J175" s="10">
        <v>39</v>
      </c>
      <c r="K175" s="38">
        <f t="shared" si="58"/>
        <v>8</v>
      </c>
      <c r="L175" s="28">
        <v>2</v>
      </c>
      <c r="M175" s="33">
        <f t="shared" si="55"/>
        <v>2</v>
      </c>
      <c r="N175" s="1">
        <v>2312221100</v>
      </c>
    </row>
    <row r="176" spans="1:14" ht="18" customHeight="1" x14ac:dyDescent="0.45">
      <c r="A176" s="8">
        <v>170</v>
      </c>
      <c r="B176" s="36" t="str">
        <f t="shared" si="72"/>
        <v>東京本部</v>
      </c>
      <c r="C176" s="36" t="str">
        <f t="shared" si="72"/>
        <v>ラヴィーレ練馬</v>
      </c>
      <c r="D176" s="9" t="s">
        <v>2</v>
      </c>
      <c r="E176" s="10">
        <v>2</v>
      </c>
      <c r="F176" s="11">
        <v>13</v>
      </c>
      <c r="G176" s="12">
        <v>6.5</v>
      </c>
      <c r="H176" s="11">
        <v>0</v>
      </c>
      <c r="I176" s="12">
        <v>0</v>
      </c>
      <c r="J176" s="10">
        <v>13</v>
      </c>
      <c r="K176" s="39">
        <f t="shared" si="58"/>
        <v>8</v>
      </c>
      <c r="L176" s="28">
        <v>2</v>
      </c>
      <c r="M176" s="33">
        <f t="shared" si="55"/>
        <v>2</v>
      </c>
      <c r="N176" s="1">
        <v>2312221100</v>
      </c>
    </row>
    <row r="177" spans="1:14" ht="18" customHeight="1" x14ac:dyDescent="0.45">
      <c r="A177" s="13">
        <v>171</v>
      </c>
      <c r="B177" s="40" t="s">
        <v>8</v>
      </c>
      <c r="C177" s="40" t="s">
        <v>210</v>
      </c>
      <c r="D177" s="14" t="s">
        <v>3</v>
      </c>
      <c r="E177" s="15">
        <v>1</v>
      </c>
      <c r="F177" s="16">
        <v>23</v>
      </c>
      <c r="G177" s="17">
        <v>23</v>
      </c>
      <c r="H177" s="16">
        <v>6</v>
      </c>
      <c r="I177" s="17">
        <v>6</v>
      </c>
      <c r="J177" s="15">
        <v>29</v>
      </c>
      <c r="K177" s="43">
        <f t="shared" ref="K177" si="73">SUM(M177:M181)</f>
        <v>3</v>
      </c>
      <c r="L177" s="28">
        <v>2</v>
      </c>
      <c r="M177" s="33">
        <f t="shared" si="55"/>
        <v>2</v>
      </c>
      <c r="N177" s="1">
        <v>2312261100</v>
      </c>
    </row>
    <row r="178" spans="1:14" ht="18" customHeight="1" x14ac:dyDescent="0.45">
      <c r="A178" s="13">
        <v>172</v>
      </c>
      <c r="B178" s="41" t="str">
        <f t="shared" ref="B178:C181" si="74">B177</f>
        <v>東京本部</v>
      </c>
      <c r="C178" s="41" t="str">
        <f t="shared" si="74"/>
        <v>ラヴィーレ鷺ノ宮</v>
      </c>
      <c r="D178" s="14" t="s">
        <v>4</v>
      </c>
      <c r="E178" s="15">
        <v>2</v>
      </c>
      <c r="F178" s="16">
        <v>4</v>
      </c>
      <c r="G178" s="17">
        <v>2</v>
      </c>
      <c r="H178" s="16">
        <v>3</v>
      </c>
      <c r="I178" s="17">
        <v>1.5</v>
      </c>
      <c r="J178" s="15">
        <v>7</v>
      </c>
      <c r="K178" s="44">
        <f t="shared" si="58"/>
        <v>3</v>
      </c>
      <c r="L178" s="28">
        <v>1</v>
      </c>
      <c r="M178" s="33">
        <f t="shared" si="55"/>
        <v>1</v>
      </c>
      <c r="N178" s="1">
        <v>2312261100</v>
      </c>
    </row>
    <row r="179" spans="1:14" ht="18" customHeight="1" x14ac:dyDescent="0.45">
      <c r="A179" s="13">
        <v>173</v>
      </c>
      <c r="B179" s="41" t="str">
        <f t="shared" si="74"/>
        <v>東京本部</v>
      </c>
      <c r="C179" s="41" t="str">
        <f t="shared" si="74"/>
        <v>ラヴィーレ鷺ノ宮</v>
      </c>
      <c r="D179" s="14" t="s">
        <v>5</v>
      </c>
      <c r="E179" s="15">
        <v>2</v>
      </c>
      <c r="F179" s="16">
        <v>1</v>
      </c>
      <c r="G179" s="17">
        <v>0.5</v>
      </c>
      <c r="H179" s="16">
        <v>0</v>
      </c>
      <c r="I179" s="17">
        <v>0</v>
      </c>
      <c r="J179" s="15">
        <v>1</v>
      </c>
      <c r="K179" s="44">
        <f t="shared" si="58"/>
        <v>3</v>
      </c>
      <c r="L179" s="28">
        <v>0</v>
      </c>
      <c r="M179" s="33">
        <f t="shared" si="55"/>
        <v>0</v>
      </c>
      <c r="N179" s="1">
        <v>2312261100</v>
      </c>
    </row>
    <row r="180" spans="1:14" ht="18" customHeight="1" x14ac:dyDescent="0.45">
      <c r="A180" s="13">
        <v>174</v>
      </c>
      <c r="B180" s="41" t="str">
        <f t="shared" si="74"/>
        <v>東京本部</v>
      </c>
      <c r="C180" s="41" t="str">
        <f t="shared" si="74"/>
        <v>ラヴィーレ鷺ノ宮</v>
      </c>
      <c r="D180" s="14" t="s">
        <v>6</v>
      </c>
      <c r="E180" s="15">
        <v>10</v>
      </c>
      <c r="F180" s="16">
        <v>0</v>
      </c>
      <c r="G180" s="17">
        <v>0</v>
      </c>
      <c r="H180" s="16">
        <v>0</v>
      </c>
      <c r="I180" s="17">
        <v>0</v>
      </c>
      <c r="J180" s="15">
        <v>0</v>
      </c>
      <c r="K180" s="44">
        <f t="shared" si="58"/>
        <v>3</v>
      </c>
      <c r="L180" s="28">
        <v>0</v>
      </c>
      <c r="M180" s="33">
        <f t="shared" si="55"/>
        <v>0</v>
      </c>
      <c r="N180" s="1">
        <v>2312261100</v>
      </c>
    </row>
    <row r="181" spans="1:14" ht="18" customHeight="1" x14ac:dyDescent="0.45">
      <c r="A181" s="13">
        <v>175</v>
      </c>
      <c r="B181" s="42" t="str">
        <f t="shared" si="74"/>
        <v>東京本部</v>
      </c>
      <c r="C181" s="42" t="str">
        <f t="shared" si="74"/>
        <v>ラヴィーレ鷺ノ宮</v>
      </c>
      <c r="D181" s="14" t="s">
        <v>2</v>
      </c>
      <c r="E181" s="15">
        <v>2</v>
      </c>
      <c r="F181" s="16">
        <v>2</v>
      </c>
      <c r="G181" s="17">
        <v>1</v>
      </c>
      <c r="H181" s="16">
        <v>0</v>
      </c>
      <c r="I181" s="17">
        <v>0</v>
      </c>
      <c r="J181" s="15">
        <v>2</v>
      </c>
      <c r="K181" s="45">
        <f t="shared" si="58"/>
        <v>3</v>
      </c>
      <c r="L181" s="28">
        <v>0</v>
      </c>
      <c r="M181" s="33">
        <f t="shared" si="55"/>
        <v>0</v>
      </c>
      <c r="N181" s="1">
        <v>2312261100</v>
      </c>
    </row>
    <row r="182" spans="1:14" ht="18" customHeight="1" x14ac:dyDescent="0.45">
      <c r="A182" s="8">
        <v>176</v>
      </c>
      <c r="B182" s="34" t="s">
        <v>8</v>
      </c>
      <c r="C182" s="34" t="s">
        <v>23</v>
      </c>
      <c r="D182" s="9" t="s">
        <v>3</v>
      </c>
      <c r="E182" s="10">
        <v>1</v>
      </c>
      <c r="F182" s="11">
        <v>5</v>
      </c>
      <c r="G182" s="12">
        <v>5</v>
      </c>
      <c r="H182" s="11">
        <v>0</v>
      </c>
      <c r="I182" s="12">
        <v>0</v>
      </c>
      <c r="J182" s="10">
        <v>5</v>
      </c>
      <c r="K182" s="37">
        <f t="shared" ref="K182" si="75">SUM(M182:M186)</f>
        <v>6</v>
      </c>
      <c r="L182" s="28">
        <v>1</v>
      </c>
      <c r="M182" s="33">
        <f t="shared" si="55"/>
        <v>1</v>
      </c>
      <c r="N182" s="1">
        <v>2312321100</v>
      </c>
    </row>
    <row r="183" spans="1:14" ht="18" customHeight="1" x14ac:dyDescent="0.45">
      <c r="A183" s="8">
        <v>177</v>
      </c>
      <c r="B183" s="35" t="str">
        <f t="shared" ref="B183:C186" si="76">B182</f>
        <v>東京本部</v>
      </c>
      <c r="C183" s="35" t="str">
        <f t="shared" si="76"/>
        <v>そんぽの家　氷川台</v>
      </c>
      <c r="D183" s="9" t="s">
        <v>4</v>
      </c>
      <c r="E183" s="10">
        <v>1</v>
      </c>
      <c r="F183" s="11">
        <v>3</v>
      </c>
      <c r="G183" s="12">
        <v>3</v>
      </c>
      <c r="H183" s="11">
        <v>1</v>
      </c>
      <c r="I183" s="12">
        <v>1</v>
      </c>
      <c r="J183" s="10">
        <v>4</v>
      </c>
      <c r="K183" s="38">
        <f t="shared" si="58"/>
        <v>6</v>
      </c>
      <c r="L183" s="28">
        <v>1</v>
      </c>
      <c r="M183" s="33">
        <f t="shared" si="55"/>
        <v>1</v>
      </c>
      <c r="N183" s="1">
        <v>2312321100</v>
      </c>
    </row>
    <row r="184" spans="1:14" ht="18" customHeight="1" x14ac:dyDescent="0.45">
      <c r="A184" s="8">
        <v>178</v>
      </c>
      <c r="B184" s="35" t="str">
        <f t="shared" si="76"/>
        <v>東京本部</v>
      </c>
      <c r="C184" s="35" t="str">
        <f t="shared" si="76"/>
        <v>そんぽの家　氷川台</v>
      </c>
      <c r="D184" s="9" t="s">
        <v>5</v>
      </c>
      <c r="E184" s="10">
        <v>1</v>
      </c>
      <c r="F184" s="11">
        <v>25</v>
      </c>
      <c r="G184" s="12">
        <v>25</v>
      </c>
      <c r="H184" s="11">
        <v>0</v>
      </c>
      <c r="I184" s="12">
        <v>0</v>
      </c>
      <c r="J184" s="10">
        <v>25</v>
      </c>
      <c r="K184" s="38">
        <f t="shared" si="58"/>
        <v>6</v>
      </c>
      <c r="L184" s="28">
        <v>2</v>
      </c>
      <c r="M184" s="33">
        <f t="shared" si="55"/>
        <v>2</v>
      </c>
      <c r="N184" s="1">
        <v>2312321100</v>
      </c>
    </row>
    <row r="185" spans="1:14" ht="18" customHeight="1" x14ac:dyDescent="0.45">
      <c r="A185" s="8">
        <v>179</v>
      </c>
      <c r="B185" s="35" t="str">
        <f t="shared" si="76"/>
        <v>東京本部</v>
      </c>
      <c r="C185" s="35" t="str">
        <f t="shared" si="76"/>
        <v>そんぽの家　氷川台</v>
      </c>
      <c r="D185" s="9" t="s">
        <v>6</v>
      </c>
      <c r="E185" s="10">
        <v>5</v>
      </c>
      <c r="F185" s="11">
        <v>23</v>
      </c>
      <c r="G185" s="12">
        <v>4.5999999999999996</v>
      </c>
      <c r="H185" s="11">
        <v>0</v>
      </c>
      <c r="I185" s="12">
        <v>0</v>
      </c>
      <c r="J185" s="10">
        <v>23</v>
      </c>
      <c r="K185" s="38">
        <f t="shared" si="58"/>
        <v>6</v>
      </c>
      <c r="L185" s="28">
        <v>2</v>
      </c>
      <c r="M185" s="33">
        <f t="shared" si="55"/>
        <v>2</v>
      </c>
      <c r="N185" s="1">
        <v>2312321100</v>
      </c>
    </row>
    <row r="186" spans="1:14" ht="18" customHeight="1" x14ac:dyDescent="0.45">
      <c r="A186" s="8">
        <v>180</v>
      </c>
      <c r="B186" s="36" t="str">
        <f t="shared" si="76"/>
        <v>東京本部</v>
      </c>
      <c r="C186" s="36" t="str">
        <f t="shared" si="76"/>
        <v>そんぽの家　氷川台</v>
      </c>
      <c r="D186" s="9" t="s">
        <v>2</v>
      </c>
      <c r="E186" s="10">
        <v>1</v>
      </c>
      <c r="F186" s="11">
        <v>0</v>
      </c>
      <c r="G186" s="12">
        <v>0</v>
      </c>
      <c r="H186" s="11">
        <v>0</v>
      </c>
      <c r="I186" s="12">
        <v>0</v>
      </c>
      <c r="J186" s="10">
        <v>0</v>
      </c>
      <c r="K186" s="39">
        <f t="shared" si="58"/>
        <v>6</v>
      </c>
      <c r="L186" s="28">
        <v>0</v>
      </c>
      <c r="M186" s="33">
        <f t="shared" si="55"/>
        <v>0</v>
      </c>
      <c r="N186" s="1">
        <v>2312321100</v>
      </c>
    </row>
    <row r="187" spans="1:14" ht="18" customHeight="1" x14ac:dyDescent="0.45">
      <c r="A187" s="13">
        <v>181</v>
      </c>
      <c r="B187" s="40" t="s">
        <v>8</v>
      </c>
      <c r="C187" s="40" t="s">
        <v>24</v>
      </c>
      <c r="D187" s="14" t="s">
        <v>3</v>
      </c>
      <c r="E187" s="15">
        <v>1</v>
      </c>
      <c r="F187" s="16">
        <v>1</v>
      </c>
      <c r="G187" s="17">
        <v>1</v>
      </c>
      <c r="H187" s="16">
        <v>1</v>
      </c>
      <c r="I187" s="17">
        <v>1</v>
      </c>
      <c r="J187" s="15">
        <v>2</v>
      </c>
      <c r="K187" s="43">
        <f t="shared" ref="K187" si="77">SUM(M187:M191)</f>
        <v>6</v>
      </c>
      <c r="L187" s="28">
        <v>0</v>
      </c>
      <c r="M187" s="33">
        <f t="shared" si="55"/>
        <v>0</v>
      </c>
      <c r="N187" s="1">
        <v>2312341100</v>
      </c>
    </row>
    <row r="188" spans="1:14" ht="18" customHeight="1" x14ac:dyDescent="0.45">
      <c r="A188" s="13">
        <v>182</v>
      </c>
      <c r="B188" s="41" t="str">
        <f t="shared" ref="B188:C191" si="78">B187</f>
        <v>東京本部</v>
      </c>
      <c r="C188" s="41" t="str">
        <f t="shared" si="78"/>
        <v>そんぽの家　石神井公園</v>
      </c>
      <c r="D188" s="14" t="s">
        <v>4</v>
      </c>
      <c r="E188" s="15">
        <v>1</v>
      </c>
      <c r="F188" s="16">
        <v>3</v>
      </c>
      <c r="G188" s="17">
        <v>3</v>
      </c>
      <c r="H188" s="16">
        <v>1</v>
      </c>
      <c r="I188" s="17">
        <v>1</v>
      </c>
      <c r="J188" s="15">
        <v>4</v>
      </c>
      <c r="K188" s="44">
        <f t="shared" si="58"/>
        <v>6</v>
      </c>
      <c r="L188" s="28">
        <v>1</v>
      </c>
      <c r="M188" s="33">
        <f t="shared" si="55"/>
        <v>1</v>
      </c>
      <c r="N188" s="1">
        <v>2312341100</v>
      </c>
    </row>
    <row r="189" spans="1:14" ht="18" customHeight="1" x14ac:dyDescent="0.45">
      <c r="A189" s="13">
        <v>183</v>
      </c>
      <c r="B189" s="41" t="str">
        <f t="shared" si="78"/>
        <v>東京本部</v>
      </c>
      <c r="C189" s="41" t="str">
        <f t="shared" si="78"/>
        <v>そんぽの家　石神井公園</v>
      </c>
      <c r="D189" s="14" t="s">
        <v>5</v>
      </c>
      <c r="E189" s="15">
        <v>1</v>
      </c>
      <c r="F189" s="16">
        <v>4</v>
      </c>
      <c r="G189" s="17">
        <v>4</v>
      </c>
      <c r="H189" s="16">
        <v>0</v>
      </c>
      <c r="I189" s="17">
        <v>0</v>
      </c>
      <c r="J189" s="15">
        <v>4</v>
      </c>
      <c r="K189" s="44">
        <f t="shared" si="58"/>
        <v>6</v>
      </c>
      <c r="L189" s="28">
        <v>1</v>
      </c>
      <c r="M189" s="33">
        <f t="shared" si="55"/>
        <v>1</v>
      </c>
      <c r="N189" s="1">
        <v>2312341100</v>
      </c>
    </row>
    <row r="190" spans="1:14" ht="18" customHeight="1" x14ac:dyDescent="0.45">
      <c r="A190" s="13">
        <v>184</v>
      </c>
      <c r="B190" s="41" t="str">
        <f t="shared" si="78"/>
        <v>東京本部</v>
      </c>
      <c r="C190" s="41" t="str">
        <f t="shared" si="78"/>
        <v>そんぽの家　石神井公園</v>
      </c>
      <c r="D190" s="14" t="s">
        <v>6</v>
      </c>
      <c r="E190" s="15">
        <v>3</v>
      </c>
      <c r="F190" s="16">
        <v>20</v>
      </c>
      <c r="G190" s="17">
        <v>6.7</v>
      </c>
      <c r="H190" s="16">
        <v>0</v>
      </c>
      <c r="I190" s="17">
        <v>0</v>
      </c>
      <c r="J190" s="15">
        <v>20</v>
      </c>
      <c r="K190" s="44">
        <f t="shared" si="58"/>
        <v>6</v>
      </c>
      <c r="L190" s="28">
        <v>2</v>
      </c>
      <c r="M190" s="33">
        <f t="shared" si="55"/>
        <v>2</v>
      </c>
      <c r="N190" s="1">
        <v>2312341100</v>
      </c>
    </row>
    <row r="191" spans="1:14" ht="18" customHeight="1" x14ac:dyDescent="0.45">
      <c r="A191" s="13">
        <v>185</v>
      </c>
      <c r="B191" s="42" t="str">
        <f t="shared" si="78"/>
        <v>東京本部</v>
      </c>
      <c r="C191" s="42" t="str">
        <f t="shared" si="78"/>
        <v>そんぽの家　石神井公園</v>
      </c>
      <c r="D191" s="14" t="s">
        <v>2</v>
      </c>
      <c r="E191" s="15">
        <v>1</v>
      </c>
      <c r="F191" s="16">
        <v>15</v>
      </c>
      <c r="G191" s="17">
        <v>15</v>
      </c>
      <c r="H191" s="16">
        <v>0</v>
      </c>
      <c r="I191" s="17">
        <v>0</v>
      </c>
      <c r="J191" s="15">
        <v>15</v>
      </c>
      <c r="K191" s="45">
        <f t="shared" si="58"/>
        <v>6</v>
      </c>
      <c r="L191" s="28">
        <v>2</v>
      </c>
      <c r="M191" s="33">
        <f t="shared" si="55"/>
        <v>2</v>
      </c>
      <c r="N191" s="1">
        <v>2312341100</v>
      </c>
    </row>
    <row r="192" spans="1:14" ht="18" customHeight="1" x14ac:dyDescent="0.45">
      <c r="A192" s="8">
        <v>186</v>
      </c>
      <c r="B192" s="34" t="s">
        <v>8</v>
      </c>
      <c r="C192" s="34" t="s">
        <v>25</v>
      </c>
      <c r="D192" s="9" t="s">
        <v>3</v>
      </c>
      <c r="E192" s="10">
        <v>1</v>
      </c>
      <c r="F192" s="11">
        <v>17</v>
      </c>
      <c r="G192" s="12">
        <v>17</v>
      </c>
      <c r="H192" s="11">
        <v>17</v>
      </c>
      <c r="I192" s="12">
        <v>17</v>
      </c>
      <c r="J192" s="10">
        <v>34</v>
      </c>
      <c r="K192" s="37">
        <f t="shared" ref="K192" si="79">SUM(M192:M196)</f>
        <v>6</v>
      </c>
      <c r="L192" s="28">
        <v>2</v>
      </c>
      <c r="M192" s="33">
        <f t="shared" si="55"/>
        <v>2</v>
      </c>
      <c r="N192" s="1">
        <v>2312371100</v>
      </c>
    </row>
    <row r="193" spans="1:14" ht="18" customHeight="1" x14ac:dyDescent="0.45">
      <c r="A193" s="8">
        <v>187</v>
      </c>
      <c r="B193" s="35" t="str">
        <f t="shared" ref="B193:C196" si="80">B192</f>
        <v>東京本部</v>
      </c>
      <c r="C193" s="35" t="str">
        <f t="shared" si="80"/>
        <v>そんぽの家　光が丘</v>
      </c>
      <c r="D193" s="9" t="s">
        <v>4</v>
      </c>
      <c r="E193" s="10">
        <v>1</v>
      </c>
      <c r="F193" s="11">
        <v>0</v>
      </c>
      <c r="G193" s="12">
        <v>0</v>
      </c>
      <c r="H193" s="11">
        <v>0</v>
      </c>
      <c r="I193" s="12">
        <v>0</v>
      </c>
      <c r="J193" s="10">
        <v>0</v>
      </c>
      <c r="K193" s="38">
        <f t="shared" si="58"/>
        <v>6</v>
      </c>
      <c r="L193" s="28">
        <v>0</v>
      </c>
      <c r="M193" s="33">
        <f t="shared" si="55"/>
        <v>0</v>
      </c>
      <c r="N193" s="1">
        <v>2312371100</v>
      </c>
    </row>
    <row r="194" spans="1:14" ht="18" customHeight="1" x14ac:dyDescent="0.45">
      <c r="A194" s="8">
        <v>188</v>
      </c>
      <c r="B194" s="35" t="str">
        <f t="shared" si="80"/>
        <v>東京本部</v>
      </c>
      <c r="C194" s="35" t="str">
        <f t="shared" si="80"/>
        <v>そんぽの家　光が丘</v>
      </c>
      <c r="D194" s="9" t="s">
        <v>5</v>
      </c>
      <c r="E194" s="10">
        <v>2</v>
      </c>
      <c r="F194" s="11">
        <v>37</v>
      </c>
      <c r="G194" s="12">
        <v>18.5</v>
      </c>
      <c r="H194" s="11">
        <v>0</v>
      </c>
      <c r="I194" s="12">
        <v>0</v>
      </c>
      <c r="J194" s="10">
        <v>37</v>
      </c>
      <c r="K194" s="38">
        <f t="shared" si="58"/>
        <v>6</v>
      </c>
      <c r="L194" s="28">
        <v>2</v>
      </c>
      <c r="M194" s="33">
        <f t="shared" si="55"/>
        <v>2</v>
      </c>
      <c r="N194" s="1">
        <v>2312371100</v>
      </c>
    </row>
    <row r="195" spans="1:14" ht="18" customHeight="1" x14ac:dyDescent="0.45">
      <c r="A195" s="8">
        <v>189</v>
      </c>
      <c r="B195" s="35" t="str">
        <f t="shared" si="80"/>
        <v>東京本部</v>
      </c>
      <c r="C195" s="35" t="str">
        <f t="shared" si="80"/>
        <v>そんぽの家　光が丘</v>
      </c>
      <c r="D195" s="9" t="s">
        <v>6</v>
      </c>
      <c r="E195" s="10">
        <v>4</v>
      </c>
      <c r="F195" s="11">
        <v>0</v>
      </c>
      <c r="G195" s="12">
        <v>0</v>
      </c>
      <c r="H195" s="11">
        <v>0</v>
      </c>
      <c r="I195" s="12">
        <v>0</v>
      </c>
      <c r="J195" s="10">
        <v>0</v>
      </c>
      <c r="K195" s="38">
        <f t="shared" si="58"/>
        <v>6</v>
      </c>
      <c r="L195" s="28">
        <v>0</v>
      </c>
      <c r="M195" s="33">
        <f t="shared" si="55"/>
        <v>0</v>
      </c>
      <c r="N195" s="1">
        <v>2312371100</v>
      </c>
    </row>
    <row r="196" spans="1:14" ht="18" customHeight="1" x14ac:dyDescent="0.45">
      <c r="A196" s="8">
        <v>190</v>
      </c>
      <c r="B196" s="36" t="str">
        <f t="shared" si="80"/>
        <v>東京本部</v>
      </c>
      <c r="C196" s="36" t="str">
        <f t="shared" si="80"/>
        <v>そんぽの家　光が丘</v>
      </c>
      <c r="D196" s="9" t="s">
        <v>2</v>
      </c>
      <c r="E196" s="10">
        <v>1</v>
      </c>
      <c r="F196" s="11">
        <v>8</v>
      </c>
      <c r="G196" s="12">
        <v>8</v>
      </c>
      <c r="H196" s="11">
        <v>0</v>
      </c>
      <c r="I196" s="12">
        <v>0</v>
      </c>
      <c r="J196" s="10">
        <v>8</v>
      </c>
      <c r="K196" s="39">
        <f t="shared" si="58"/>
        <v>6</v>
      </c>
      <c r="L196" s="28">
        <v>2</v>
      </c>
      <c r="M196" s="33">
        <f t="shared" si="55"/>
        <v>2</v>
      </c>
      <c r="N196" s="1">
        <v>2312371100</v>
      </c>
    </row>
    <row r="197" spans="1:14" ht="18" customHeight="1" x14ac:dyDescent="0.45">
      <c r="A197" s="13">
        <v>191</v>
      </c>
      <c r="B197" s="40" t="s">
        <v>8</v>
      </c>
      <c r="C197" s="40" t="s">
        <v>211</v>
      </c>
      <c r="D197" s="14" t="s">
        <v>3</v>
      </c>
      <c r="E197" s="15">
        <v>1</v>
      </c>
      <c r="F197" s="16">
        <v>2</v>
      </c>
      <c r="G197" s="17">
        <v>2</v>
      </c>
      <c r="H197" s="16">
        <v>0</v>
      </c>
      <c r="I197" s="17">
        <v>0</v>
      </c>
      <c r="J197" s="15">
        <v>2</v>
      </c>
      <c r="K197" s="43">
        <f t="shared" ref="K197" si="81">SUM(M197:M201)</f>
        <v>6</v>
      </c>
      <c r="L197" s="28">
        <v>0</v>
      </c>
      <c r="M197" s="33">
        <f t="shared" si="55"/>
        <v>0</v>
      </c>
      <c r="N197" s="1">
        <v>2312401100</v>
      </c>
    </row>
    <row r="198" spans="1:14" ht="18" customHeight="1" x14ac:dyDescent="0.45">
      <c r="A198" s="13">
        <v>192</v>
      </c>
      <c r="B198" s="41" t="str">
        <f t="shared" ref="B198:C201" si="82">B197</f>
        <v>東京本部</v>
      </c>
      <c r="C198" s="41" t="str">
        <f t="shared" si="82"/>
        <v>ラヴィーレ南大泉</v>
      </c>
      <c r="D198" s="14" t="s">
        <v>4</v>
      </c>
      <c r="E198" s="15">
        <v>1</v>
      </c>
      <c r="F198" s="16">
        <v>10</v>
      </c>
      <c r="G198" s="17">
        <v>10</v>
      </c>
      <c r="H198" s="16">
        <v>4</v>
      </c>
      <c r="I198" s="17">
        <v>4</v>
      </c>
      <c r="J198" s="15">
        <v>14</v>
      </c>
      <c r="K198" s="44">
        <f t="shared" si="58"/>
        <v>6</v>
      </c>
      <c r="L198" s="28">
        <v>2</v>
      </c>
      <c r="M198" s="33">
        <f t="shared" si="55"/>
        <v>2</v>
      </c>
      <c r="N198" s="1">
        <v>2312401100</v>
      </c>
    </row>
    <row r="199" spans="1:14" ht="18" customHeight="1" x14ac:dyDescent="0.45">
      <c r="A199" s="13">
        <v>193</v>
      </c>
      <c r="B199" s="41" t="str">
        <f t="shared" si="82"/>
        <v>東京本部</v>
      </c>
      <c r="C199" s="41" t="str">
        <f t="shared" si="82"/>
        <v>ラヴィーレ南大泉</v>
      </c>
      <c r="D199" s="14" t="s">
        <v>5</v>
      </c>
      <c r="E199" s="15">
        <v>2</v>
      </c>
      <c r="F199" s="16">
        <v>58</v>
      </c>
      <c r="G199" s="17">
        <v>29</v>
      </c>
      <c r="H199" s="16">
        <v>0</v>
      </c>
      <c r="I199" s="17">
        <v>0</v>
      </c>
      <c r="J199" s="15">
        <v>58</v>
      </c>
      <c r="K199" s="44">
        <f t="shared" si="58"/>
        <v>6</v>
      </c>
      <c r="L199" s="28">
        <v>2</v>
      </c>
      <c r="M199" s="33">
        <f t="shared" si="55"/>
        <v>2</v>
      </c>
      <c r="N199" s="1">
        <v>2312401100</v>
      </c>
    </row>
    <row r="200" spans="1:14" ht="18" customHeight="1" x14ac:dyDescent="0.45">
      <c r="A200" s="13">
        <v>194</v>
      </c>
      <c r="B200" s="41" t="str">
        <f t="shared" si="82"/>
        <v>東京本部</v>
      </c>
      <c r="C200" s="41" t="str">
        <f t="shared" si="82"/>
        <v>ラヴィーレ南大泉</v>
      </c>
      <c r="D200" s="14" t="s">
        <v>6</v>
      </c>
      <c r="E200" s="15">
        <v>3</v>
      </c>
      <c r="F200" s="16">
        <v>0</v>
      </c>
      <c r="G200" s="17">
        <v>0</v>
      </c>
      <c r="H200" s="16">
        <v>0</v>
      </c>
      <c r="I200" s="17">
        <v>0</v>
      </c>
      <c r="J200" s="15">
        <v>0</v>
      </c>
      <c r="K200" s="44">
        <f t="shared" si="58"/>
        <v>6</v>
      </c>
      <c r="L200" s="28">
        <v>0</v>
      </c>
      <c r="M200" s="33">
        <f t="shared" ref="M200:M263" si="83">L200</f>
        <v>0</v>
      </c>
      <c r="N200" s="1">
        <v>2312401100</v>
      </c>
    </row>
    <row r="201" spans="1:14" ht="18" customHeight="1" x14ac:dyDescent="0.45">
      <c r="A201" s="13">
        <v>195</v>
      </c>
      <c r="B201" s="42" t="str">
        <f t="shared" si="82"/>
        <v>東京本部</v>
      </c>
      <c r="C201" s="42" t="str">
        <f t="shared" si="82"/>
        <v>ラヴィーレ南大泉</v>
      </c>
      <c r="D201" s="14" t="s">
        <v>2</v>
      </c>
      <c r="E201" s="15">
        <v>2</v>
      </c>
      <c r="F201" s="16">
        <v>13</v>
      </c>
      <c r="G201" s="17">
        <v>6.5</v>
      </c>
      <c r="H201" s="16">
        <v>0</v>
      </c>
      <c r="I201" s="17">
        <v>0</v>
      </c>
      <c r="J201" s="15">
        <v>13</v>
      </c>
      <c r="K201" s="45">
        <f t="shared" si="58"/>
        <v>6</v>
      </c>
      <c r="L201" s="28">
        <v>2</v>
      </c>
      <c r="M201" s="33">
        <f t="shared" si="83"/>
        <v>2</v>
      </c>
      <c r="N201" s="1">
        <v>2312401100</v>
      </c>
    </row>
    <row r="202" spans="1:14" ht="18" customHeight="1" x14ac:dyDescent="0.45">
      <c r="A202" s="8">
        <v>196</v>
      </c>
      <c r="B202" s="34" t="s">
        <v>8</v>
      </c>
      <c r="C202" s="34" t="s">
        <v>26</v>
      </c>
      <c r="D202" s="9" t="s">
        <v>3</v>
      </c>
      <c r="E202" s="10">
        <v>1</v>
      </c>
      <c r="F202" s="11">
        <v>0</v>
      </c>
      <c r="G202" s="12">
        <v>0</v>
      </c>
      <c r="H202" s="11">
        <v>0</v>
      </c>
      <c r="I202" s="12">
        <v>0</v>
      </c>
      <c r="J202" s="10">
        <v>0</v>
      </c>
      <c r="K202" s="37">
        <f t="shared" ref="K202" si="84">SUM(M202:M206)</f>
        <v>2</v>
      </c>
      <c r="L202" s="28">
        <v>0</v>
      </c>
      <c r="M202" s="33">
        <f t="shared" si="83"/>
        <v>0</v>
      </c>
      <c r="N202" s="1">
        <v>2312551100</v>
      </c>
    </row>
    <row r="203" spans="1:14" ht="18" customHeight="1" x14ac:dyDescent="0.45">
      <c r="A203" s="8">
        <v>197</v>
      </c>
      <c r="B203" s="35" t="str">
        <f t="shared" ref="B203:C206" si="85">B202</f>
        <v>東京本部</v>
      </c>
      <c r="C203" s="35" t="str">
        <f t="shared" si="85"/>
        <v>そんぽの家　高円寺</v>
      </c>
      <c r="D203" s="9" t="s">
        <v>4</v>
      </c>
      <c r="E203" s="10">
        <v>1</v>
      </c>
      <c r="F203" s="11">
        <v>9</v>
      </c>
      <c r="G203" s="12">
        <v>9</v>
      </c>
      <c r="H203" s="11">
        <v>3</v>
      </c>
      <c r="I203" s="12">
        <v>3</v>
      </c>
      <c r="J203" s="10">
        <v>12</v>
      </c>
      <c r="K203" s="38">
        <f t="shared" ref="K203:K266" si="86">K202</f>
        <v>2</v>
      </c>
      <c r="L203" s="28">
        <v>2</v>
      </c>
      <c r="M203" s="33">
        <f t="shared" si="83"/>
        <v>2</v>
      </c>
      <c r="N203" s="1">
        <v>2312551100</v>
      </c>
    </row>
    <row r="204" spans="1:14" ht="18" customHeight="1" x14ac:dyDescent="0.45">
      <c r="A204" s="8">
        <v>198</v>
      </c>
      <c r="B204" s="35" t="str">
        <f t="shared" si="85"/>
        <v>東京本部</v>
      </c>
      <c r="C204" s="35" t="str">
        <f t="shared" si="85"/>
        <v>そんぽの家　高円寺</v>
      </c>
      <c r="D204" s="9" t="s">
        <v>5</v>
      </c>
      <c r="E204" s="10">
        <v>0</v>
      </c>
      <c r="F204" s="11">
        <v>0</v>
      </c>
      <c r="G204" s="12">
        <v>0</v>
      </c>
      <c r="H204" s="11">
        <v>0</v>
      </c>
      <c r="I204" s="12">
        <v>0</v>
      </c>
      <c r="J204" s="10">
        <v>0</v>
      </c>
      <c r="K204" s="38">
        <f t="shared" si="86"/>
        <v>2</v>
      </c>
      <c r="L204" s="28">
        <v>0</v>
      </c>
      <c r="M204" s="33">
        <f t="shared" si="83"/>
        <v>0</v>
      </c>
      <c r="N204" s="1">
        <v>2312551100</v>
      </c>
    </row>
    <row r="205" spans="1:14" ht="18" customHeight="1" x14ac:dyDescent="0.45">
      <c r="A205" s="8">
        <v>199</v>
      </c>
      <c r="B205" s="35" t="str">
        <f t="shared" si="85"/>
        <v>東京本部</v>
      </c>
      <c r="C205" s="35" t="str">
        <f t="shared" si="85"/>
        <v>そんぽの家　高円寺</v>
      </c>
      <c r="D205" s="9" t="s">
        <v>6</v>
      </c>
      <c r="E205" s="10">
        <v>4</v>
      </c>
      <c r="F205" s="11">
        <v>0</v>
      </c>
      <c r="G205" s="12">
        <v>0</v>
      </c>
      <c r="H205" s="11">
        <v>0</v>
      </c>
      <c r="I205" s="12">
        <v>0</v>
      </c>
      <c r="J205" s="10">
        <v>0</v>
      </c>
      <c r="K205" s="38">
        <f t="shared" si="86"/>
        <v>2</v>
      </c>
      <c r="L205" s="28">
        <v>0</v>
      </c>
      <c r="M205" s="33">
        <f t="shared" si="83"/>
        <v>0</v>
      </c>
      <c r="N205" s="1">
        <v>2312551100</v>
      </c>
    </row>
    <row r="206" spans="1:14" ht="18" customHeight="1" x14ac:dyDescent="0.45">
      <c r="A206" s="8">
        <v>200</v>
      </c>
      <c r="B206" s="36" t="str">
        <f t="shared" si="85"/>
        <v>東京本部</v>
      </c>
      <c r="C206" s="36" t="str">
        <f t="shared" si="85"/>
        <v>そんぽの家　高円寺</v>
      </c>
      <c r="D206" s="9" t="s">
        <v>2</v>
      </c>
      <c r="E206" s="10">
        <v>1</v>
      </c>
      <c r="F206" s="11">
        <v>3</v>
      </c>
      <c r="G206" s="12">
        <v>3</v>
      </c>
      <c r="H206" s="11">
        <v>0</v>
      </c>
      <c r="I206" s="12">
        <v>0</v>
      </c>
      <c r="J206" s="10">
        <v>3</v>
      </c>
      <c r="K206" s="39">
        <f t="shared" si="86"/>
        <v>2</v>
      </c>
      <c r="L206" s="28">
        <v>0</v>
      </c>
      <c r="M206" s="33">
        <f t="shared" si="83"/>
        <v>0</v>
      </c>
      <c r="N206" s="1">
        <v>2312551100</v>
      </c>
    </row>
    <row r="207" spans="1:14" ht="18" customHeight="1" x14ac:dyDescent="0.45">
      <c r="A207" s="13">
        <v>201</v>
      </c>
      <c r="B207" s="40" t="s">
        <v>8</v>
      </c>
      <c r="C207" s="40" t="s">
        <v>27</v>
      </c>
      <c r="D207" s="14" t="s">
        <v>3</v>
      </c>
      <c r="E207" s="15">
        <v>1</v>
      </c>
      <c r="F207" s="16">
        <v>20</v>
      </c>
      <c r="G207" s="17">
        <v>20</v>
      </c>
      <c r="H207" s="16">
        <v>20</v>
      </c>
      <c r="I207" s="17">
        <v>20</v>
      </c>
      <c r="J207" s="15">
        <v>40</v>
      </c>
      <c r="K207" s="43">
        <f t="shared" ref="K207" si="87">SUM(M207:M211)</f>
        <v>9</v>
      </c>
      <c r="L207" s="28">
        <v>2</v>
      </c>
      <c r="M207" s="33">
        <f t="shared" si="83"/>
        <v>2</v>
      </c>
      <c r="N207" s="1">
        <v>2312751100</v>
      </c>
    </row>
    <row r="208" spans="1:14" ht="18" customHeight="1" x14ac:dyDescent="0.45">
      <c r="A208" s="13">
        <v>202</v>
      </c>
      <c r="B208" s="41" t="str">
        <f t="shared" ref="B208:C211" si="88">B207</f>
        <v>東京本部</v>
      </c>
      <c r="C208" s="41" t="str">
        <f t="shared" si="88"/>
        <v>そんぽの家　三鷹牟礼</v>
      </c>
      <c r="D208" s="14" t="s">
        <v>4</v>
      </c>
      <c r="E208" s="15">
        <v>1</v>
      </c>
      <c r="F208" s="16">
        <v>5</v>
      </c>
      <c r="G208" s="17">
        <v>5</v>
      </c>
      <c r="H208" s="16">
        <v>2</v>
      </c>
      <c r="I208" s="17">
        <v>2</v>
      </c>
      <c r="J208" s="15">
        <v>7</v>
      </c>
      <c r="K208" s="44">
        <f t="shared" si="86"/>
        <v>9</v>
      </c>
      <c r="L208" s="28">
        <v>1</v>
      </c>
      <c r="M208" s="33">
        <f t="shared" si="83"/>
        <v>1</v>
      </c>
      <c r="N208" s="1">
        <v>2312751100</v>
      </c>
    </row>
    <row r="209" spans="1:14" ht="18" customHeight="1" x14ac:dyDescent="0.45">
      <c r="A209" s="13">
        <v>203</v>
      </c>
      <c r="B209" s="41" t="str">
        <f t="shared" si="88"/>
        <v>東京本部</v>
      </c>
      <c r="C209" s="41" t="str">
        <f t="shared" si="88"/>
        <v>そんぽの家　三鷹牟礼</v>
      </c>
      <c r="D209" s="14" t="s">
        <v>5</v>
      </c>
      <c r="E209" s="15">
        <v>1</v>
      </c>
      <c r="F209" s="16">
        <v>31</v>
      </c>
      <c r="G209" s="17">
        <v>31</v>
      </c>
      <c r="H209" s="16">
        <v>0</v>
      </c>
      <c r="I209" s="17">
        <v>0</v>
      </c>
      <c r="J209" s="15">
        <v>31</v>
      </c>
      <c r="K209" s="44">
        <f t="shared" si="86"/>
        <v>9</v>
      </c>
      <c r="L209" s="28">
        <v>2</v>
      </c>
      <c r="M209" s="33">
        <f t="shared" si="83"/>
        <v>2</v>
      </c>
      <c r="N209" s="1">
        <v>2312751100</v>
      </c>
    </row>
    <row r="210" spans="1:14" ht="18" customHeight="1" x14ac:dyDescent="0.45">
      <c r="A210" s="13">
        <v>204</v>
      </c>
      <c r="B210" s="41" t="str">
        <f t="shared" si="88"/>
        <v>東京本部</v>
      </c>
      <c r="C210" s="41" t="str">
        <f t="shared" si="88"/>
        <v>そんぽの家　三鷹牟礼</v>
      </c>
      <c r="D210" s="14" t="s">
        <v>6</v>
      </c>
      <c r="E210" s="15">
        <v>3</v>
      </c>
      <c r="F210" s="16">
        <v>10</v>
      </c>
      <c r="G210" s="17">
        <v>3.3</v>
      </c>
      <c r="H210" s="16">
        <v>0</v>
      </c>
      <c r="I210" s="17">
        <v>0</v>
      </c>
      <c r="J210" s="15">
        <v>10</v>
      </c>
      <c r="K210" s="44">
        <f t="shared" si="86"/>
        <v>9</v>
      </c>
      <c r="L210" s="28">
        <v>2</v>
      </c>
      <c r="M210" s="33">
        <f t="shared" si="83"/>
        <v>2</v>
      </c>
      <c r="N210" s="1">
        <v>2312751100</v>
      </c>
    </row>
    <row r="211" spans="1:14" ht="18" customHeight="1" x14ac:dyDescent="0.45">
      <c r="A211" s="13">
        <v>205</v>
      </c>
      <c r="B211" s="42" t="str">
        <f t="shared" si="88"/>
        <v>東京本部</v>
      </c>
      <c r="C211" s="42" t="str">
        <f t="shared" si="88"/>
        <v>そんぽの家　三鷹牟礼</v>
      </c>
      <c r="D211" s="14" t="s">
        <v>2</v>
      </c>
      <c r="E211" s="15">
        <v>2</v>
      </c>
      <c r="F211" s="16">
        <v>45</v>
      </c>
      <c r="G211" s="17">
        <v>22.5</v>
      </c>
      <c r="H211" s="16">
        <v>0</v>
      </c>
      <c r="I211" s="17">
        <v>0</v>
      </c>
      <c r="J211" s="15">
        <v>45</v>
      </c>
      <c r="K211" s="45">
        <f t="shared" si="86"/>
        <v>9</v>
      </c>
      <c r="L211" s="28">
        <v>2</v>
      </c>
      <c r="M211" s="33">
        <f t="shared" si="83"/>
        <v>2</v>
      </c>
      <c r="N211" s="1">
        <v>2312751100</v>
      </c>
    </row>
    <row r="212" spans="1:14" ht="18" customHeight="1" x14ac:dyDescent="0.45">
      <c r="A212" s="8">
        <v>206</v>
      </c>
      <c r="B212" s="34" t="s">
        <v>8</v>
      </c>
      <c r="C212" s="34" t="s">
        <v>28</v>
      </c>
      <c r="D212" s="9" t="s">
        <v>3</v>
      </c>
      <c r="E212" s="10">
        <v>1</v>
      </c>
      <c r="F212" s="11">
        <v>6</v>
      </c>
      <c r="G212" s="12">
        <v>6</v>
      </c>
      <c r="H212" s="11">
        <v>5</v>
      </c>
      <c r="I212" s="12">
        <v>5</v>
      </c>
      <c r="J212" s="10">
        <v>11</v>
      </c>
      <c r="K212" s="37">
        <f t="shared" ref="K212" si="89">SUM(M212:M216)</f>
        <v>8</v>
      </c>
      <c r="L212" s="28">
        <v>2</v>
      </c>
      <c r="M212" s="33">
        <f t="shared" si="83"/>
        <v>2</v>
      </c>
      <c r="N212" s="1">
        <v>2312781100</v>
      </c>
    </row>
    <row r="213" spans="1:14" ht="18" customHeight="1" x14ac:dyDescent="0.45">
      <c r="A213" s="8">
        <v>207</v>
      </c>
      <c r="B213" s="35" t="str">
        <f t="shared" ref="B213:C216" si="90">B212</f>
        <v>東京本部</v>
      </c>
      <c r="C213" s="35" t="str">
        <f t="shared" si="90"/>
        <v>そんぽの家　三鷹新川</v>
      </c>
      <c r="D213" s="9" t="s">
        <v>4</v>
      </c>
      <c r="E213" s="10">
        <v>1</v>
      </c>
      <c r="F213" s="11">
        <v>9</v>
      </c>
      <c r="G213" s="12">
        <v>9</v>
      </c>
      <c r="H213" s="11">
        <v>0</v>
      </c>
      <c r="I213" s="12">
        <v>0</v>
      </c>
      <c r="J213" s="10">
        <v>9</v>
      </c>
      <c r="K213" s="38">
        <f t="shared" si="86"/>
        <v>8</v>
      </c>
      <c r="L213" s="28">
        <v>2</v>
      </c>
      <c r="M213" s="33">
        <f t="shared" si="83"/>
        <v>2</v>
      </c>
      <c r="N213" s="1">
        <v>2312781100</v>
      </c>
    </row>
    <row r="214" spans="1:14" ht="18" customHeight="1" x14ac:dyDescent="0.45">
      <c r="A214" s="8">
        <v>208</v>
      </c>
      <c r="B214" s="35" t="str">
        <f t="shared" si="90"/>
        <v>東京本部</v>
      </c>
      <c r="C214" s="35" t="str">
        <f t="shared" si="90"/>
        <v>そんぽの家　三鷹新川</v>
      </c>
      <c r="D214" s="9" t="s">
        <v>5</v>
      </c>
      <c r="E214" s="10">
        <v>1</v>
      </c>
      <c r="F214" s="11">
        <v>20</v>
      </c>
      <c r="G214" s="12">
        <v>20</v>
      </c>
      <c r="H214" s="11">
        <v>0</v>
      </c>
      <c r="I214" s="12">
        <v>0</v>
      </c>
      <c r="J214" s="10">
        <v>20</v>
      </c>
      <c r="K214" s="38">
        <f t="shared" si="86"/>
        <v>8</v>
      </c>
      <c r="L214" s="28">
        <v>2</v>
      </c>
      <c r="M214" s="33">
        <f t="shared" si="83"/>
        <v>2</v>
      </c>
      <c r="N214" s="1">
        <v>2312781100</v>
      </c>
    </row>
    <row r="215" spans="1:14" ht="18" customHeight="1" x14ac:dyDescent="0.45">
      <c r="A215" s="8">
        <v>209</v>
      </c>
      <c r="B215" s="35" t="str">
        <f t="shared" si="90"/>
        <v>東京本部</v>
      </c>
      <c r="C215" s="35" t="str">
        <f t="shared" si="90"/>
        <v>そんぽの家　三鷹新川</v>
      </c>
      <c r="D215" s="9" t="s">
        <v>6</v>
      </c>
      <c r="E215" s="10">
        <v>3</v>
      </c>
      <c r="F215" s="11">
        <v>0</v>
      </c>
      <c r="G215" s="12">
        <v>0</v>
      </c>
      <c r="H215" s="11">
        <v>0</v>
      </c>
      <c r="I215" s="12">
        <v>0</v>
      </c>
      <c r="J215" s="10">
        <v>0</v>
      </c>
      <c r="K215" s="38">
        <f t="shared" si="86"/>
        <v>8</v>
      </c>
      <c r="L215" s="28">
        <v>0</v>
      </c>
      <c r="M215" s="33">
        <f t="shared" si="83"/>
        <v>0</v>
      </c>
      <c r="N215" s="1">
        <v>2312781100</v>
      </c>
    </row>
    <row r="216" spans="1:14" ht="18" customHeight="1" x14ac:dyDescent="0.45">
      <c r="A216" s="8">
        <v>210</v>
      </c>
      <c r="B216" s="36" t="str">
        <f t="shared" si="90"/>
        <v>東京本部</v>
      </c>
      <c r="C216" s="36" t="str">
        <f t="shared" si="90"/>
        <v>そんぽの家　三鷹新川</v>
      </c>
      <c r="D216" s="9" t="s">
        <v>2</v>
      </c>
      <c r="E216" s="10">
        <v>1</v>
      </c>
      <c r="F216" s="11">
        <v>39</v>
      </c>
      <c r="G216" s="12">
        <v>39</v>
      </c>
      <c r="H216" s="11">
        <v>0</v>
      </c>
      <c r="I216" s="12">
        <v>0</v>
      </c>
      <c r="J216" s="10">
        <v>39</v>
      </c>
      <c r="K216" s="39">
        <f t="shared" si="86"/>
        <v>8</v>
      </c>
      <c r="L216" s="28">
        <v>2</v>
      </c>
      <c r="M216" s="33">
        <f t="shared" si="83"/>
        <v>2</v>
      </c>
      <c r="N216" s="1">
        <v>2312781100</v>
      </c>
    </row>
    <row r="217" spans="1:14" ht="18" customHeight="1" x14ac:dyDescent="0.45">
      <c r="A217" s="13">
        <v>211</v>
      </c>
      <c r="B217" s="40" t="s">
        <v>8</v>
      </c>
      <c r="C217" s="40" t="s">
        <v>29</v>
      </c>
      <c r="D217" s="14" t="s">
        <v>3</v>
      </c>
      <c r="E217" s="15">
        <v>1</v>
      </c>
      <c r="F217" s="16">
        <v>7</v>
      </c>
      <c r="G217" s="17">
        <v>7</v>
      </c>
      <c r="H217" s="16">
        <v>6</v>
      </c>
      <c r="I217" s="17">
        <v>6</v>
      </c>
      <c r="J217" s="15">
        <v>13</v>
      </c>
      <c r="K217" s="43">
        <f t="shared" ref="K217" si="91">SUM(M217:M221)</f>
        <v>4</v>
      </c>
      <c r="L217" s="28">
        <v>2</v>
      </c>
      <c r="M217" s="33">
        <f t="shared" si="83"/>
        <v>2</v>
      </c>
      <c r="N217" s="1">
        <v>2312791100</v>
      </c>
    </row>
    <row r="218" spans="1:14" ht="18" customHeight="1" x14ac:dyDescent="0.45">
      <c r="A218" s="13">
        <v>212</v>
      </c>
      <c r="B218" s="41" t="str">
        <f t="shared" ref="B218:C221" si="92">B217</f>
        <v>東京本部</v>
      </c>
      <c r="C218" s="41" t="str">
        <f t="shared" si="92"/>
        <v>そんぽの家　三鷹中原</v>
      </c>
      <c r="D218" s="14" t="s">
        <v>4</v>
      </c>
      <c r="E218" s="15">
        <v>1</v>
      </c>
      <c r="F218" s="16">
        <v>20</v>
      </c>
      <c r="G218" s="17">
        <v>20</v>
      </c>
      <c r="H218" s="16">
        <v>0</v>
      </c>
      <c r="I218" s="17">
        <v>0</v>
      </c>
      <c r="J218" s="15">
        <v>20</v>
      </c>
      <c r="K218" s="44">
        <f t="shared" si="86"/>
        <v>4</v>
      </c>
      <c r="L218" s="28">
        <v>2</v>
      </c>
      <c r="M218" s="33">
        <f t="shared" si="83"/>
        <v>2</v>
      </c>
      <c r="N218" s="1">
        <v>2312791100</v>
      </c>
    </row>
    <row r="219" spans="1:14" ht="18" customHeight="1" x14ac:dyDescent="0.45">
      <c r="A219" s="13">
        <v>213</v>
      </c>
      <c r="B219" s="41" t="str">
        <f t="shared" si="92"/>
        <v>東京本部</v>
      </c>
      <c r="C219" s="41" t="str">
        <f t="shared" si="92"/>
        <v>そんぽの家　三鷹中原</v>
      </c>
      <c r="D219" s="14" t="s">
        <v>5</v>
      </c>
      <c r="E219" s="15">
        <v>0</v>
      </c>
      <c r="F219" s="16">
        <v>0</v>
      </c>
      <c r="G219" s="17">
        <v>0</v>
      </c>
      <c r="H219" s="16">
        <v>0</v>
      </c>
      <c r="I219" s="17">
        <v>0</v>
      </c>
      <c r="J219" s="15">
        <v>0</v>
      </c>
      <c r="K219" s="44">
        <f t="shared" si="86"/>
        <v>4</v>
      </c>
      <c r="L219" s="28">
        <v>0</v>
      </c>
      <c r="M219" s="33">
        <f t="shared" si="83"/>
        <v>0</v>
      </c>
      <c r="N219" s="1">
        <v>2312791100</v>
      </c>
    </row>
    <row r="220" spans="1:14" ht="18" customHeight="1" x14ac:dyDescent="0.45">
      <c r="A220" s="13">
        <v>214</v>
      </c>
      <c r="B220" s="41" t="str">
        <f t="shared" si="92"/>
        <v>東京本部</v>
      </c>
      <c r="C220" s="41" t="str">
        <f t="shared" si="92"/>
        <v>そんぽの家　三鷹中原</v>
      </c>
      <c r="D220" s="14" t="s">
        <v>6</v>
      </c>
      <c r="E220" s="15">
        <v>2</v>
      </c>
      <c r="F220" s="16">
        <v>0</v>
      </c>
      <c r="G220" s="17">
        <v>0</v>
      </c>
      <c r="H220" s="16">
        <v>0</v>
      </c>
      <c r="I220" s="17">
        <v>0</v>
      </c>
      <c r="J220" s="15">
        <v>0</v>
      </c>
      <c r="K220" s="44">
        <f t="shared" si="86"/>
        <v>4</v>
      </c>
      <c r="L220" s="28">
        <v>0</v>
      </c>
      <c r="M220" s="33">
        <f t="shared" si="83"/>
        <v>0</v>
      </c>
      <c r="N220" s="1">
        <v>2312791100</v>
      </c>
    </row>
    <row r="221" spans="1:14" ht="18" customHeight="1" x14ac:dyDescent="0.45">
      <c r="A221" s="13">
        <v>215</v>
      </c>
      <c r="B221" s="42" t="str">
        <f t="shared" si="92"/>
        <v>東京本部</v>
      </c>
      <c r="C221" s="42" t="str">
        <f t="shared" si="92"/>
        <v>そんぽの家　三鷹中原</v>
      </c>
      <c r="D221" s="14" t="s">
        <v>2</v>
      </c>
      <c r="E221" s="15">
        <v>1</v>
      </c>
      <c r="F221" s="16">
        <v>0</v>
      </c>
      <c r="G221" s="17">
        <v>0</v>
      </c>
      <c r="H221" s="16">
        <v>0</v>
      </c>
      <c r="I221" s="17">
        <v>0</v>
      </c>
      <c r="J221" s="15">
        <v>0</v>
      </c>
      <c r="K221" s="45">
        <f t="shared" si="86"/>
        <v>4</v>
      </c>
      <c r="L221" s="28">
        <v>0</v>
      </c>
      <c r="M221" s="33">
        <f t="shared" si="83"/>
        <v>0</v>
      </c>
      <c r="N221" s="1">
        <v>2312791100</v>
      </c>
    </row>
    <row r="222" spans="1:14" ht="18" customHeight="1" x14ac:dyDescent="0.45">
      <c r="A222" s="8">
        <v>216</v>
      </c>
      <c r="B222" s="34" t="s">
        <v>8</v>
      </c>
      <c r="C222" s="34" t="s">
        <v>212</v>
      </c>
      <c r="D222" s="9" t="s">
        <v>3</v>
      </c>
      <c r="E222" s="10">
        <v>1</v>
      </c>
      <c r="F222" s="11">
        <v>21</v>
      </c>
      <c r="G222" s="12">
        <v>21</v>
      </c>
      <c r="H222" s="11">
        <v>1</v>
      </c>
      <c r="I222" s="12">
        <v>1</v>
      </c>
      <c r="J222" s="10">
        <v>22</v>
      </c>
      <c r="K222" s="37">
        <f t="shared" ref="K222" si="93">SUM(M222:M226)</f>
        <v>6</v>
      </c>
      <c r="L222" s="28">
        <v>2</v>
      </c>
      <c r="M222" s="33">
        <f t="shared" si="83"/>
        <v>2</v>
      </c>
      <c r="N222" s="1">
        <v>2312811100</v>
      </c>
    </row>
    <row r="223" spans="1:14" ht="18" customHeight="1" x14ac:dyDescent="0.45">
      <c r="A223" s="8">
        <v>217</v>
      </c>
      <c r="B223" s="35" t="str">
        <f t="shared" ref="B223:C226" si="94">B222</f>
        <v>東京本部</v>
      </c>
      <c r="C223" s="35" t="str">
        <f t="shared" si="94"/>
        <v>ラヴィーレ武蔵境</v>
      </c>
      <c r="D223" s="9" t="s">
        <v>4</v>
      </c>
      <c r="E223" s="10">
        <v>1</v>
      </c>
      <c r="F223" s="11">
        <v>7</v>
      </c>
      <c r="G223" s="12">
        <v>7</v>
      </c>
      <c r="H223" s="11">
        <v>1</v>
      </c>
      <c r="I223" s="12">
        <v>1</v>
      </c>
      <c r="J223" s="10">
        <v>8</v>
      </c>
      <c r="K223" s="38">
        <f t="shared" si="86"/>
        <v>6</v>
      </c>
      <c r="L223" s="28">
        <v>2</v>
      </c>
      <c r="M223" s="33">
        <f t="shared" si="83"/>
        <v>2</v>
      </c>
      <c r="N223" s="1">
        <v>2312811100</v>
      </c>
    </row>
    <row r="224" spans="1:14" ht="18" customHeight="1" x14ac:dyDescent="0.45">
      <c r="A224" s="8">
        <v>218</v>
      </c>
      <c r="B224" s="35" t="str">
        <f t="shared" si="94"/>
        <v>東京本部</v>
      </c>
      <c r="C224" s="35" t="str">
        <f t="shared" si="94"/>
        <v>ラヴィーレ武蔵境</v>
      </c>
      <c r="D224" s="9" t="s">
        <v>5</v>
      </c>
      <c r="E224" s="10">
        <v>2</v>
      </c>
      <c r="F224" s="11">
        <v>29</v>
      </c>
      <c r="G224" s="12">
        <v>14.5</v>
      </c>
      <c r="H224" s="11">
        <v>0</v>
      </c>
      <c r="I224" s="12">
        <v>0</v>
      </c>
      <c r="J224" s="10">
        <v>29</v>
      </c>
      <c r="K224" s="38">
        <f t="shared" si="86"/>
        <v>6</v>
      </c>
      <c r="L224" s="28">
        <v>2</v>
      </c>
      <c r="M224" s="33">
        <f t="shared" si="83"/>
        <v>2</v>
      </c>
      <c r="N224" s="1">
        <v>2312811100</v>
      </c>
    </row>
    <row r="225" spans="1:14" ht="18" customHeight="1" x14ac:dyDescent="0.45">
      <c r="A225" s="8">
        <v>219</v>
      </c>
      <c r="B225" s="35" t="str">
        <f t="shared" si="94"/>
        <v>東京本部</v>
      </c>
      <c r="C225" s="35" t="str">
        <f t="shared" si="94"/>
        <v>ラヴィーレ武蔵境</v>
      </c>
      <c r="D225" s="9" t="s">
        <v>6</v>
      </c>
      <c r="E225" s="10">
        <v>4</v>
      </c>
      <c r="F225" s="11">
        <v>2</v>
      </c>
      <c r="G225" s="12">
        <v>0.5</v>
      </c>
      <c r="H225" s="11">
        <v>0</v>
      </c>
      <c r="I225" s="12">
        <v>0</v>
      </c>
      <c r="J225" s="10">
        <v>2</v>
      </c>
      <c r="K225" s="38">
        <f t="shared" si="86"/>
        <v>6</v>
      </c>
      <c r="L225" s="28">
        <v>0</v>
      </c>
      <c r="M225" s="33">
        <f t="shared" si="83"/>
        <v>0</v>
      </c>
      <c r="N225" s="1">
        <v>2312811100</v>
      </c>
    </row>
    <row r="226" spans="1:14" ht="18" customHeight="1" x14ac:dyDescent="0.45">
      <c r="A226" s="8">
        <v>220</v>
      </c>
      <c r="B226" s="36" t="str">
        <f t="shared" si="94"/>
        <v>東京本部</v>
      </c>
      <c r="C226" s="36" t="str">
        <f t="shared" si="94"/>
        <v>ラヴィーレ武蔵境</v>
      </c>
      <c r="D226" s="9" t="s">
        <v>2</v>
      </c>
      <c r="E226" s="10">
        <v>1</v>
      </c>
      <c r="F226" s="11">
        <v>1</v>
      </c>
      <c r="G226" s="12">
        <v>1</v>
      </c>
      <c r="H226" s="11">
        <v>0</v>
      </c>
      <c r="I226" s="12">
        <v>0</v>
      </c>
      <c r="J226" s="10">
        <v>1</v>
      </c>
      <c r="K226" s="39">
        <f t="shared" si="86"/>
        <v>6</v>
      </c>
      <c r="L226" s="28">
        <v>0</v>
      </c>
      <c r="M226" s="33">
        <f t="shared" si="83"/>
        <v>0</v>
      </c>
      <c r="N226" s="1">
        <v>2312811100</v>
      </c>
    </row>
    <row r="227" spans="1:14" ht="18" customHeight="1" x14ac:dyDescent="0.45">
      <c r="A227" s="13">
        <v>221</v>
      </c>
      <c r="B227" s="40" t="s">
        <v>8</v>
      </c>
      <c r="C227" s="40" t="s">
        <v>213</v>
      </c>
      <c r="D227" s="14" t="s">
        <v>3</v>
      </c>
      <c r="E227" s="15">
        <v>1</v>
      </c>
      <c r="F227" s="16">
        <v>19</v>
      </c>
      <c r="G227" s="17">
        <v>19</v>
      </c>
      <c r="H227" s="16">
        <v>3</v>
      </c>
      <c r="I227" s="17">
        <v>3</v>
      </c>
      <c r="J227" s="15">
        <v>22</v>
      </c>
      <c r="K227" s="43">
        <f t="shared" ref="K227" si="95">SUM(M227:M231)</f>
        <v>9</v>
      </c>
      <c r="L227" s="28">
        <v>2</v>
      </c>
      <c r="M227" s="33">
        <f t="shared" si="83"/>
        <v>2</v>
      </c>
      <c r="N227" s="1">
        <v>2312821100</v>
      </c>
    </row>
    <row r="228" spans="1:14" ht="18" customHeight="1" x14ac:dyDescent="0.45">
      <c r="A228" s="13">
        <v>222</v>
      </c>
      <c r="B228" s="41" t="str">
        <f t="shared" ref="B228:C231" si="96">B227</f>
        <v>東京本部</v>
      </c>
      <c r="C228" s="41" t="str">
        <f t="shared" si="96"/>
        <v>ラヴィーレ仙川</v>
      </c>
      <c r="D228" s="14" t="s">
        <v>4</v>
      </c>
      <c r="E228" s="15">
        <v>2</v>
      </c>
      <c r="F228" s="16">
        <v>4</v>
      </c>
      <c r="G228" s="17">
        <v>2</v>
      </c>
      <c r="H228" s="16">
        <v>1</v>
      </c>
      <c r="I228" s="17">
        <v>0.5</v>
      </c>
      <c r="J228" s="15">
        <v>5</v>
      </c>
      <c r="K228" s="44">
        <f t="shared" si="86"/>
        <v>9</v>
      </c>
      <c r="L228" s="28">
        <v>1</v>
      </c>
      <c r="M228" s="33">
        <f t="shared" si="83"/>
        <v>1</v>
      </c>
      <c r="N228" s="1">
        <v>2312821100</v>
      </c>
    </row>
    <row r="229" spans="1:14" ht="18" customHeight="1" x14ac:dyDescent="0.45">
      <c r="A229" s="13">
        <v>223</v>
      </c>
      <c r="B229" s="41" t="str">
        <f t="shared" si="96"/>
        <v>東京本部</v>
      </c>
      <c r="C229" s="41" t="str">
        <f t="shared" si="96"/>
        <v>ラヴィーレ仙川</v>
      </c>
      <c r="D229" s="14" t="s">
        <v>5</v>
      </c>
      <c r="E229" s="15">
        <v>2</v>
      </c>
      <c r="F229" s="16">
        <v>56</v>
      </c>
      <c r="G229" s="17">
        <v>28</v>
      </c>
      <c r="H229" s="16">
        <v>0</v>
      </c>
      <c r="I229" s="17">
        <v>0</v>
      </c>
      <c r="J229" s="15">
        <v>56</v>
      </c>
      <c r="K229" s="44">
        <f t="shared" si="86"/>
        <v>9</v>
      </c>
      <c r="L229" s="28">
        <v>2</v>
      </c>
      <c r="M229" s="33">
        <f t="shared" si="83"/>
        <v>2</v>
      </c>
      <c r="N229" s="1">
        <v>2312821100</v>
      </c>
    </row>
    <row r="230" spans="1:14" ht="18" customHeight="1" x14ac:dyDescent="0.45">
      <c r="A230" s="13">
        <v>224</v>
      </c>
      <c r="B230" s="41" t="str">
        <f t="shared" si="96"/>
        <v>東京本部</v>
      </c>
      <c r="C230" s="41" t="str">
        <f t="shared" si="96"/>
        <v>ラヴィーレ仙川</v>
      </c>
      <c r="D230" s="14" t="s">
        <v>6</v>
      </c>
      <c r="E230" s="15">
        <v>4</v>
      </c>
      <c r="F230" s="16">
        <v>23</v>
      </c>
      <c r="G230" s="17">
        <v>5.8</v>
      </c>
      <c r="H230" s="16">
        <v>0</v>
      </c>
      <c r="I230" s="17">
        <v>0</v>
      </c>
      <c r="J230" s="15">
        <v>23</v>
      </c>
      <c r="K230" s="44">
        <f t="shared" si="86"/>
        <v>9</v>
      </c>
      <c r="L230" s="28">
        <v>2</v>
      </c>
      <c r="M230" s="33">
        <f t="shared" si="83"/>
        <v>2</v>
      </c>
      <c r="N230" s="1">
        <v>2312821100</v>
      </c>
    </row>
    <row r="231" spans="1:14" ht="18" customHeight="1" x14ac:dyDescent="0.45">
      <c r="A231" s="13">
        <v>225</v>
      </c>
      <c r="B231" s="42" t="str">
        <f t="shared" si="96"/>
        <v>東京本部</v>
      </c>
      <c r="C231" s="42" t="str">
        <f t="shared" si="96"/>
        <v>ラヴィーレ仙川</v>
      </c>
      <c r="D231" s="14" t="s">
        <v>2</v>
      </c>
      <c r="E231" s="15">
        <v>2</v>
      </c>
      <c r="F231" s="16">
        <v>19</v>
      </c>
      <c r="G231" s="17">
        <v>9.5</v>
      </c>
      <c r="H231" s="16">
        <v>0</v>
      </c>
      <c r="I231" s="17">
        <v>0</v>
      </c>
      <c r="J231" s="15">
        <v>19</v>
      </c>
      <c r="K231" s="45">
        <f t="shared" si="86"/>
        <v>9</v>
      </c>
      <c r="L231" s="28">
        <v>2</v>
      </c>
      <c r="M231" s="33">
        <f t="shared" si="83"/>
        <v>2</v>
      </c>
      <c r="N231" s="1">
        <v>2312821100</v>
      </c>
    </row>
    <row r="232" spans="1:14" ht="18" customHeight="1" x14ac:dyDescent="0.45">
      <c r="A232" s="8">
        <v>226</v>
      </c>
      <c r="B232" s="34" t="s">
        <v>8</v>
      </c>
      <c r="C232" s="34" t="s">
        <v>30</v>
      </c>
      <c r="D232" s="9" t="s">
        <v>3</v>
      </c>
      <c r="E232" s="10">
        <v>1</v>
      </c>
      <c r="F232" s="11">
        <v>19</v>
      </c>
      <c r="G232" s="12">
        <v>19</v>
      </c>
      <c r="H232" s="11">
        <v>1</v>
      </c>
      <c r="I232" s="12">
        <v>1</v>
      </c>
      <c r="J232" s="10">
        <v>20</v>
      </c>
      <c r="K232" s="37">
        <f t="shared" ref="K232" si="97">SUM(M232:M236)</f>
        <v>10</v>
      </c>
      <c r="L232" s="28">
        <v>2</v>
      </c>
      <c r="M232" s="33">
        <f t="shared" si="83"/>
        <v>2</v>
      </c>
      <c r="N232" s="1">
        <v>2312861200</v>
      </c>
    </row>
    <row r="233" spans="1:14" ht="18" customHeight="1" x14ac:dyDescent="0.45">
      <c r="A233" s="8">
        <v>227</v>
      </c>
      <c r="B233" s="35" t="str">
        <f t="shared" ref="B233:C236" si="98">B232</f>
        <v>東京本部</v>
      </c>
      <c r="C233" s="35" t="str">
        <f t="shared" si="98"/>
        <v>そんぽの家　狛江</v>
      </c>
      <c r="D233" s="9" t="s">
        <v>4</v>
      </c>
      <c r="E233" s="10">
        <v>1</v>
      </c>
      <c r="F233" s="11">
        <v>6</v>
      </c>
      <c r="G233" s="12">
        <v>6</v>
      </c>
      <c r="H233" s="11">
        <v>4</v>
      </c>
      <c r="I233" s="12">
        <v>4</v>
      </c>
      <c r="J233" s="10">
        <v>10</v>
      </c>
      <c r="K233" s="38">
        <f t="shared" si="86"/>
        <v>10</v>
      </c>
      <c r="L233" s="28">
        <v>2</v>
      </c>
      <c r="M233" s="33">
        <f t="shared" si="83"/>
        <v>2</v>
      </c>
      <c r="N233" s="1">
        <v>2312861200</v>
      </c>
    </row>
    <row r="234" spans="1:14" ht="18" customHeight="1" x14ac:dyDescent="0.45">
      <c r="A234" s="8">
        <v>228</v>
      </c>
      <c r="B234" s="35" t="str">
        <f t="shared" si="98"/>
        <v>東京本部</v>
      </c>
      <c r="C234" s="35" t="str">
        <f t="shared" si="98"/>
        <v>そんぽの家　狛江</v>
      </c>
      <c r="D234" s="9" t="s">
        <v>5</v>
      </c>
      <c r="E234" s="10">
        <v>1</v>
      </c>
      <c r="F234" s="11">
        <v>36</v>
      </c>
      <c r="G234" s="12">
        <v>36</v>
      </c>
      <c r="H234" s="11">
        <v>0</v>
      </c>
      <c r="I234" s="12">
        <v>0</v>
      </c>
      <c r="J234" s="10">
        <v>36</v>
      </c>
      <c r="K234" s="38">
        <f t="shared" si="86"/>
        <v>10</v>
      </c>
      <c r="L234" s="28">
        <v>2</v>
      </c>
      <c r="M234" s="33">
        <f t="shared" si="83"/>
        <v>2</v>
      </c>
      <c r="N234" s="1">
        <v>2312861200</v>
      </c>
    </row>
    <row r="235" spans="1:14" ht="18" customHeight="1" x14ac:dyDescent="0.45">
      <c r="A235" s="8">
        <v>229</v>
      </c>
      <c r="B235" s="35" t="str">
        <f t="shared" si="98"/>
        <v>東京本部</v>
      </c>
      <c r="C235" s="35" t="str">
        <f t="shared" si="98"/>
        <v>そんぽの家　狛江</v>
      </c>
      <c r="D235" s="9" t="s">
        <v>6</v>
      </c>
      <c r="E235" s="10">
        <v>2</v>
      </c>
      <c r="F235" s="11">
        <v>8</v>
      </c>
      <c r="G235" s="12">
        <v>4</v>
      </c>
      <c r="H235" s="11">
        <v>0</v>
      </c>
      <c r="I235" s="12">
        <v>0</v>
      </c>
      <c r="J235" s="10">
        <v>8</v>
      </c>
      <c r="K235" s="38">
        <f t="shared" si="86"/>
        <v>10</v>
      </c>
      <c r="L235" s="28">
        <v>2</v>
      </c>
      <c r="M235" s="33">
        <f t="shared" si="83"/>
        <v>2</v>
      </c>
      <c r="N235" s="1">
        <v>2312861200</v>
      </c>
    </row>
    <row r="236" spans="1:14" ht="18" customHeight="1" x14ac:dyDescent="0.45">
      <c r="A236" s="8">
        <v>230</v>
      </c>
      <c r="B236" s="36" t="str">
        <f t="shared" si="98"/>
        <v>東京本部</v>
      </c>
      <c r="C236" s="36" t="str">
        <f t="shared" si="98"/>
        <v>そんぽの家　狛江</v>
      </c>
      <c r="D236" s="9" t="s">
        <v>2</v>
      </c>
      <c r="E236" s="10">
        <v>1</v>
      </c>
      <c r="F236" s="11">
        <v>16</v>
      </c>
      <c r="G236" s="12">
        <v>16</v>
      </c>
      <c r="H236" s="11">
        <v>0</v>
      </c>
      <c r="I236" s="12">
        <v>0</v>
      </c>
      <c r="J236" s="10">
        <v>16</v>
      </c>
      <c r="K236" s="39">
        <f t="shared" si="86"/>
        <v>10</v>
      </c>
      <c r="L236" s="28">
        <v>2</v>
      </c>
      <c r="M236" s="33">
        <f t="shared" si="83"/>
        <v>2</v>
      </c>
      <c r="N236" s="1">
        <v>2312861200</v>
      </c>
    </row>
    <row r="237" spans="1:14" ht="18" customHeight="1" x14ac:dyDescent="0.45">
      <c r="A237" s="13">
        <v>231</v>
      </c>
      <c r="B237" s="40" t="s">
        <v>8</v>
      </c>
      <c r="C237" s="40" t="s">
        <v>214</v>
      </c>
      <c r="D237" s="14" t="s">
        <v>3</v>
      </c>
      <c r="E237" s="15">
        <v>1</v>
      </c>
      <c r="F237" s="16">
        <v>19</v>
      </c>
      <c r="G237" s="17">
        <v>19</v>
      </c>
      <c r="H237" s="16">
        <v>17</v>
      </c>
      <c r="I237" s="17">
        <v>17</v>
      </c>
      <c r="J237" s="15">
        <v>36</v>
      </c>
      <c r="K237" s="43">
        <f t="shared" ref="K237" si="99">SUM(M237:M241)</f>
        <v>8</v>
      </c>
      <c r="L237" s="28">
        <v>2</v>
      </c>
      <c r="M237" s="33">
        <f t="shared" si="83"/>
        <v>2</v>
      </c>
      <c r="N237" s="1">
        <v>2312871100</v>
      </c>
    </row>
    <row r="238" spans="1:14" ht="18" customHeight="1" x14ac:dyDescent="0.45">
      <c r="A238" s="13">
        <v>232</v>
      </c>
      <c r="B238" s="41" t="str">
        <f t="shared" ref="B238:C241" si="100">B237</f>
        <v>東京本部</v>
      </c>
      <c r="C238" s="41" t="str">
        <f t="shared" si="100"/>
        <v>ラヴィーレ狛江</v>
      </c>
      <c r="D238" s="14" t="s">
        <v>4</v>
      </c>
      <c r="E238" s="15">
        <v>1</v>
      </c>
      <c r="F238" s="16">
        <v>5</v>
      </c>
      <c r="G238" s="17">
        <v>5</v>
      </c>
      <c r="H238" s="16">
        <v>5</v>
      </c>
      <c r="I238" s="17">
        <v>5</v>
      </c>
      <c r="J238" s="15">
        <v>10</v>
      </c>
      <c r="K238" s="44">
        <f t="shared" si="86"/>
        <v>8</v>
      </c>
      <c r="L238" s="28">
        <v>2</v>
      </c>
      <c r="M238" s="33">
        <f t="shared" si="83"/>
        <v>2</v>
      </c>
      <c r="N238" s="1">
        <v>2312871100</v>
      </c>
    </row>
    <row r="239" spans="1:14" ht="18" customHeight="1" x14ac:dyDescent="0.45">
      <c r="A239" s="13">
        <v>233</v>
      </c>
      <c r="B239" s="41" t="str">
        <f t="shared" si="100"/>
        <v>東京本部</v>
      </c>
      <c r="C239" s="41" t="str">
        <f t="shared" si="100"/>
        <v>ラヴィーレ狛江</v>
      </c>
      <c r="D239" s="14" t="s">
        <v>5</v>
      </c>
      <c r="E239" s="15">
        <v>1</v>
      </c>
      <c r="F239" s="16">
        <v>19</v>
      </c>
      <c r="G239" s="17">
        <v>19</v>
      </c>
      <c r="H239" s="16">
        <v>0</v>
      </c>
      <c r="I239" s="17">
        <v>0</v>
      </c>
      <c r="J239" s="15">
        <v>19</v>
      </c>
      <c r="K239" s="44">
        <f t="shared" si="86"/>
        <v>8</v>
      </c>
      <c r="L239" s="28">
        <v>2</v>
      </c>
      <c r="M239" s="33">
        <f t="shared" si="83"/>
        <v>2</v>
      </c>
      <c r="N239" s="1">
        <v>2312871100</v>
      </c>
    </row>
    <row r="240" spans="1:14" ht="18" customHeight="1" x14ac:dyDescent="0.45">
      <c r="A240" s="13">
        <v>234</v>
      </c>
      <c r="B240" s="41" t="str">
        <f t="shared" si="100"/>
        <v>東京本部</v>
      </c>
      <c r="C240" s="41" t="str">
        <f t="shared" si="100"/>
        <v>ラヴィーレ狛江</v>
      </c>
      <c r="D240" s="14" t="s">
        <v>6</v>
      </c>
      <c r="E240" s="15">
        <v>5</v>
      </c>
      <c r="F240" s="16">
        <v>3</v>
      </c>
      <c r="G240" s="17">
        <v>0.6</v>
      </c>
      <c r="H240" s="16">
        <v>0</v>
      </c>
      <c r="I240" s="17">
        <v>0</v>
      </c>
      <c r="J240" s="15">
        <v>3</v>
      </c>
      <c r="K240" s="44">
        <f t="shared" si="86"/>
        <v>8</v>
      </c>
      <c r="L240" s="28">
        <v>0</v>
      </c>
      <c r="M240" s="33">
        <f t="shared" si="83"/>
        <v>0</v>
      </c>
      <c r="N240" s="1">
        <v>2312871100</v>
      </c>
    </row>
    <row r="241" spans="1:14" ht="18" customHeight="1" x14ac:dyDescent="0.45">
      <c r="A241" s="13">
        <v>235</v>
      </c>
      <c r="B241" s="42" t="str">
        <f t="shared" si="100"/>
        <v>東京本部</v>
      </c>
      <c r="C241" s="42" t="str">
        <f t="shared" si="100"/>
        <v>ラヴィーレ狛江</v>
      </c>
      <c r="D241" s="14" t="s">
        <v>2</v>
      </c>
      <c r="E241" s="15">
        <v>2</v>
      </c>
      <c r="F241" s="16">
        <v>11</v>
      </c>
      <c r="G241" s="17">
        <v>5.5</v>
      </c>
      <c r="H241" s="16">
        <v>0</v>
      </c>
      <c r="I241" s="17">
        <v>0</v>
      </c>
      <c r="J241" s="15">
        <v>11</v>
      </c>
      <c r="K241" s="45">
        <f t="shared" si="86"/>
        <v>8</v>
      </c>
      <c r="L241" s="28">
        <v>2</v>
      </c>
      <c r="M241" s="33">
        <f t="shared" si="83"/>
        <v>2</v>
      </c>
      <c r="N241" s="1">
        <v>2312871100</v>
      </c>
    </row>
    <row r="242" spans="1:14" ht="18" customHeight="1" x14ac:dyDescent="0.45">
      <c r="A242" s="8">
        <v>236</v>
      </c>
      <c r="B242" s="34" t="s">
        <v>8</v>
      </c>
      <c r="C242" s="34" t="s">
        <v>31</v>
      </c>
      <c r="D242" s="9" t="s">
        <v>3</v>
      </c>
      <c r="E242" s="10">
        <v>1</v>
      </c>
      <c r="F242" s="11">
        <v>13</v>
      </c>
      <c r="G242" s="12">
        <v>13</v>
      </c>
      <c r="H242" s="11">
        <v>11</v>
      </c>
      <c r="I242" s="12">
        <v>11</v>
      </c>
      <c r="J242" s="10">
        <v>24</v>
      </c>
      <c r="K242" s="37">
        <f t="shared" ref="K242" si="101">SUM(M242:M246)</f>
        <v>10</v>
      </c>
      <c r="L242" s="28">
        <v>2</v>
      </c>
      <c r="M242" s="33">
        <f t="shared" si="83"/>
        <v>2</v>
      </c>
      <c r="N242" s="1">
        <v>2312901100</v>
      </c>
    </row>
    <row r="243" spans="1:14" ht="18" customHeight="1" x14ac:dyDescent="0.45">
      <c r="A243" s="8">
        <v>237</v>
      </c>
      <c r="B243" s="35" t="str">
        <f t="shared" ref="B243:C246" si="102">B242</f>
        <v>東京本部</v>
      </c>
      <c r="C243" s="35" t="str">
        <f t="shared" si="102"/>
        <v>そんぽの家　調布多摩川</v>
      </c>
      <c r="D243" s="9" t="s">
        <v>4</v>
      </c>
      <c r="E243" s="10">
        <v>1</v>
      </c>
      <c r="F243" s="11">
        <v>33</v>
      </c>
      <c r="G243" s="12">
        <v>33</v>
      </c>
      <c r="H243" s="11">
        <v>26</v>
      </c>
      <c r="I243" s="12">
        <v>26</v>
      </c>
      <c r="J243" s="10">
        <v>59</v>
      </c>
      <c r="K243" s="38">
        <f t="shared" si="86"/>
        <v>10</v>
      </c>
      <c r="L243" s="28">
        <v>2</v>
      </c>
      <c r="M243" s="33">
        <f t="shared" si="83"/>
        <v>2</v>
      </c>
      <c r="N243" s="1">
        <v>2312901100</v>
      </c>
    </row>
    <row r="244" spans="1:14" ht="18" customHeight="1" x14ac:dyDescent="0.45">
      <c r="A244" s="8">
        <v>238</v>
      </c>
      <c r="B244" s="35" t="str">
        <f t="shared" si="102"/>
        <v>東京本部</v>
      </c>
      <c r="C244" s="35" t="str">
        <f t="shared" si="102"/>
        <v>そんぽの家　調布多摩川</v>
      </c>
      <c r="D244" s="9" t="s">
        <v>5</v>
      </c>
      <c r="E244" s="10">
        <v>1</v>
      </c>
      <c r="F244" s="11">
        <v>27</v>
      </c>
      <c r="G244" s="12">
        <v>27</v>
      </c>
      <c r="H244" s="11">
        <v>0</v>
      </c>
      <c r="I244" s="12">
        <v>0</v>
      </c>
      <c r="J244" s="10">
        <v>27</v>
      </c>
      <c r="K244" s="38">
        <f t="shared" si="86"/>
        <v>10</v>
      </c>
      <c r="L244" s="28">
        <v>2</v>
      </c>
      <c r="M244" s="33">
        <f t="shared" si="83"/>
        <v>2</v>
      </c>
      <c r="N244" s="1">
        <v>2312901100</v>
      </c>
    </row>
    <row r="245" spans="1:14" ht="18" customHeight="1" x14ac:dyDescent="0.45">
      <c r="A245" s="8">
        <v>239</v>
      </c>
      <c r="B245" s="35" t="str">
        <f t="shared" si="102"/>
        <v>東京本部</v>
      </c>
      <c r="C245" s="35" t="str">
        <f t="shared" si="102"/>
        <v>そんぽの家　調布多摩川</v>
      </c>
      <c r="D245" s="9" t="s">
        <v>6</v>
      </c>
      <c r="E245" s="10">
        <v>3</v>
      </c>
      <c r="F245" s="11">
        <v>20</v>
      </c>
      <c r="G245" s="12">
        <v>6.7</v>
      </c>
      <c r="H245" s="11">
        <v>0</v>
      </c>
      <c r="I245" s="12">
        <v>0</v>
      </c>
      <c r="J245" s="10">
        <v>20</v>
      </c>
      <c r="K245" s="38">
        <f t="shared" si="86"/>
        <v>10</v>
      </c>
      <c r="L245" s="28">
        <v>2</v>
      </c>
      <c r="M245" s="33">
        <f t="shared" si="83"/>
        <v>2</v>
      </c>
      <c r="N245" s="1">
        <v>2312901100</v>
      </c>
    </row>
    <row r="246" spans="1:14" ht="18" customHeight="1" x14ac:dyDescent="0.45">
      <c r="A246" s="8">
        <v>240</v>
      </c>
      <c r="B246" s="36" t="str">
        <f t="shared" si="102"/>
        <v>東京本部</v>
      </c>
      <c r="C246" s="36" t="str">
        <f t="shared" si="102"/>
        <v>そんぽの家　調布多摩川</v>
      </c>
      <c r="D246" s="9" t="s">
        <v>2</v>
      </c>
      <c r="E246" s="10">
        <v>1</v>
      </c>
      <c r="F246" s="11">
        <v>39</v>
      </c>
      <c r="G246" s="12">
        <v>39</v>
      </c>
      <c r="H246" s="11">
        <v>0</v>
      </c>
      <c r="I246" s="12">
        <v>0</v>
      </c>
      <c r="J246" s="10">
        <v>39</v>
      </c>
      <c r="K246" s="39">
        <f t="shared" si="86"/>
        <v>10</v>
      </c>
      <c r="L246" s="28">
        <v>2</v>
      </c>
      <c r="M246" s="33">
        <f t="shared" si="83"/>
        <v>2</v>
      </c>
      <c r="N246" s="1">
        <v>2312901100</v>
      </c>
    </row>
    <row r="247" spans="1:14" ht="18" customHeight="1" x14ac:dyDescent="0.45">
      <c r="A247" s="13">
        <v>241</v>
      </c>
      <c r="B247" s="40" t="s">
        <v>8</v>
      </c>
      <c r="C247" s="40" t="s">
        <v>215</v>
      </c>
      <c r="D247" s="14" t="s">
        <v>3</v>
      </c>
      <c r="E247" s="15">
        <v>1</v>
      </c>
      <c r="F247" s="16">
        <v>23</v>
      </c>
      <c r="G247" s="17">
        <v>23</v>
      </c>
      <c r="H247" s="16">
        <v>8</v>
      </c>
      <c r="I247" s="17">
        <v>8</v>
      </c>
      <c r="J247" s="15">
        <v>31</v>
      </c>
      <c r="K247" s="43">
        <f t="shared" ref="K247" si="103">SUM(M247:M251)</f>
        <v>8</v>
      </c>
      <c r="L247" s="28">
        <v>2</v>
      </c>
      <c r="M247" s="33">
        <f t="shared" si="83"/>
        <v>2</v>
      </c>
      <c r="N247" s="1">
        <v>2312911100</v>
      </c>
    </row>
    <row r="248" spans="1:14" ht="18" customHeight="1" x14ac:dyDescent="0.45">
      <c r="A248" s="13">
        <v>242</v>
      </c>
      <c r="B248" s="41" t="str">
        <f t="shared" ref="B248:C251" si="104">B247</f>
        <v>東京本部</v>
      </c>
      <c r="C248" s="41" t="str">
        <f t="shared" si="104"/>
        <v>ラヴィーレ調布</v>
      </c>
      <c r="D248" s="14" t="s">
        <v>4</v>
      </c>
      <c r="E248" s="15">
        <v>1</v>
      </c>
      <c r="F248" s="16">
        <v>6</v>
      </c>
      <c r="G248" s="17">
        <v>6</v>
      </c>
      <c r="H248" s="16">
        <v>0</v>
      </c>
      <c r="I248" s="17">
        <v>0</v>
      </c>
      <c r="J248" s="15">
        <v>6</v>
      </c>
      <c r="K248" s="44">
        <f t="shared" si="86"/>
        <v>8</v>
      </c>
      <c r="L248" s="28">
        <v>1</v>
      </c>
      <c r="M248" s="33">
        <f t="shared" si="83"/>
        <v>1</v>
      </c>
      <c r="N248" s="1">
        <v>2312911100</v>
      </c>
    </row>
    <row r="249" spans="1:14" ht="18" customHeight="1" x14ac:dyDescent="0.45">
      <c r="A249" s="13">
        <v>243</v>
      </c>
      <c r="B249" s="41" t="str">
        <f t="shared" si="104"/>
        <v>東京本部</v>
      </c>
      <c r="C249" s="41" t="str">
        <f t="shared" si="104"/>
        <v>ラヴィーレ調布</v>
      </c>
      <c r="D249" s="14" t="s">
        <v>5</v>
      </c>
      <c r="E249" s="15">
        <v>1</v>
      </c>
      <c r="F249" s="16">
        <v>32</v>
      </c>
      <c r="G249" s="17">
        <v>32</v>
      </c>
      <c r="H249" s="16">
        <v>0</v>
      </c>
      <c r="I249" s="17">
        <v>0</v>
      </c>
      <c r="J249" s="15">
        <v>32</v>
      </c>
      <c r="K249" s="44">
        <f t="shared" si="86"/>
        <v>8</v>
      </c>
      <c r="L249" s="28">
        <v>2</v>
      </c>
      <c r="M249" s="33">
        <f t="shared" si="83"/>
        <v>2</v>
      </c>
      <c r="N249" s="1">
        <v>2312911100</v>
      </c>
    </row>
    <row r="250" spans="1:14" ht="18" customHeight="1" x14ac:dyDescent="0.45">
      <c r="A250" s="13">
        <v>244</v>
      </c>
      <c r="B250" s="41" t="str">
        <f t="shared" si="104"/>
        <v>東京本部</v>
      </c>
      <c r="C250" s="41" t="str">
        <f t="shared" si="104"/>
        <v>ラヴィーレ調布</v>
      </c>
      <c r="D250" s="14" t="s">
        <v>6</v>
      </c>
      <c r="E250" s="15">
        <v>3</v>
      </c>
      <c r="F250" s="16">
        <v>35</v>
      </c>
      <c r="G250" s="17">
        <v>11.7</v>
      </c>
      <c r="H250" s="16">
        <v>0</v>
      </c>
      <c r="I250" s="17">
        <v>0</v>
      </c>
      <c r="J250" s="15">
        <v>35</v>
      </c>
      <c r="K250" s="44">
        <f t="shared" si="86"/>
        <v>8</v>
      </c>
      <c r="L250" s="28">
        <v>2</v>
      </c>
      <c r="M250" s="33">
        <f t="shared" si="83"/>
        <v>2</v>
      </c>
      <c r="N250" s="1">
        <v>2312911100</v>
      </c>
    </row>
    <row r="251" spans="1:14" ht="18" customHeight="1" x14ac:dyDescent="0.45">
      <c r="A251" s="13">
        <v>245</v>
      </c>
      <c r="B251" s="42" t="str">
        <f t="shared" si="104"/>
        <v>東京本部</v>
      </c>
      <c r="C251" s="42" t="str">
        <f t="shared" si="104"/>
        <v>ラヴィーレ調布</v>
      </c>
      <c r="D251" s="14" t="s">
        <v>2</v>
      </c>
      <c r="E251" s="15">
        <v>2</v>
      </c>
      <c r="F251" s="16">
        <v>4</v>
      </c>
      <c r="G251" s="17">
        <v>2</v>
      </c>
      <c r="H251" s="16">
        <v>0</v>
      </c>
      <c r="I251" s="17">
        <v>0</v>
      </c>
      <c r="J251" s="15">
        <v>4</v>
      </c>
      <c r="K251" s="45">
        <f t="shared" si="86"/>
        <v>8</v>
      </c>
      <c r="L251" s="28">
        <v>1</v>
      </c>
      <c r="M251" s="33">
        <f t="shared" si="83"/>
        <v>1</v>
      </c>
      <c r="N251" s="1">
        <v>2312911100</v>
      </c>
    </row>
    <row r="252" spans="1:14" ht="18" customHeight="1" x14ac:dyDescent="0.45">
      <c r="A252" s="8">
        <v>246</v>
      </c>
      <c r="B252" s="34" t="s">
        <v>8</v>
      </c>
      <c r="C252" s="34" t="s">
        <v>216</v>
      </c>
      <c r="D252" s="9" t="s">
        <v>3</v>
      </c>
      <c r="E252" s="10">
        <v>1</v>
      </c>
      <c r="F252" s="11">
        <v>7</v>
      </c>
      <c r="G252" s="12">
        <v>7</v>
      </c>
      <c r="H252" s="11">
        <v>1</v>
      </c>
      <c r="I252" s="12">
        <v>1</v>
      </c>
      <c r="J252" s="10">
        <v>8</v>
      </c>
      <c r="K252" s="37">
        <f t="shared" ref="K252" si="105">SUM(M252:M256)</f>
        <v>10</v>
      </c>
      <c r="L252" s="28">
        <v>2</v>
      </c>
      <c r="M252" s="33">
        <f t="shared" si="83"/>
        <v>2</v>
      </c>
      <c r="N252" s="1">
        <v>2312951100</v>
      </c>
    </row>
    <row r="253" spans="1:14" ht="18" customHeight="1" x14ac:dyDescent="0.45">
      <c r="A253" s="8">
        <v>247</v>
      </c>
      <c r="B253" s="35" t="str">
        <f t="shared" ref="B253:C256" si="106">B252</f>
        <v>東京本部</v>
      </c>
      <c r="C253" s="35" t="str">
        <f t="shared" si="106"/>
        <v>ラヴィーレ府中</v>
      </c>
      <c r="D253" s="9" t="s">
        <v>4</v>
      </c>
      <c r="E253" s="10">
        <v>1</v>
      </c>
      <c r="F253" s="11">
        <v>7</v>
      </c>
      <c r="G253" s="12">
        <v>7</v>
      </c>
      <c r="H253" s="11">
        <v>2</v>
      </c>
      <c r="I253" s="12">
        <v>2</v>
      </c>
      <c r="J253" s="10">
        <v>9</v>
      </c>
      <c r="K253" s="38">
        <f t="shared" si="86"/>
        <v>10</v>
      </c>
      <c r="L253" s="28">
        <v>2</v>
      </c>
      <c r="M253" s="33">
        <f t="shared" si="83"/>
        <v>2</v>
      </c>
      <c r="N253" s="1">
        <v>2312951100</v>
      </c>
    </row>
    <row r="254" spans="1:14" ht="18" customHeight="1" x14ac:dyDescent="0.45">
      <c r="A254" s="8">
        <v>248</v>
      </c>
      <c r="B254" s="35" t="str">
        <f t="shared" si="106"/>
        <v>東京本部</v>
      </c>
      <c r="C254" s="35" t="str">
        <f t="shared" si="106"/>
        <v>ラヴィーレ府中</v>
      </c>
      <c r="D254" s="9" t="s">
        <v>5</v>
      </c>
      <c r="E254" s="10">
        <v>2</v>
      </c>
      <c r="F254" s="11">
        <v>29</v>
      </c>
      <c r="G254" s="12">
        <v>14.5</v>
      </c>
      <c r="H254" s="11">
        <v>0</v>
      </c>
      <c r="I254" s="12">
        <v>0</v>
      </c>
      <c r="J254" s="10">
        <v>29</v>
      </c>
      <c r="K254" s="38">
        <f t="shared" si="86"/>
        <v>10</v>
      </c>
      <c r="L254" s="28">
        <v>2</v>
      </c>
      <c r="M254" s="33">
        <f t="shared" si="83"/>
        <v>2</v>
      </c>
      <c r="N254" s="1">
        <v>2312951100</v>
      </c>
    </row>
    <row r="255" spans="1:14" ht="18" customHeight="1" x14ac:dyDescent="0.45">
      <c r="A255" s="8">
        <v>249</v>
      </c>
      <c r="B255" s="35" t="str">
        <f t="shared" si="106"/>
        <v>東京本部</v>
      </c>
      <c r="C255" s="35" t="str">
        <f t="shared" si="106"/>
        <v>ラヴィーレ府中</v>
      </c>
      <c r="D255" s="9" t="s">
        <v>6</v>
      </c>
      <c r="E255" s="10">
        <v>3</v>
      </c>
      <c r="F255" s="11">
        <v>27</v>
      </c>
      <c r="G255" s="12">
        <v>9</v>
      </c>
      <c r="H255" s="11">
        <v>0</v>
      </c>
      <c r="I255" s="12">
        <v>0</v>
      </c>
      <c r="J255" s="10">
        <v>27</v>
      </c>
      <c r="K255" s="38">
        <f t="shared" si="86"/>
        <v>10</v>
      </c>
      <c r="L255" s="28">
        <v>2</v>
      </c>
      <c r="M255" s="33">
        <f t="shared" si="83"/>
        <v>2</v>
      </c>
      <c r="N255" s="1">
        <v>2312951100</v>
      </c>
    </row>
    <row r="256" spans="1:14" ht="18" customHeight="1" x14ac:dyDescent="0.45">
      <c r="A256" s="8">
        <v>250</v>
      </c>
      <c r="B256" s="36" t="str">
        <f t="shared" si="106"/>
        <v>東京本部</v>
      </c>
      <c r="C256" s="36" t="str">
        <f t="shared" si="106"/>
        <v>ラヴィーレ府中</v>
      </c>
      <c r="D256" s="9" t="s">
        <v>2</v>
      </c>
      <c r="E256" s="10">
        <v>1</v>
      </c>
      <c r="F256" s="11">
        <v>20</v>
      </c>
      <c r="G256" s="12">
        <v>20</v>
      </c>
      <c r="H256" s="11">
        <v>0</v>
      </c>
      <c r="I256" s="12">
        <v>0</v>
      </c>
      <c r="J256" s="10">
        <v>20</v>
      </c>
      <c r="K256" s="39">
        <f t="shared" si="86"/>
        <v>10</v>
      </c>
      <c r="L256" s="28">
        <v>2</v>
      </c>
      <c r="M256" s="33">
        <f t="shared" si="83"/>
        <v>2</v>
      </c>
      <c r="N256" s="1">
        <v>2312951100</v>
      </c>
    </row>
    <row r="257" spans="1:14" ht="18" customHeight="1" x14ac:dyDescent="0.45">
      <c r="A257" s="13">
        <v>251</v>
      </c>
      <c r="B257" s="40" t="s">
        <v>8</v>
      </c>
      <c r="C257" s="40" t="s">
        <v>32</v>
      </c>
      <c r="D257" s="14" t="s">
        <v>3</v>
      </c>
      <c r="E257" s="15">
        <v>1</v>
      </c>
      <c r="F257" s="16">
        <v>0</v>
      </c>
      <c r="G257" s="17">
        <v>0</v>
      </c>
      <c r="H257" s="16">
        <v>1</v>
      </c>
      <c r="I257" s="17">
        <v>1</v>
      </c>
      <c r="J257" s="15">
        <v>1</v>
      </c>
      <c r="K257" s="43">
        <f t="shared" ref="K257" si="107">SUM(M257:M261)</f>
        <v>6</v>
      </c>
      <c r="L257" s="28">
        <v>0</v>
      </c>
      <c r="M257" s="33">
        <f t="shared" si="83"/>
        <v>0</v>
      </c>
      <c r="N257" s="1">
        <v>2312981100</v>
      </c>
    </row>
    <row r="258" spans="1:14" ht="18" customHeight="1" x14ac:dyDescent="0.45">
      <c r="A258" s="13">
        <v>252</v>
      </c>
      <c r="B258" s="41" t="str">
        <f t="shared" ref="B258:C261" si="108">B257</f>
        <v>東京本部</v>
      </c>
      <c r="C258" s="41" t="str">
        <f t="shared" si="108"/>
        <v>そんぽの家　ひばりが丘</v>
      </c>
      <c r="D258" s="14" t="s">
        <v>4</v>
      </c>
      <c r="E258" s="15">
        <v>1</v>
      </c>
      <c r="F258" s="16">
        <v>6</v>
      </c>
      <c r="G258" s="17">
        <v>6</v>
      </c>
      <c r="H258" s="16">
        <v>2</v>
      </c>
      <c r="I258" s="17">
        <v>2</v>
      </c>
      <c r="J258" s="15">
        <v>8</v>
      </c>
      <c r="K258" s="44">
        <f t="shared" si="86"/>
        <v>6</v>
      </c>
      <c r="L258" s="28">
        <v>2</v>
      </c>
      <c r="M258" s="33">
        <f t="shared" si="83"/>
        <v>2</v>
      </c>
      <c r="N258" s="1">
        <v>2312981100</v>
      </c>
    </row>
    <row r="259" spans="1:14" ht="18" customHeight="1" x14ac:dyDescent="0.45">
      <c r="A259" s="13">
        <v>253</v>
      </c>
      <c r="B259" s="41" t="str">
        <f t="shared" si="108"/>
        <v>東京本部</v>
      </c>
      <c r="C259" s="41" t="str">
        <f t="shared" si="108"/>
        <v>そんぽの家　ひばりが丘</v>
      </c>
      <c r="D259" s="14" t="s">
        <v>5</v>
      </c>
      <c r="E259" s="15">
        <v>1</v>
      </c>
      <c r="F259" s="16">
        <v>23</v>
      </c>
      <c r="G259" s="17">
        <v>23</v>
      </c>
      <c r="H259" s="16">
        <v>0</v>
      </c>
      <c r="I259" s="17">
        <v>0</v>
      </c>
      <c r="J259" s="15">
        <v>23</v>
      </c>
      <c r="K259" s="44">
        <f t="shared" si="86"/>
        <v>6</v>
      </c>
      <c r="L259" s="28">
        <v>2</v>
      </c>
      <c r="M259" s="33">
        <f t="shared" si="83"/>
        <v>2</v>
      </c>
      <c r="N259" s="1">
        <v>2312981100</v>
      </c>
    </row>
    <row r="260" spans="1:14" ht="18" customHeight="1" x14ac:dyDescent="0.45">
      <c r="A260" s="13">
        <v>254</v>
      </c>
      <c r="B260" s="41" t="str">
        <f t="shared" si="108"/>
        <v>東京本部</v>
      </c>
      <c r="C260" s="41" t="str">
        <f t="shared" si="108"/>
        <v>そんぽの家　ひばりが丘</v>
      </c>
      <c r="D260" s="14" t="s">
        <v>6</v>
      </c>
      <c r="E260" s="15">
        <v>3</v>
      </c>
      <c r="F260" s="16">
        <v>10</v>
      </c>
      <c r="G260" s="17">
        <v>3.3</v>
      </c>
      <c r="H260" s="16">
        <v>0</v>
      </c>
      <c r="I260" s="17">
        <v>0</v>
      </c>
      <c r="J260" s="15">
        <v>10</v>
      </c>
      <c r="K260" s="44">
        <f t="shared" si="86"/>
        <v>6</v>
      </c>
      <c r="L260" s="28">
        <v>2</v>
      </c>
      <c r="M260" s="33">
        <f t="shared" si="83"/>
        <v>2</v>
      </c>
      <c r="N260" s="1">
        <v>2312981100</v>
      </c>
    </row>
    <row r="261" spans="1:14" ht="18" customHeight="1" x14ac:dyDescent="0.45">
      <c r="A261" s="13">
        <v>255</v>
      </c>
      <c r="B261" s="42" t="str">
        <f t="shared" si="108"/>
        <v>東京本部</v>
      </c>
      <c r="C261" s="42" t="str">
        <f t="shared" si="108"/>
        <v>そんぽの家　ひばりが丘</v>
      </c>
      <c r="D261" s="14" t="s">
        <v>2</v>
      </c>
      <c r="E261" s="15">
        <v>1</v>
      </c>
      <c r="F261" s="16">
        <v>0</v>
      </c>
      <c r="G261" s="17">
        <v>0</v>
      </c>
      <c r="H261" s="16">
        <v>0</v>
      </c>
      <c r="I261" s="17">
        <v>0</v>
      </c>
      <c r="J261" s="15">
        <v>0</v>
      </c>
      <c r="K261" s="45">
        <f t="shared" si="86"/>
        <v>6</v>
      </c>
      <c r="L261" s="28">
        <v>0</v>
      </c>
      <c r="M261" s="33">
        <f t="shared" si="83"/>
        <v>0</v>
      </c>
      <c r="N261" s="1">
        <v>2312981100</v>
      </c>
    </row>
    <row r="262" spans="1:14" ht="18" customHeight="1" x14ac:dyDescent="0.45">
      <c r="A262" s="8">
        <v>256</v>
      </c>
      <c r="B262" s="34" t="s">
        <v>8</v>
      </c>
      <c r="C262" s="34" t="s">
        <v>182</v>
      </c>
      <c r="D262" s="9" t="s">
        <v>3</v>
      </c>
      <c r="E262" s="10">
        <v>1</v>
      </c>
      <c r="F262" s="11">
        <v>6</v>
      </c>
      <c r="G262" s="12">
        <v>6</v>
      </c>
      <c r="H262" s="11">
        <v>2</v>
      </c>
      <c r="I262" s="12">
        <v>2</v>
      </c>
      <c r="J262" s="10">
        <v>8</v>
      </c>
      <c r="K262" s="37">
        <f t="shared" ref="K262" si="109">SUM(M262:M266)</f>
        <v>5</v>
      </c>
      <c r="L262" s="28">
        <v>2</v>
      </c>
      <c r="M262" s="33">
        <f t="shared" si="83"/>
        <v>2</v>
      </c>
      <c r="N262" s="1">
        <v>2313001100</v>
      </c>
    </row>
    <row r="263" spans="1:14" ht="18" customHeight="1" x14ac:dyDescent="0.45">
      <c r="A263" s="8">
        <v>257</v>
      </c>
      <c r="B263" s="35" t="str">
        <f t="shared" ref="B263:C266" si="110">B262</f>
        <v>東京本部</v>
      </c>
      <c r="C263" s="35" t="str">
        <f t="shared" si="110"/>
        <v>そんぽの家　武蔵野</v>
      </c>
      <c r="D263" s="9" t="s">
        <v>4</v>
      </c>
      <c r="E263" s="10">
        <v>2</v>
      </c>
      <c r="F263" s="11">
        <v>0</v>
      </c>
      <c r="G263" s="12">
        <v>0</v>
      </c>
      <c r="H263" s="11">
        <v>0</v>
      </c>
      <c r="I263" s="12">
        <v>0</v>
      </c>
      <c r="J263" s="10">
        <v>0</v>
      </c>
      <c r="K263" s="38">
        <f t="shared" si="86"/>
        <v>5</v>
      </c>
      <c r="L263" s="28">
        <v>0</v>
      </c>
      <c r="M263" s="33">
        <f t="shared" si="83"/>
        <v>0</v>
      </c>
      <c r="N263" s="1">
        <v>2313001100</v>
      </c>
    </row>
    <row r="264" spans="1:14" ht="18" customHeight="1" x14ac:dyDescent="0.45">
      <c r="A264" s="8">
        <v>258</v>
      </c>
      <c r="B264" s="35" t="str">
        <f t="shared" si="110"/>
        <v>東京本部</v>
      </c>
      <c r="C264" s="35" t="str">
        <f t="shared" si="110"/>
        <v>そんぽの家　武蔵野</v>
      </c>
      <c r="D264" s="9" t="s">
        <v>5</v>
      </c>
      <c r="E264" s="10">
        <v>1</v>
      </c>
      <c r="F264" s="11">
        <v>17</v>
      </c>
      <c r="G264" s="12">
        <v>17</v>
      </c>
      <c r="H264" s="11">
        <v>0</v>
      </c>
      <c r="I264" s="12">
        <v>0</v>
      </c>
      <c r="J264" s="10">
        <v>17</v>
      </c>
      <c r="K264" s="38">
        <f t="shared" si="86"/>
        <v>5</v>
      </c>
      <c r="L264" s="28">
        <v>2</v>
      </c>
      <c r="M264" s="33">
        <f t="shared" ref="M264:M327" si="111">L264</f>
        <v>2</v>
      </c>
      <c r="N264" s="1">
        <v>2313001100</v>
      </c>
    </row>
    <row r="265" spans="1:14" ht="18" customHeight="1" x14ac:dyDescent="0.45">
      <c r="A265" s="8">
        <v>259</v>
      </c>
      <c r="B265" s="35" t="str">
        <f t="shared" si="110"/>
        <v>東京本部</v>
      </c>
      <c r="C265" s="35" t="str">
        <f t="shared" si="110"/>
        <v>そんぽの家　武蔵野</v>
      </c>
      <c r="D265" s="9" t="s">
        <v>6</v>
      </c>
      <c r="E265" s="10">
        <v>4</v>
      </c>
      <c r="F265" s="11">
        <v>0</v>
      </c>
      <c r="G265" s="12">
        <v>0</v>
      </c>
      <c r="H265" s="11">
        <v>0</v>
      </c>
      <c r="I265" s="12">
        <v>0</v>
      </c>
      <c r="J265" s="10">
        <v>0</v>
      </c>
      <c r="K265" s="38">
        <f t="shared" si="86"/>
        <v>5</v>
      </c>
      <c r="L265" s="28">
        <v>0</v>
      </c>
      <c r="M265" s="33">
        <f t="shared" si="111"/>
        <v>0</v>
      </c>
      <c r="N265" s="1">
        <v>2313001100</v>
      </c>
    </row>
    <row r="266" spans="1:14" ht="18" customHeight="1" x14ac:dyDescent="0.45">
      <c r="A266" s="8">
        <v>260</v>
      </c>
      <c r="B266" s="36" t="str">
        <f t="shared" si="110"/>
        <v>東京本部</v>
      </c>
      <c r="C266" s="36" t="str">
        <f t="shared" si="110"/>
        <v>そんぽの家　武蔵野</v>
      </c>
      <c r="D266" s="9" t="s">
        <v>2</v>
      </c>
      <c r="E266" s="10">
        <v>1</v>
      </c>
      <c r="F266" s="11">
        <v>5</v>
      </c>
      <c r="G266" s="12">
        <v>5</v>
      </c>
      <c r="H266" s="11">
        <v>0</v>
      </c>
      <c r="I266" s="12">
        <v>0</v>
      </c>
      <c r="J266" s="10">
        <v>5</v>
      </c>
      <c r="K266" s="39">
        <f t="shared" si="86"/>
        <v>5</v>
      </c>
      <c r="L266" s="28">
        <v>1</v>
      </c>
      <c r="M266" s="33">
        <f t="shared" si="111"/>
        <v>1</v>
      </c>
      <c r="N266" s="1">
        <v>2313001100</v>
      </c>
    </row>
    <row r="267" spans="1:14" ht="18" customHeight="1" x14ac:dyDescent="0.45">
      <c r="A267" s="13">
        <v>261</v>
      </c>
      <c r="B267" s="40" t="s">
        <v>8</v>
      </c>
      <c r="C267" s="40" t="s">
        <v>33</v>
      </c>
      <c r="D267" s="14" t="s">
        <v>3</v>
      </c>
      <c r="E267" s="15">
        <v>1</v>
      </c>
      <c r="F267" s="16">
        <v>2</v>
      </c>
      <c r="G267" s="17">
        <v>2</v>
      </c>
      <c r="H267" s="16">
        <v>2</v>
      </c>
      <c r="I267" s="17">
        <v>2</v>
      </c>
      <c r="J267" s="15">
        <v>4</v>
      </c>
      <c r="K267" s="43">
        <f t="shared" ref="K267" si="112">SUM(M267:M271)</f>
        <v>4</v>
      </c>
      <c r="L267" s="28">
        <v>1</v>
      </c>
      <c r="M267" s="33">
        <f t="shared" si="111"/>
        <v>1</v>
      </c>
      <c r="N267" s="1">
        <v>2313061100</v>
      </c>
    </row>
    <row r="268" spans="1:14" ht="18" customHeight="1" x14ac:dyDescent="0.45">
      <c r="A268" s="13">
        <v>262</v>
      </c>
      <c r="B268" s="41" t="str">
        <f t="shared" ref="B268:C271" si="113">B267</f>
        <v>東京本部</v>
      </c>
      <c r="C268" s="41" t="str">
        <f t="shared" si="113"/>
        <v>そんぽの家　西東京</v>
      </c>
      <c r="D268" s="14" t="s">
        <v>4</v>
      </c>
      <c r="E268" s="15">
        <v>1</v>
      </c>
      <c r="F268" s="16">
        <v>2</v>
      </c>
      <c r="G268" s="17">
        <v>2</v>
      </c>
      <c r="H268" s="16">
        <v>1</v>
      </c>
      <c r="I268" s="17">
        <v>1</v>
      </c>
      <c r="J268" s="15">
        <v>3</v>
      </c>
      <c r="K268" s="44">
        <f t="shared" ref="K268:K331" si="114">K267</f>
        <v>4</v>
      </c>
      <c r="L268" s="28">
        <v>0</v>
      </c>
      <c r="M268" s="33">
        <f t="shared" si="111"/>
        <v>0</v>
      </c>
      <c r="N268" s="1">
        <v>2313061100</v>
      </c>
    </row>
    <row r="269" spans="1:14" ht="18" customHeight="1" x14ac:dyDescent="0.45">
      <c r="A269" s="13">
        <v>263</v>
      </c>
      <c r="B269" s="41" t="str">
        <f t="shared" si="113"/>
        <v>東京本部</v>
      </c>
      <c r="C269" s="41" t="str">
        <f t="shared" si="113"/>
        <v>そんぽの家　西東京</v>
      </c>
      <c r="D269" s="14" t="s">
        <v>5</v>
      </c>
      <c r="E269" s="15">
        <v>1</v>
      </c>
      <c r="F269" s="16">
        <v>10</v>
      </c>
      <c r="G269" s="17">
        <v>10</v>
      </c>
      <c r="H269" s="16">
        <v>0</v>
      </c>
      <c r="I269" s="17">
        <v>0</v>
      </c>
      <c r="J269" s="15">
        <v>10</v>
      </c>
      <c r="K269" s="44">
        <f t="shared" si="114"/>
        <v>4</v>
      </c>
      <c r="L269" s="28">
        <v>2</v>
      </c>
      <c r="M269" s="33">
        <f t="shared" si="111"/>
        <v>2</v>
      </c>
      <c r="N269" s="1">
        <v>2313061100</v>
      </c>
    </row>
    <row r="270" spans="1:14" ht="18" customHeight="1" x14ac:dyDescent="0.45">
      <c r="A270" s="13">
        <v>264</v>
      </c>
      <c r="B270" s="41" t="str">
        <f t="shared" si="113"/>
        <v>東京本部</v>
      </c>
      <c r="C270" s="41" t="str">
        <f t="shared" si="113"/>
        <v>そんぽの家　西東京</v>
      </c>
      <c r="D270" s="14" t="s">
        <v>6</v>
      </c>
      <c r="E270" s="15">
        <v>4</v>
      </c>
      <c r="F270" s="16">
        <v>4</v>
      </c>
      <c r="G270" s="17">
        <v>1</v>
      </c>
      <c r="H270" s="16">
        <v>0</v>
      </c>
      <c r="I270" s="17">
        <v>0</v>
      </c>
      <c r="J270" s="15">
        <v>4</v>
      </c>
      <c r="K270" s="44">
        <f t="shared" si="114"/>
        <v>4</v>
      </c>
      <c r="L270" s="28">
        <v>1</v>
      </c>
      <c r="M270" s="33">
        <f t="shared" si="111"/>
        <v>1</v>
      </c>
      <c r="N270" s="1">
        <v>2313061100</v>
      </c>
    </row>
    <row r="271" spans="1:14" ht="18" customHeight="1" x14ac:dyDescent="0.45">
      <c r="A271" s="13">
        <v>265</v>
      </c>
      <c r="B271" s="42" t="str">
        <f t="shared" si="113"/>
        <v>東京本部</v>
      </c>
      <c r="C271" s="42" t="str">
        <f t="shared" si="113"/>
        <v>そんぽの家　西東京</v>
      </c>
      <c r="D271" s="14" t="s">
        <v>2</v>
      </c>
      <c r="E271" s="15">
        <v>1</v>
      </c>
      <c r="F271" s="16">
        <v>0</v>
      </c>
      <c r="G271" s="17">
        <v>0</v>
      </c>
      <c r="H271" s="16">
        <v>0</v>
      </c>
      <c r="I271" s="17">
        <v>0</v>
      </c>
      <c r="J271" s="15">
        <v>0</v>
      </c>
      <c r="K271" s="45">
        <f t="shared" si="114"/>
        <v>4</v>
      </c>
      <c r="L271" s="28">
        <v>0</v>
      </c>
      <c r="M271" s="33">
        <f t="shared" si="111"/>
        <v>0</v>
      </c>
      <c r="N271" s="1">
        <v>2313061100</v>
      </c>
    </row>
    <row r="272" spans="1:14" ht="18" customHeight="1" x14ac:dyDescent="0.45">
      <c r="A272" s="8">
        <v>266</v>
      </c>
      <c r="B272" s="34" t="s">
        <v>8</v>
      </c>
      <c r="C272" s="34" t="s">
        <v>34</v>
      </c>
      <c r="D272" s="9" t="s">
        <v>3</v>
      </c>
      <c r="E272" s="10">
        <v>1</v>
      </c>
      <c r="F272" s="11">
        <v>10</v>
      </c>
      <c r="G272" s="12">
        <v>10</v>
      </c>
      <c r="H272" s="11">
        <v>11</v>
      </c>
      <c r="I272" s="12">
        <v>11</v>
      </c>
      <c r="J272" s="10">
        <v>21</v>
      </c>
      <c r="K272" s="37">
        <f t="shared" ref="K272" si="115">SUM(M272:M276)</f>
        <v>6</v>
      </c>
      <c r="L272" s="28">
        <v>2</v>
      </c>
      <c r="M272" s="33">
        <f t="shared" si="111"/>
        <v>2</v>
      </c>
      <c r="N272" s="1">
        <v>2313081100</v>
      </c>
    </row>
    <row r="273" spans="1:14" ht="18" customHeight="1" x14ac:dyDescent="0.45">
      <c r="A273" s="8">
        <v>267</v>
      </c>
      <c r="B273" s="35" t="str">
        <f t="shared" ref="B273:C276" si="116">B272</f>
        <v>東京本部</v>
      </c>
      <c r="C273" s="35" t="str">
        <f t="shared" si="116"/>
        <v>そんぽの家　東久留米中央</v>
      </c>
      <c r="D273" s="9" t="s">
        <v>4</v>
      </c>
      <c r="E273" s="10">
        <v>1</v>
      </c>
      <c r="F273" s="11">
        <v>4</v>
      </c>
      <c r="G273" s="12">
        <v>4</v>
      </c>
      <c r="H273" s="11">
        <v>0</v>
      </c>
      <c r="I273" s="12">
        <v>0</v>
      </c>
      <c r="J273" s="10">
        <v>4</v>
      </c>
      <c r="K273" s="38">
        <f t="shared" si="114"/>
        <v>6</v>
      </c>
      <c r="L273" s="28">
        <v>1</v>
      </c>
      <c r="M273" s="33">
        <f t="shared" si="111"/>
        <v>1</v>
      </c>
      <c r="N273" s="1">
        <v>2313081100</v>
      </c>
    </row>
    <row r="274" spans="1:14" ht="18" customHeight="1" x14ac:dyDescent="0.45">
      <c r="A274" s="8">
        <v>268</v>
      </c>
      <c r="B274" s="35" t="str">
        <f t="shared" si="116"/>
        <v>東京本部</v>
      </c>
      <c r="C274" s="35" t="str">
        <f t="shared" si="116"/>
        <v>そんぽの家　東久留米中央</v>
      </c>
      <c r="D274" s="9" t="s">
        <v>5</v>
      </c>
      <c r="E274" s="10">
        <v>1</v>
      </c>
      <c r="F274" s="11">
        <v>4</v>
      </c>
      <c r="G274" s="12">
        <v>4</v>
      </c>
      <c r="H274" s="11">
        <v>0</v>
      </c>
      <c r="I274" s="12">
        <v>0</v>
      </c>
      <c r="J274" s="10">
        <v>4</v>
      </c>
      <c r="K274" s="38">
        <f t="shared" si="114"/>
        <v>6</v>
      </c>
      <c r="L274" s="28">
        <v>1</v>
      </c>
      <c r="M274" s="33">
        <f t="shared" si="111"/>
        <v>1</v>
      </c>
      <c r="N274" s="1">
        <v>2313081100</v>
      </c>
    </row>
    <row r="275" spans="1:14" ht="18" customHeight="1" x14ac:dyDescent="0.45">
      <c r="A275" s="8">
        <v>269</v>
      </c>
      <c r="B275" s="35" t="str">
        <f t="shared" si="116"/>
        <v>東京本部</v>
      </c>
      <c r="C275" s="35" t="str">
        <f t="shared" si="116"/>
        <v>そんぽの家　東久留米中央</v>
      </c>
      <c r="D275" s="9" t="s">
        <v>6</v>
      </c>
      <c r="E275" s="10">
        <v>3</v>
      </c>
      <c r="F275" s="11">
        <v>21</v>
      </c>
      <c r="G275" s="12">
        <v>7</v>
      </c>
      <c r="H275" s="11">
        <v>0</v>
      </c>
      <c r="I275" s="12">
        <v>0</v>
      </c>
      <c r="J275" s="10">
        <v>21</v>
      </c>
      <c r="K275" s="38">
        <f t="shared" si="114"/>
        <v>6</v>
      </c>
      <c r="L275" s="28">
        <v>2</v>
      </c>
      <c r="M275" s="33">
        <f t="shared" si="111"/>
        <v>2</v>
      </c>
      <c r="N275" s="1">
        <v>2313081100</v>
      </c>
    </row>
    <row r="276" spans="1:14" ht="18" customHeight="1" x14ac:dyDescent="0.45">
      <c r="A276" s="8">
        <v>270</v>
      </c>
      <c r="B276" s="36" t="str">
        <f t="shared" si="116"/>
        <v>東京本部</v>
      </c>
      <c r="C276" s="36" t="str">
        <f t="shared" si="116"/>
        <v>そんぽの家　東久留米中央</v>
      </c>
      <c r="D276" s="9" t="s">
        <v>2</v>
      </c>
      <c r="E276" s="10">
        <v>1</v>
      </c>
      <c r="F276" s="11">
        <v>0</v>
      </c>
      <c r="G276" s="12">
        <v>0</v>
      </c>
      <c r="H276" s="11">
        <v>0</v>
      </c>
      <c r="I276" s="12">
        <v>0</v>
      </c>
      <c r="J276" s="10">
        <v>0</v>
      </c>
      <c r="K276" s="39">
        <f t="shared" si="114"/>
        <v>6</v>
      </c>
      <c r="L276" s="28">
        <v>0</v>
      </c>
      <c r="M276" s="33">
        <f t="shared" si="111"/>
        <v>0</v>
      </c>
      <c r="N276" s="1">
        <v>2313081100</v>
      </c>
    </row>
    <row r="277" spans="1:14" ht="18" customHeight="1" x14ac:dyDescent="0.45">
      <c r="A277" s="13">
        <v>271</v>
      </c>
      <c r="B277" s="40" t="s">
        <v>8</v>
      </c>
      <c r="C277" s="40" t="s">
        <v>35</v>
      </c>
      <c r="D277" s="14" t="s">
        <v>3</v>
      </c>
      <c r="E277" s="15">
        <v>1</v>
      </c>
      <c r="F277" s="16">
        <v>2</v>
      </c>
      <c r="G277" s="17">
        <v>2</v>
      </c>
      <c r="H277" s="16">
        <v>1</v>
      </c>
      <c r="I277" s="17">
        <v>1</v>
      </c>
      <c r="J277" s="15">
        <v>3</v>
      </c>
      <c r="K277" s="43">
        <f t="shared" ref="K277" si="117">SUM(M277:M281)</f>
        <v>4</v>
      </c>
      <c r="L277" s="28">
        <v>0</v>
      </c>
      <c r="M277" s="33">
        <f t="shared" si="111"/>
        <v>0</v>
      </c>
      <c r="N277" s="1">
        <v>2313101100</v>
      </c>
    </row>
    <row r="278" spans="1:14" ht="18" customHeight="1" x14ac:dyDescent="0.45">
      <c r="A278" s="13">
        <v>272</v>
      </c>
      <c r="B278" s="41" t="str">
        <f t="shared" ref="B278:C281" si="118">B277</f>
        <v>東京本部</v>
      </c>
      <c r="C278" s="41" t="str">
        <f t="shared" si="118"/>
        <v>そんぽの家　新小平</v>
      </c>
      <c r="D278" s="14" t="s">
        <v>4</v>
      </c>
      <c r="E278" s="15">
        <v>1</v>
      </c>
      <c r="F278" s="16">
        <v>3</v>
      </c>
      <c r="G278" s="17">
        <v>3</v>
      </c>
      <c r="H278" s="16">
        <v>3</v>
      </c>
      <c r="I278" s="17">
        <v>3</v>
      </c>
      <c r="J278" s="15">
        <v>6</v>
      </c>
      <c r="K278" s="44">
        <f t="shared" si="114"/>
        <v>4</v>
      </c>
      <c r="L278" s="28">
        <v>1</v>
      </c>
      <c r="M278" s="33">
        <f t="shared" si="111"/>
        <v>1</v>
      </c>
      <c r="N278" s="1">
        <v>2313101100</v>
      </c>
    </row>
    <row r="279" spans="1:14" ht="18" customHeight="1" x14ac:dyDescent="0.45">
      <c r="A279" s="13">
        <v>273</v>
      </c>
      <c r="B279" s="41" t="str">
        <f t="shared" si="118"/>
        <v>東京本部</v>
      </c>
      <c r="C279" s="41" t="str">
        <f t="shared" si="118"/>
        <v>そんぽの家　新小平</v>
      </c>
      <c r="D279" s="14" t="s">
        <v>5</v>
      </c>
      <c r="E279" s="15">
        <v>2</v>
      </c>
      <c r="F279" s="16">
        <v>39</v>
      </c>
      <c r="G279" s="17">
        <v>19.5</v>
      </c>
      <c r="H279" s="16">
        <v>0</v>
      </c>
      <c r="I279" s="17">
        <v>0</v>
      </c>
      <c r="J279" s="15">
        <v>39</v>
      </c>
      <c r="K279" s="44">
        <f t="shared" si="114"/>
        <v>4</v>
      </c>
      <c r="L279" s="28">
        <v>2</v>
      </c>
      <c r="M279" s="33">
        <f t="shared" si="111"/>
        <v>2</v>
      </c>
      <c r="N279" s="1">
        <v>2313101100</v>
      </c>
    </row>
    <row r="280" spans="1:14" ht="18" customHeight="1" x14ac:dyDescent="0.45">
      <c r="A280" s="13">
        <v>274</v>
      </c>
      <c r="B280" s="41" t="str">
        <f t="shared" si="118"/>
        <v>東京本部</v>
      </c>
      <c r="C280" s="41" t="str">
        <f t="shared" si="118"/>
        <v>そんぽの家　新小平</v>
      </c>
      <c r="D280" s="14" t="s">
        <v>6</v>
      </c>
      <c r="E280" s="15">
        <v>3</v>
      </c>
      <c r="F280" s="16">
        <v>2</v>
      </c>
      <c r="G280" s="17">
        <v>0.7</v>
      </c>
      <c r="H280" s="16">
        <v>0</v>
      </c>
      <c r="I280" s="17">
        <v>0</v>
      </c>
      <c r="J280" s="15">
        <v>2</v>
      </c>
      <c r="K280" s="44">
        <f t="shared" si="114"/>
        <v>4</v>
      </c>
      <c r="L280" s="28">
        <v>0</v>
      </c>
      <c r="M280" s="33">
        <f t="shared" si="111"/>
        <v>0</v>
      </c>
      <c r="N280" s="1">
        <v>2313101100</v>
      </c>
    </row>
    <row r="281" spans="1:14" ht="18" customHeight="1" x14ac:dyDescent="0.45">
      <c r="A281" s="13">
        <v>275</v>
      </c>
      <c r="B281" s="42" t="str">
        <f t="shared" si="118"/>
        <v>東京本部</v>
      </c>
      <c r="C281" s="42" t="str">
        <f t="shared" si="118"/>
        <v>そんぽの家　新小平</v>
      </c>
      <c r="D281" s="14" t="s">
        <v>2</v>
      </c>
      <c r="E281" s="15">
        <v>2</v>
      </c>
      <c r="F281" s="16">
        <v>5</v>
      </c>
      <c r="G281" s="17">
        <v>2.5</v>
      </c>
      <c r="H281" s="16">
        <v>0</v>
      </c>
      <c r="I281" s="17">
        <v>0</v>
      </c>
      <c r="J281" s="15">
        <v>5</v>
      </c>
      <c r="K281" s="45">
        <f t="shared" si="114"/>
        <v>4</v>
      </c>
      <c r="L281" s="28">
        <v>1</v>
      </c>
      <c r="M281" s="33">
        <f t="shared" si="111"/>
        <v>1</v>
      </c>
      <c r="N281" s="1">
        <v>2313101100</v>
      </c>
    </row>
    <row r="282" spans="1:14" ht="18" customHeight="1" x14ac:dyDescent="0.45">
      <c r="A282" s="8">
        <v>276</v>
      </c>
      <c r="B282" s="34" t="s">
        <v>8</v>
      </c>
      <c r="C282" s="34" t="s">
        <v>36</v>
      </c>
      <c r="D282" s="9" t="s">
        <v>3</v>
      </c>
      <c r="E282" s="10">
        <v>1</v>
      </c>
      <c r="F282" s="11">
        <v>12</v>
      </c>
      <c r="G282" s="12">
        <v>12</v>
      </c>
      <c r="H282" s="11">
        <v>0</v>
      </c>
      <c r="I282" s="12">
        <v>0</v>
      </c>
      <c r="J282" s="10">
        <v>12</v>
      </c>
      <c r="K282" s="37">
        <f t="shared" ref="K282" si="119">SUM(M282:M286)</f>
        <v>6</v>
      </c>
      <c r="L282" s="28">
        <v>2</v>
      </c>
      <c r="M282" s="33">
        <f t="shared" si="111"/>
        <v>2</v>
      </c>
      <c r="N282" s="1">
        <v>2313111100</v>
      </c>
    </row>
    <row r="283" spans="1:14" ht="18" customHeight="1" x14ac:dyDescent="0.45">
      <c r="A283" s="8">
        <v>277</v>
      </c>
      <c r="B283" s="35" t="str">
        <f t="shared" ref="B283:C286" si="120">B282</f>
        <v>東京本部</v>
      </c>
      <c r="C283" s="35" t="str">
        <f t="shared" si="120"/>
        <v>そんぽの家　小平仲町</v>
      </c>
      <c r="D283" s="9" t="s">
        <v>4</v>
      </c>
      <c r="E283" s="10">
        <v>1</v>
      </c>
      <c r="F283" s="11">
        <v>13</v>
      </c>
      <c r="G283" s="12">
        <v>13</v>
      </c>
      <c r="H283" s="11">
        <v>13</v>
      </c>
      <c r="I283" s="12">
        <v>13</v>
      </c>
      <c r="J283" s="10">
        <v>26</v>
      </c>
      <c r="K283" s="38">
        <f t="shared" si="114"/>
        <v>6</v>
      </c>
      <c r="L283" s="28">
        <v>2</v>
      </c>
      <c r="M283" s="33">
        <f t="shared" si="111"/>
        <v>2</v>
      </c>
      <c r="N283" s="1">
        <v>2313111100</v>
      </c>
    </row>
    <row r="284" spans="1:14" ht="18" customHeight="1" x14ac:dyDescent="0.45">
      <c r="A284" s="8">
        <v>278</v>
      </c>
      <c r="B284" s="35" t="str">
        <f t="shared" si="120"/>
        <v>東京本部</v>
      </c>
      <c r="C284" s="35" t="str">
        <f t="shared" si="120"/>
        <v>そんぽの家　小平仲町</v>
      </c>
      <c r="D284" s="9" t="s">
        <v>5</v>
      </c>
      <c r="E284" s="10">
        <v>1</v>
      </c>
      <c r="F284" s="11">
        <v>23</v>
      </c>
      <c r="G284" s="12">
        <v>23</v>
      </c>
      <c r="H284" s="11">
        <v>0</v>
      </c>
      <c r="I284" s="12">
        <v>0</v>
      </c>
      <c r="J284" s="10">
        <v>23</v>
      </c>
      <c r="K284" s="38">
        <f t="shared" si="114"/>
        <v>6</v>
      </c>
      <c r="L284" s="28">
        <v>2</v>
      </c>
      <c r="M284" s="33">
        <f t="shared" si="111"/>
        <v>2</v>
      </c>
      <c r="N284" s="1">
        <v>2313111100</v>
      </c>
    </row>
    <row r="285" spans="1:14" ht="18" customHeight="1" x14ac:dyDescent="0.45">
      <c r="A285" s="8">
        <v>279</v>
      </c>
      <c r="B285" s="35" t="str">
        <f t="shared" si="120"/>
        <v>東京本部</v>
      </c>
      <c r="C285" s="35" t="str">
        <f t="shared" si="120"/>
        <v>そんぽの家　小平仲町</v>
      </c>
      <c r="D285" s="9" t="s">
        <v>6</v>
      </c>
      <c r="E285" s="10">
        <v>3</v>
      </c>
      <c r="F285" s="11">
        <v>1</v>
      </c>
      <c r="G285" s="12">
        <v>0.3</v>
      </c>
      <c r="H285" s="11">
        <v>0</v>
      </c>
      <c r="I285" s="12">
        <v>0</v>
      </c>
      <c r="J285" s="10">
        <v>1</v>
      </c>
      <c r="K285" s="38">
        <f t="shared" si="114"/>
        <v>6</v>
      </c>
      <c r="L285" s="28">
        <v>0</v>
      </c>
      <c r="M285" s="33">
        <f t="shared" si="111"/>
        <v>0</v>
      </c>
      <c r="N285" s="1">
        <v>2313111100</v>
      </c>
    </row>
    <row r="286" spans="1:14" ht="18" customHeight="1" x14ac:dyDescent="0.45">
      <c r="A286" s="8">
        <v>280</v>
      </c>
      <c r="B286" s="36" t="str">
        <f t="shared" si="120"/>
        <v>東京本部</v>
      </c>
      <c r="C286" s="36" t="str">
        <f t="shared" si="120"/>
        <v>そんぽの家　小平仲町</v>
      </c>
      <c r="D286" s="9" t="s">
        <v>2</v>
      </c>
      <c r="E286" s="10">
        <v>1</v>
      </c>
      <c r="F286" s="11">
        <v>1</v>
      </c>
      <c r="G286" s="12">
        <v>1</v>
      </c>
      <c r="H286" s="11">
        <v>0</v>
      </c>
      <c r="I286" s="12">
        <v>0</v>
      </c>
      <c r="J286" s="10">
        <v>1</v>
      </c>
      <c r="K286" s="39">
        <f t="shared" si="114"/>
        <v>6</v>
      </c>
      <c r="L286" s="28">
        <v>0</v>
      </c>
      <c r="M286" s="33">
        <f t="shared" si="111"/>
        <v>0</v>
      </c>
      <c r="N286" s="1">
        <v>2313111100</v>
      </c>
    </row>
    <row r="287" spans="1:14" ht="18" customHeight="1" x14ac:dyDescent="0.45">
      <c r="A287" s="13">
        <v>281</v>
      </c>
      <c r="B287" s="40" t="s">
        <v>8</v>
      </c>
      <c r="C287" s="40" t="s">
        <v>37</v>
      </c>
      <c r="D287" s="14" t="s">
        <v>3</v>
      </c>
      <c r="E287" s="15">
        <v>1</v>
      </c>
      <c r="F287" s="16">
        <v>10</v>
      </c>
      <c r="G287" s="17">
        <v>10</v>
      </c>
      <c r="H287" s="16">
        <v>5</v>
      </c>
      <c r="I287" s="17">
        <v>5</v>
      </c>
      <c r="J287" s="15">
        <v>15</v>
      </c>
      <c r="K287" s="43">
        <f t="shared" ref="K287" si="121">SUM(M287:M291)</f>
        <v>10</v>
      </c>
      <c r="L287" s="28">
        <v>2</v>
      </c>
      <c r="M287" s="33">
        <f t="shared" si="111"/>
        <v>2</v>
      </c>
      <c r="N287" s="1">
        <v>2313131100</v>
      </c>
    </row>
    <row r="288" spans="1:14" ht="18" customHeight="1" x14ac:dyDescent="0.45">
      <c r="A288" s="13">
        <v>282</v>
      </c>
      <c r="B288" s="41" t="str">
        <f t="shared" ref="B288:C291" si="122">B287</f>
        <v>東京本部</v>
      </c>
      <c r="C288" s="41" t="str">
        <f t="shared" si="122"/>
        <v>そんぽの家　萩山</v>
      </c>
      <c r="D288" s="14" t="s">
        <v>4</v>
      </c>
      <c r="E288" s="15">
        <v>1</v>
      </c>
      <c r="F288" s="16">
        <v>8</v>
      </c>
      <c r="G288" s="17">
        <v>8</v>
      </c>
      <c r="H288" s="16">
        <v>0</v>
      </c>
      <c r="I288" s="17">
        <v>0</v>
      </c>
      <c r="J288" s="15">
        <v>8</v>
      </c>
      <c r="K288" s="44">
        <f t="shared" si="114"/>
        <v>10</v>
      </c>
      <c r="L288" s="28">
        <v>2</v>
      </c>
      <c r="M288" s="33">
        <f t="shared" si="111"/>
        <v>2</v>
      </c>
      <c r="N288" s="1">
        <v>2313131100</v>
      </c>
    </row>
    <row r="289" spans="1:14" ht="18" customHeight="1" x14ac:dyDescent="0.45">
      <c r="A289" s="13">
        <v>283</v>
      </c>
      <c r="B289" s="41" t="str">
        <f t="shared" si="122"/>
        <v>東京本部</v>
      </c>
      <c r="C289" s="41" t="str">
        <f t="shared" si="122"/>
        <v>そんぽの家　萩山</v>
      </c>
      <c r="D289" s="14" t="s">
        <v>5</v>
      </c>
      <c r="E289" s="15">
        <v>2</v>
      </c>
      <c r="F289" s="16">
        <v>26</v>
      </c>
      <c r="G289" s="17">
        <v>13</v>
      </c>
      <c r="H289" s="16">
        <v>0</v>
      </c>
      <c r="I289" s="17">
        <v>0</v>
      </c>
      <c r="J289" s="15">
        <v>26</v>
      </c>
      <c r="K289" s="44">
        <f t="shared" si="114"/>
        <v>10</v>
      </c>
      <c r="L289" s="28">
        <v>2</v>
      </c>
      <c r="M289" s="33">
        <f t="shared" si="111"/>
        <v>2</v>
      </c>
      <c r="N289" s="1">
        <v>2313131100</v>
      </c>
    </row>
    <row r="290" spans="1:14" ht="18" customHeight="1" x14ac:dyDescent="0.45">
      <c r="A290" s="13">
        <v>284</v>
      </c>
      <c r="B290" s="41" t="str">
        <f t="shared" si="122"/>
        <v>東京本部</v>
      </c>
      <c r="C290" s="41" t="str">
        <f t="shared" si="122"/>
        <v>そんぽの家　萩山</v>
      </c>
      <c r="D290" s="14" t="s">
        <v>6</v>
      </c>
      <c r="E290" s="15">
        <v>3</v>
      </c>
      <c r="F290" s="16">
        <v>11</v>
      </c>
      <c r="G290" s="17">
        <v>3.7</v>
      </c>
      <c r="H290" s="16">
        <v>0</v>
      </c>
      <c r="I290" s="17">
        <v>0</v>
      </c>
      <c r="J290" s="15">
        <v>11</v>
      </c>
      <c r="K290" s="44">
        <f t="shared" si="114"/>
        <v>10</v>
      </c>
      <c r="L290" s="28">
        <v>2</v>
      </c>
      <c r="M290" s="33">
        <f t="shared" si="111"/>
        <v>2</v>
      </c>
      <c r="N290" s="1">
        <v>2313131100</v>
      </c>
    </row>
    <row r="291" spans="1:14" ht="18" customHeight="1" x14ac:dyDescent="0.45">
      <c r="A291" s="13">
        <v>285</v>
      </c>
      <c r="B291" s="42" t="str">
        <f t="shared" si="122"/>
        <v>東京本部</v>
      </c>
      <c r="C291" s="42" t="str">
        <f t="shared" si="122"/>
        <v>そんぽの家　萩山</v>
      </c>
      <c r="D291" s="14" t="s">
        <v>2</v>
      </c>
      <c r="E291" s="15">
        <v>1</v>
      </c>
      <c r="F291" s="16">
        <v>13</v>
      </c>
      <c r="G291" s="17">
        <v>13</v>
      </c>
      <c r="H291" s="16">
        <v>0</v>
      </c>
      <c r="I291" s="17">
        <v>0</v>
      </c>
      <c r="J291" s="15">
        <v>13</v>
      </c>
      <c r="K291" s="45">
        <f t="shared" si="114"/>
        <v>10</v>
      </c>
      <c r="L291" s="28">
        <v>2</v>
      </c>
      <c r="M291" s="33">
        <f t="shared" si="111"/>
        <v>2</v>
      </c>
      <c r="N291" s="1">
        <v>2313131100</v>
      </c>
    </row>
    <row r="292" spans="1:14" ht="18" customHeight="1" x14ac:dyDescent="0.45">
      <c r="A292" s="8">
        <v>286</v>
      </c>
      <c r="B292" s="34" t="s">
        <v>8</v>
      </c>
      <c r="C292" s="34" t="s">
        <v>38</v>
      </c>
      <c r="D292" s="9" t="s">
        <v>3</v>
      </c>
      <c r="E292" s="10">
        <v>1</v>
      </c>
      <c r="F292" s="11">
        <v>6</v>
      </c>
      <c r="G292" s="12">
        <v>6</v>
      </c>
      <c r="H292" s="11">
        <v>1</v>
      </c>
      <c r="I292" s="12">
        <v>1</v>
      </c>
      <c r="J292" s="10">
        <v>7</v>
      </c>
      <c r="K292" s="37">
        <f t="shared" ref="K292" si="123">SUM(M292:M296)</f>
        <v>7</v>
      </c>
      <c r="L292" s="28">
        <v>1</v>
      </c>
      <c r="M292" s="33">
        <f t="shared" si="111"/>
        <v>1</v>
      </c>
      <c r="N292" s="1">
        <v>2313141100</v>
      </c>
    </row>
    <row r="293" spans="1:14" ht="18" customHeight="1" x14ac:dyDescent="0.45">
      <c r="A293" s="8">
        <v>287</v>
      </c>
      <c r="B293" s="35" t="str">
        <f t="shared" ref="B293:C296" si="124">B292</f>
        <v>東京本部</v>
      </c>
      <c r="C293" s="35" t="str">
        <f t="shared" si="124"/>
        <v>そんぽの家　八坂</v>
      </c>
      <c r="D293" s="9" t="s">
        <v>4</v>
      </c>
      <c r="E293" s="10">
        <v>1</v>
      </c>
      <c r="F293" s="11">
        <v>8</v>
      </c>
      <c r="G293" s="12">
        <v>8</v>
      </c>
      <c r="H293" s="11">
        <v>1</v>
      </c>
      <c r="I293" s="12">
        <v>1</v>
      </c>
      <c r="J293" s="10">
        <v>9</v>
      </c>
      <c r="K293" s="38">
        <f t="shared" si="114"/>
        <v>7</v>
      </c>
      <c r="L293" s="28">
        <v>2</v>
      </c>
      <c r="M293" s="33">
        <f t="shared" si="111"/>
        <v>2</v>
      </c>
      <c r="N293" s="1">
        <v>2313141100</v>
      </c>
    </row>
    <row r="294" spans="1:14" ht="18" customHeight="1" x14ac:dyDescent="0.45">
      <c r="A294" s="8">
        <v>288</v>
      </c>
      <c r="B294" s="35" t="str">
        <f t="shared" si="124"/>
        <v>東京本部</v>
      </c>
      <c r="C294" s="35" t="str">
        <f t="shared" si="124"/>
        <v>そんぽの家　八坂</v>
      </c>
      <c r="D294" s="9" t="s">
        <v>5</v>
      </c>
      <c r="E294" s="10">
        <v>1</v>
      </c>
      <c r="F294" s="11">
        <v>4</v>
      </c>
      <c r="G294" s="12">
        <v>4</v>
      </c>
      <c r="H294" s="11">
        <v>0</v>
      </c>
      <c r="I294" s="12">
        <v>0</v>
      </c>
      <c r="J294" s="10">
        <v>4</v>
      </c>
      <c r="K294" s="38">
        <f t="shared" si="114"/>
        <v>7</v>
      </c>
      <c r="L294" s="28">
        <v>1</v>
      </c>
      <c r="M294" s="33">
        <f t="shared" si="111"/>
        <v>1</v>
      </c>
      <c r="N294" s="1">
        <v>2313141100</v>
      </c>
    </row>
    <row r="295" spans="1:14" ht="18" customHeight="1" x14ac:dyDescent="0.45">
      <c r="A295" s="8">
        <v>289</v>
      </c>
      <c r="B295" s="35" t="str">
        <f t="shared" si="124"/>
        <v>東京本部</v>
      </c>
      <c r="C295" s="35" t="str">
        <f t="shared" si="124"/>
        <v>そんぽの家　八坂</v>
      </c>
      <c r="D295" s="9" t="s">
        <v>6</v>
      </c>
      <c r="E295" s="10">
        <v>3</v>
      </c>
      <c r="F295" s="11">
        <v>6</v>
      </c>
      <c r="G295" s="12">
        <v>2</v>
      </c>
      <c r="H295" s="11">
        <v>0</v>
      </c>
      <c r="I295" s="12">
        <v>0</v>
      </c>
      <c r="J295" s="10">
        <v>6</v>
      </c>
      <c r="K295" s="38">
        <f t="shared" si="114"/>
        <v>7</v>
      </c>
      <c r="L295" s="28">
        <v>1</v>
      </c>
      <c r="M295" s="33">
        <f t="shared" si="111"/>
        <v>1</v>
      </c>
      <c r="N295" s="1">
        <v>2313141100</v>
      </c>
    </row>
    <row r="296" spans="1:14" ht="18" customHeight="1" x14ac:dyDescent="0.45">
      <c r="A296" s="8">
        <v>290</v>
      </c>
      <c r="B296" s="36" t="str">
        <f t="shared" si="124"/>
        <v>東京本部</v>
      </c>
      <c r="C296" s="36" t="str">
        <f t="shared" si="124"/>
        <v>そんぽの家　八坂</v>
      </c>
      <c r="D296" s="9" t="s">
        <v>2</v>
      </c>
      <c r="E296" s="10">
        <v>1</v>
      </c>
      <c r="F296" s="11">
        <v>8</v>
      </c>
      <c r="G296" s="12">
        <v>8</v>
      </c>
      <c r="H296" s="11">
        <v>0</v>
      </c>
      <c r="I296" s="12">
        <v>0</v>
      </c>
      <c r="J296" s="10">
        <v>8</v>
      </c>
      <c r="K296" s="39">
        <f t="shared" si="114"/>
        <v>7</v>
      </c>
      <c r="L296" s="28">
        <v>2</v>
      </c>
      <c r="M296" s="33">
        <f t="shared" si="111"/>
        <v>2</v>
      </c>
      <c r="N296" s="1">
        <v>2313141100</v>
      </c>
    </row>
    <row r="297" spans="1:14" ht="18" customHeight="1" x14ac:dyDescent="0.45">
      <c r="A297" s="13">
        <v>291</v>
      </c>
      <c r="B297" s="40" t="s">
        <v>8</v>
      </c>
      <c r="C297" s="40" t="s">
        <v>217</v>
      </c>
      <c r="D297" s="14" t="s">
        <v>3</v>
      </c>
      <c r="E297" s="15">
        <v>1</v>
      </c>
      <c r="F297" s="16">
        <v>23</v>
      </c>
      <c r="G297" s="17">
        <v>23</v>
      </c>
      <c r="H297" s="16">
        <v>23</v>
      </c>
      <c r="I297" s="17">
        <v>23</v>
      </c>
      <c r="J297" s="15">
        <v>46</v>
      </c>
      <c r="K297" s="43">
        <f t="shared" ref="K297" si="125">SUM(M297:M301)</f>
        <v>7</v>
      </c>
      <c r="L297" s="28">
        <v>2</v>
      </c>
      <c r="M297" s="33">
        <f t="shared" si="111"/>
        <v>2</v>
      </c>
      <c r="N297" s="1">
        <v>2313171100</v>
      </c>
    </row>
    <row r="298" spans="1:14" ht="18" customHeight="1" x14ac:dyDescent="0.45">
      <c r="A298" s="13">
        <v>292</v>
      </c>
      <c r="B298" s="41" t="str">
        <f t="shared" ref="B298:C301" si="126">B297</f>
        <v>東京本部</v>
      </c>
      <c r="C298" s="41" t="str">
        <f t="shared" si="126"/>
        <v>ラヴィーレ国立矢川</v>
      </c>
      <c r="D298" s="14" t="s">
        <v>4</v>
      </c>
      <c r="E298" s="15">
        <v>1</v>
      </c>
      <c r="F298" s="16">
        <v>2</v>
      </c>
      <c r="G298" s="17">
        <v>2</v>
      </c>
      <c r="H298" s="16">
        <v>1</v>
      </c>
      <c r="I298" s="17">
        <v>1</v>
      </c>
      <c r="J298" s="15">
        <v>3</v>
      </c>
      <c r="K298" s="44">
        <f t="shared" si="114"/>
        <v>7</v>
      </c>
      <c r="L298" s="28">
        <v>0</v>
      </c>
      <c r="M298" s="33">
        <f t="shared" si="111"/>
        <v>0</v>
      </c>
      <c r="N298" s="1">
        <v>2313171100</v>
      </c>
    </row>
    <row r="299" spans="1:14" ht="18" customHeight="1" x14ac:dyDescent="0.45">
      <c r="A299" s="13">
        <v>293</v>
      </c>
      <c r="B299" s="41" t="str">
        <f t="shared" si="126"/>
        <v>東京本部</v>
      </c>
      <c r="C299" s="41" t="str">
        <f t="shared" si="126"/>
        <v>ラヴィーレ国立矢川</v>
      </c>
      <c r="D299" s="14" t="s">
        <v>5</v>
      </c>
      <c r="E299" s="15">
        <v>2</v>
      </c>
      <c r="F299" s="16">
        <v>22</v>
      </c>
      <c r="G299" s="17">
        <v>11</v>
      </c>
      <c r="H299" s="16">
        <v>0</v>
      </c>
      <c r="I299" s="17">
        <v>0</v>
      </c>
      <c r="J299" s="15">
        <v>22</v>
      </c>
      <c r="K299" s="44">
        <f t="shared" si="114"/>
        <v>7</v>
      </c>
      <c r="L299" s="28">
        <v>2</v>
      </c>
      <c r="M299" s="33">
        <f t="shared" si="111"/>
        <v>2</v>
      </c>
      <c r="N299" s="1">
        <v>2313171100</v>
      </c>
    </row>
    <row r="300" spans="1:14" ht="18" customHeight="1" x14ac:dyDescent="0.45">
      <c r="A300" s="13">
        <v>294</v>
      </c>
      <c r="B300" s="41" t="str">
        <f t="shared" si="126"/>
        <v>東京本部</v>
      </c>
      <c r="C300" s="41" t="str">
        <f t="shared" si="126"/>
        <v>ラヴィーレ国立矢川</v>
      </c>
      <c r="D300" s="14" t="s">
        <v>6</v>
      </c>
      <c r="E300" s="15">
        <v>3</v>
      </c>
      <c r="F300" s="16">
        <v>34</v>
      </c>
      <c r="G300" s="17">
        <v>11.3</v>
      </c>
      <c r="H300" s="16">
        <v>0</v>
      </c>
      <c r="I300" s="17">
        <v>0</v>
      </c>
      <c r="J300" s="15">
        <v>34</v>
      </c>
      <c r="K300" s="44">
        <f t="shared" si="114"/>
        <v>7</v>
      </c>
      <c r="L300" s="28">
        <v>2</v>
      </c>
      <c r="M300" s="33">
        <f t="shared" si="111"/>
        <v>2</v>
      </c>
      <c r="N300" s="1">
        <v>2313171100</v>
      </c>
    </row>
    <row r="301" spans="1:14" ht="18" customHeight="1" x14ac:dyDescent="0.45">
      <c r="A301" s="13">
        <v>295</v>
      </c>
      <c r="B301" s="42" t="str">
        <f t="shared" si="126"/>
        <v>東京本部</v>
      </c>
      <c r="C301" s="42" t="str">
        <f t="shared" si="126"/>
        <v>ラヴィーレ国立矢川</v>
      </c>
      <c r="D301" s="14" t="s">
        <v>2</v>
      </c>
      <c r="E301" s="15">
        <v>1</v>
      </c>
      <c r="F301" s="16">
        <v>4</v>
      </c>
      <c r="G301" s="17">
        <v>4</v>
      </c>
      <c r="H301" s="16">
        <v>0</v>
      </c>
      <c r="I301" s="17">
        <v>0</v>
      </c>
      <c r="J301" s="15">
        <v>4</v>
      </c>
      <c r="K301" s="45">
        <f t="shared" si="114"/>
        <v>7</v>
      </c>
      <c r="L301" s="28">
        <v>1</v>
      </c>
      <c r="M301" s="33">
        <f t="shared" si="111"/>
        <v>1</v>
      </c>
      <c r="N301" s="1">
        <v>2313171100</v>
      </c>
    </row>
    <row r="302" spans="1:14" ht="18" customHeight="1" x14ac:dyDescent="0.45">
      <c r="A302" s="8">
        <v>296</v>
      </c>
      <c r="B302" s="34" t="s">
        <v>8</v>
      </c>
      <c r="C302" s="34" t="s">
        <v>39</v>
      </c>
      <c r="D302" s="9" t="s">
        <v>3</v>
      </c>
      <c r="E302" s="10">
        <v>1</v>
      </c>
      <c r="F302" s="11">
        <v>14</v>
      </c>
      <c r="G302" s="12">
        <v>14</v>
      </c>
      <c r="H302" s="11">
        <v>9</v>
      </c>
      <c r="I302" s="12">
        <v>9</v>
      </c>
      <c r="J302" s="10">
        <v>23</v>
      </c>
      <c r="K302" s="37">
        <f t="shared" ref="K302" si="127">SUM(M302:M306)</f>
        <v>8</v>
      </c>
      <c r="L302" s="28">
        <v>2</v>
      </c>
      <c r="M302" s="33">
        <f t="shared" si="111"/>
        <v>2</v>
      </c>
      <c r="N302" s="1">
        <v>2313191100</v>
      </c>
    </row>
    <row r="303" spans="1:14" ht="18" customHeight="1" x14ac:dyDescent="0.45">
      <c r="A303" s="8">
        <v>297</v>
      </c>
      <c r="B303" s="35" t="str">
        <f t="shared" ref="B303:C306" si="128">B302</f>
        <v>東京本部</v>
      </c>
      <c r="C303" s="35" t="str">
        <f t="shared" si="128"/>
        <v>そんぽの家　国立南</v>
      </c>
      <c r="D303" s="9" t="s">
        <v>4</v>
      </c>
      <c r="E303" s="10">
        <v>1</v>
      </c>
      <c r="F303" s="11">
        <v>14</v>
      </c>
      <c r="G303" s="12">
        <v>14</v>
      </c>
      <c r="H303" s="11">
        <v>7</v>
      </c>
      <c r="I303" s="12">
        <v>7</v>
      </c>
      <c r="J303" s="10">
        <v>21</v>
      </c>
      <c r="K303" s="38">
        <f t="shared" si="114"/>
        <v>8</v>
      </c>
      <c r="L303" s="28">
        <v>2</v>
      </c>
      <c r="M303" s="33">
        <f t="shared" si="111"/>
        <v>2</v>
      </c>
      <c r="N303" s="1">
        <v>2313191100</v>
      </c>
    </row>
    <row r="304" spans="1:14" ht="18" customHeight="1" x14ac:dyDescent="0.45">
      <c r="A304" s="8">
        <v>298</v>
      </c>
      <c r="B304" s="35" t="str">
        <f t="shared" si="128"/>
        <v>東京本部</v>
      </c>
      <c r="C304" s="35" t="str">
        <f t="shared" si="128"/>
        <v>そんぽの家　国立南</v>
      </c>
      <c r="D304" s="9" t="s">
        <v>5</v>
      </c>
      <c r="E304" s="10">
        <v>1</v>
      </c>
      <c r="F304" s="11">
        <v>35</v>
      </c>
      <c r="G304" s="12">
        <v>35</v>
      </c>
      <c r="H304" s="11">
        <v>0</v>
      </c>
      <c r="I304" s="12">
        <v>0</v>
      </c>
      <c r="J304" s="10">
        <v>35</v>
      </c>
      <c r="K304" s="38">
        <f t="shared" si="114"/>
        <v>8</v>
      </c>
      <c r="L304" s="28">
        <v>2</v>
      </c>
      <c r="M304" s="33">
        <f t="shared" si="111"/>
        <v>2</v>
      </c>
      <c r="N304" s="1">
        <v>2313191100</v>
      </c>
    </row>
    <row r="305" spans="1:14" ht="18" customHeight="1" x14ac:dyDescent="0.45">
      <c r="A305" s="8">
        <v>299</v>
      </c>
      <c r="B305" s="35" t="str">
        <f t="shared" si="128"/>
        <v>東京本部</v>
      </c>
      <c r="C305" s="35" t="str">
        <f t="shared" si="128"/>
        <v>そんぽの家　国立南</v>
      </c>
      <c r="D305" s="9" t="s">
        <v>6</v>
      </c>
      <c r="E305" s="10">
        <v>3</v>
      </c>
      <c r="F305" s="11">
        <v>11</v>
      </c>
      <c r="G305" s="12">
        <v>3.7</v>
      </c>
      <c r="H305" s="11">
        <v>0</v>
      </c>
      <c r="I305" s="12">
        <v>0</v>
      </c>
      <c r="J305" s="10">
        <v>11</v>
      </c>
      <c r="K305" s="38">
        <f t="shared" si="114"/>
        <v>8</v>
      </c>
      <c r="L305" s="28">
        <v>2</v>
      </c>
      <c r="M305" s="33">
        <f t="shared" si="111"/>
        <v>2</v>
      </c>
      <c r="N305" s="1">
        <v>2313191100</v>
      </c>
    </row>
    <row r="306" spans="1:14" ht="18" customHeight="1" x14ac:dyDescent="0.45">
      <c r="A306" s="8">
        <v>300</v>
      </c>
      <c r="B306" s="36" t="str">
        <f t="shared" si="128"/>
        <v>東京本部</v>
      </c>
      <c r="C306" s="36" t="str">
        <f t="shared" si="128"/>
        <v>そんぽの家　国立南</v>
      </c>
      <c r="D306" s="9" t="s">
        <v>2</v>
      </c>
      <c r="E306" s="10">
        <v>0</v>
      </c>
      <c r="F306" s="11">
        <v>0</v>
      </c>
      <c r="G306" s="12">
        <v>0</v>
      </c>
      <c r="H306" s="11">
        <v>0</v>
      </c>
      <c r="I306" s="12">
        <v>0</v>
      </c>
      <c r="J306" s="10">
        <v>0</v>
      </c>
      <c r="K306" s="39">
        <f t="shared" si="114"/>
        <v>8</v>
      </c>
      <c r="L306" s="28">
        <v>0</v>
      </c>
      <c r="M306" s="33">
        <f t="shared" si="111"/>
        <v>0</v>
      </c>
      <c r="N306" s="1">
        <v>2313191100</v>
      </c>
    </row>
    <row r="307" spans="1:14" ht="18" customHeight="1" x14ac:dyDescent="0.45">
      <c r="A307" s="13">
        <v>301</v>
      </c>
      <c r="B307" s="40" t="s">
        <v>8</v>
      </c>
      <c r="C307" s="40" t="s">
        <v>40</v>
      </c>
      <c r="D307" s="14" t="s">
        <v>3</v>
      </c>
      <c r="E307" s="15">
        <v>1</v>
      </c>
      <c r="F307" s="16">
        <v>5</v>
      </c>
      <c r="G307" s="17">
        <v>5</v>
      </c>
      <c r="H307" s="16">
        <v>1</v>
      </c>
      <c r="I307" s="17">
        <v>1</v>
      </c>
      <c r="J307" s="15">
        <v>6</v>
      </c>
      <c r="K307" s="43">
        <f t="shared" ref="K307" si="129">SUM(M307:M311)</f>
        <v>4</v>
      </c>
      <c r="L307" s="28">
        <v>1</v>
      </c>
      <c r="M307" s="33">
        <f t="shared" si="111"/>
        <v>1</v>
      </c>
      <c r="N307" s="1">
        <v>2313231100</v>
      </c>
    </row>
    <row r="308" spans="1:14" ht="18" customHeight="1" x14ac:dyDescent="0.45">
      <c r="A308" s="13">
        <v>302</v>
      </c>
      <c r="B308" s="41" t="str">
        <f t="shared" ref="B308:C311" si="130">B307</f>
        <v>東京本部</v>
      </c>
      <c r="C308" s="41" t="str">
        <f t="shared" si="130"/>
        <v>そんぽの家　昭島</v>
      </c>
      <c r="D308" s="14" t="s">
        <v>4</v>
      </c>
      <c r="E308" s="15">
        <v>1</v>
      </c>
      <c r="F308" s="16">
        <v>3</v>
      </c>
      <c r="G308" s="17">
        <v>3</v>
      </c>
      <c r="H308" s="16">
        <v>0</v>
      </c>
      <c r="I308" s="17">
        <v>0</v>
      </c>
      <c r="J308" s="15">
        <v>3</v>
      </c>
      <c r="K308" s="44">
        <f t="shared" si="114"/>
        <v>4</v>
      </c>
      <c r="L308" s="28">
        <v>0</v>
      </c>
      <c r="M308" s="33">
        <f t="shared" si="111"/>
        <v>0</v>
      </c>
      <c r="N308" s="1">
        <v>2313231100</v>
      </c>
    </row>
    <row r="309" spans="1:14" ht="18" customHeight="1" x14ac:dyDescent="0.45">
      <c r="A309" s="13">
        <v>303</v>
      </c>
      <c r="B309" s="41" t="str">
        <f t="shared" si="130"/>
        <v>東京本部</v>
      </c>
      <c r="C309" s="41" t="str">
        <f t="shared" si="130"/>
        <v>そんぽの家　昭島</v>
      </c>
      <c r="D309" s="14" t="s">
        <v>5</v>
      </c>
      <c r="E309" s="15">
        <v>1</v>
      </c>
      <c r="F309" s="16">
        <v>10</v>
      </c>
      <c r="G309" s="17">
        <v>10</v>
      </c>
      <c r="H309" s="16">
        <v>0</v>
      </c>
      <c r="I309" s="17">
        <v>0</v>
      </c>
      <c r="J309" s="15">
        <v>10</v>
      </c>
      <c r="K309" s="44">
        <f t="shared" si="114"/>
        <v>4</v>
      </c>
      <c r="L309" s="28">
        <v>2</v>
      </c>
      <c r="M309" s="33">
        <f t="shared" si="111"/>
        <v>2</v>
      </c>
      <c r="N309" s="1">
        <v>2313231100</v>
      </c>
    </row>
    <row r="310" spans="1:14" ht="18" customHeight="1" x14ac:dyDescent="0.45">
      <c r="A310" s="13">
        <v>304</v>
      </c>
      <c r="B310" s="41" t="str">
        <f t="shared" si="130"/>
        <v>東京本部</v>
      </c>
      <c r="C310" s="41" t="str">
        <f t="shared" si="130"/>
        <v>そんぽの家　昭島</v>
      </c>
      <c r="D310" s="14" t="s">
        <v>6</v>
      </c>
      <c r="E310" s="15">
        <v>3</v>
      </c>
      <c r="F310" s="16">
        <v>0</v>
      </c>
      <c r="G310" s="17">
        <v>0</v>
      </c>
      <c r="H310" s="16">
        <v>0</v>
      </c>
      <c r="I310" s="17">
        <v>0</v>
      </c>
      <c r="J310" s="15">
        <v>0</v>
      </c>
      <c r="K310" s="44">
        <f t="shared" si="114"/>
        <v>4</v>
      </c>
      <c r="L310" s="28">
        <v>0</v>
      </c>
      <c r="M310" s="33">
        <f t="shared" si="111"/>
        <v>0</v>
      </c>
      <c r="N310" s="1">
        <v>2313231100</v>
      </c>
    </row>
    <row r="311" spans="1:14" ht="18" customHeight="1" x14ac:dyDescent="0.45">
      <c r="A311" s="13">
        <v>305</v>
      </c>
      <c r="B311" s="42" t="str">
        <f t="shared" si="130"/>
        <v>東京本部</v>
      </c>
      <c r="C311" s="42" t="str">
        <f t="shared" si="130"/>
        <v>そんぽの家　昭島</v>
      </c>
      <c r="D311" s="14" t="s">
        <v>2</v>
      </c>
      <c r="E311" s="15">
        <v>2</v>
      </c>
      <c r="F311" s="16">
        <v>4</v>
      </c>
      <c r="G311" s="17">
        <v>2</v>
      </c>
      <c r="H311" s="16">
        <v>0</v>
      </c>
      <c r="I311" s="17">
        <v>0</v>
      </c>
      <c r="J311" s="15">
        <v>4</v>
      </c>
      <c r="K311" s="45">
        <f t="shared" si="114"/>
        <v>4</v>
      </c>
      <c r="L311" s="28">
        <v>1</v>
      </c>
      <c r="M311" s="33">
        <f t="shared" si="111"/>
        <v>1</v>
      </c>
      <c r="N311" s="1">
        <v>2313231100</v>
      </c>
    </row>
    <row r="312" spans="1:14" ht="18" customHeight="1" x14ac:dyDescent="0.45">
      <c r="A312" s="8">
        <v>306</v>
      </c>
      <c r="B312" s="34" t="s">
        <v>8</v>
      </c>
      <c r="C312" s="34" t="s">
        <v>41</v>
      </c>
      <c r="D312" s="9" t="s">
        <v>3</v>
      </c>
      <c r="E312" s="10">
        <v>1</v>
      </c>
      <c r="F312" s="11">
        <v>2</v>
      </c>
      <c r="G312" s="12">
        <v>2</v>
      </c>
      <c r="H312" s="11">
        <v>4</v>
      </c>
      <c r="I312" s="12">
        <v>4</v>
      </c>
      <c r="J312" s="10">
        <v>6</v>
      </c>
      <c r="K312" s="37">
        <f t="shared" ref="K312" si="131">SUM(M312:M316)</f>
        <v>2</v>
      </c>
      <c r="L312" s="28">
        <v>1</v>
      </c>
      <c r="M312" s="33">
        <f t="shared" si="111"/>
        <v>1</v>
      </c>
      <c r="N312" s="1">
        <v>2313241100</v>
      </c>
    </row>
    <row r="313" spans="1:14" ht="18" customHeight="1" x14ac:dyDescent="0.45">
      <c r="A313" s="8">
        <v>307</v>
      </c>
      <c r="B313" s="35" t="str">
        <f t="shared" ref="B313:C316" si="132">B312</f>
        <v>東京本部</v>
      </c>
      <c r="C313" s="35" t="str">
        <f t="shared" si="132"/>
        <v>そんぽの家　福生公園</v>
      </c>
      <c r="D313" s="9" t="s">
        <v>4</v>
      </c>
      <c r="E313" s="10">
        <v>1</v>
      </c>
      <c r="F313" s="11">
        <v>0</v>
      </c>
      <c r="G313" s="12">
        <v>0</v>
      </c>
      <c r="H313" s="11">
        <v>0</v>
      </c>
      <c r="I313" s="12">
        <v>0</v>
      </c>
      <c r="J313" s="10">
        <v>0</v>
      </c>
      <c r="K313" s="38">
        <f t="shared" si="114"/>
        <v>2</v>
      </c>
      <c r="L313" s="28">
        <v>0</v>
      </c>
      <c r="M313" s="33">
        <f t="shared" si="111"/>
        <v>0</v>
      </c>
      <c r="N313" s="1">
        <v>2313241100</v>
      </c>
    </row>
    <row r="314" spans="1:14" ht="18" customHeight="1" x14ac:dyDescent="0.45">
      <c r="A314" s="8">
        <v>308</v>
      </c>
      <c r="B314" s="35" t="str">
        <f t="shared" si="132"/>
        <v>東京本部</v>
      </c>
      <c r="C314" s="35" t="str">
        <f t="shared" si="132"/>
        <v>そんぽの家　福生公園</v>
      </c>
      <c r="D314" s="9" t="s">
        <v>5</v>
      </c>
      <c r="E314" s="10">
        <v>1</v>
      </c>
      <c r="F314" s="11">
        <v>0</v>
      </c>
      <c r="G314" s="12">
        <v>0</v>
      </c>
      <c r="H314" s="11">
        <v>0</v>
      </c>
      <c r="I314" s="12">
        <v>0</v>
      </c>
      <c r="J314" s="10">
        <v>0</v>
      </c>
      <c r="K314" s="38">
        <f t="shared" si="114"/>
        <v>2</v>
      </c>
      <c r="L314" s="28">
        <v>0</v>
      </c>
      <c r="M314" s="33">
        <f t="shared" si="111"/>
        <v>0</v>
      </c>
      <c r="N314" s="1">
        <v>2313241100</v>
      </c>
    </row>
    <row r="315" spans="1:14" ht="18" customHeight="1" x14ac:dyDescent="0.45">
      <c r="A315" s="8">
        <v>309</v>
      </c>
      <c r="B315" s="35" t="str">
        <f t="shared" si="132"/>
        <v>東京本部</v>
      </c>
      <c r="C315" s="35" t="str">
        <f t="shared" si="132"/>
        <v>そんぽの家　福生公園</v>
      </c>
      <c r="D315" s="9" t="s">
        <v>6</v>
      </c>
      <c r="E315" s="10">
        <v>3</v>
      </c>
      <c r="F315" s="11">
        <v>4</v>
      </c>
      <c r="G315" s="12">
        <v>1.3</v>
      </c>
      <c r="H315" s="11">
        <v>0</v>
      </c>
      <c r="I315" s="12">
        <v>0</v>
      </c>
      <c r="J315" s="10">
        <v>4</v>
      </c>
      <c r="K315" s="38">
        <f t="shared" si="114"/>
        <v>2</v>
      </c>
      <c r="L315" s="28">
        <v>1</v>
      </c>
      <c r="M315" s="33">
        <f t="shared" si="111"/>
        <v>1</v>
      </c>
      <c r="N315" s="1">
        <v>2313241100</v>
      </c>
    </row>
    <row r="316" spans="1:14" ht="18" customHeight="1" x14ac:dyDescent="0.45">
      <c r="A316" s="8">
        <v>310</v>
      </c>
      <c r="B316" s="36" t="str">
        <f t="shared" si="132"/>
        <v>東京本部</v>
      </c>
      <c r="C316" s="36" t="str">
        <f t="shared" si="132"/>
        <v>そんぽの家　福生公園</v>
      </c>
      <c r="D316" s="9" t="s">
        <v>2</v>
      </c>
      <c r="E316" s="10">
        <v>1</v>
      </c>
      <c r="F316" s="11">
        <v>0</v>
      </c>
      <c r="G316" s="12">
        <v>0</v>
      </c>
      <c r="H316" s="11">
        <v>0</v>
      </c>
      <c r="I316" s="12">
        <v>0</v>
      </c>
      <c r="J316" s="10">
        <v>0</v>
      </c>
      <c r="K316" s="39">
        <f t="shared" si="114"/>
        <v>2</v>
      </c>
      <c r="L316" s="28">
        <v>0</v>
      </c>
      <c r="M316" s="33">
        <f t="shared" si="111"/>
        <v>0</v>
      </c>
      <c r="N316" s="1">
        <v>2313241100</v>
      </c>
    </row>
    <row r="317" spans="1:14" ht="18" customHeight="1" x14ac:dyDescent="0.45">
      <c r="A317" s="13">
        <v>311</v>
      </c>
      <c r="B317" s="40" t="s">
        <v>8</v>
      </c>
      <c r="C317" s="40" t="s">
        <v>218</v>
      </c>
      <c r="D317" s="14" t="s">
        <v>3</v>
      </c>
      <c r="E317" s="15">
        <v>1</v>
      </c>
      <c r="F317" s="16">
        <v>5</v>
      </c>
      <c r="G317" s="17">
        <v>5</v>
      </c>
      <c r="H317" s="16">
        <v>5</v>
      </c>
      <c r="I317" s="17">
        <v>5</v>
      </c>
      <c r="J317" s="15">
        <v>10</v>
      </c>
      <c r="K317" s="43">
        <f t="shared" ref="K317" si="133">SUM(M317:M321)</f>
        <v>6</v>
      </c>
      <c r="L317" s="28">
        <v>2</v>
      </c>
      <c r="M317" s="33">
        <f t="shared" si="111"/>
        <v>2</v>
      </c>
      <c r="N317" s="1">
        <v>2313251100</v>
      </c>
    </row>
    <row r="318" spans="1:14" ht="18" customHeight="1" x14ac:dyDescent="0.45">
      <c r="A318" s="13">
        <v>312</v>
      </c>
      <c r="B318" s="41" t="str">
        <f t="shared" ref="B318:C321" si="134">B317</f>
        <v>東京本部</v>
      </c>
      <c r="C318" s="41" t="str">
        <f t="shared" si="134"/>
        <v>ラヴィーレ東大和</v>
      </c>
      <c r="D318" s="14" t="s">
        <v>4</v>
      </c>
      <c r="E318" s="15">
        <v>1</v>
      </c>
      <c r="F318" s="16">
        <v>17</v>
      </c>
      <c r="G318" s="17">
        <v>17</v>
      </c>
      <c r="H318" s="16">
        <v>15</v>
      </c>
      <c r="I318" s="17">
        <v>15</v>
      </c>
      <c r="J318" s="15">
        <v>32</v>
      </c>
      <c r="K318" s="44">
        <f t="shared" si="114"/>
        <v>6</v>
      </c>
      <c r="L318" s="28">
        <v>2</v>
      </c>
      <c r="M318" s="33">
        <f t="shared" si="111"/>
        <v>2</v>
      </c>
      <c r="N318" s="1">
        <v>2313251100</v>
      </c>
    </row>
    <row r="319" spans="1:14" ht="18" customHeight="1" x14ac:dyDescent="0.45">
      <c r="A319" s="13">
        <v>313</v>
      </c>
      <c r="B319" s="41" t="str">
        <f t="shared" si="134"/>
        <v>東京本部</v>
      </c>
      <c r="C319" s="41" t="str">
        <f t="shared" si="134"/>
        <v>ラヴィーレ東大和</v>
      </c>
      <c r="D319" s="14" t="s">
        <v>5</v>
      </c>
      <c r="E319" s="15">
        <v>2</v>
      </c>
      <c r="F319" s="16">
        <v>14</v>
      </c>
      <c r="G319" s="17">
        <v>7</v>
      </c>
      <c r="H319" s="16">
        <v>0</v>
      </c>
      <c r="I319" s="17">
        <v>0</v>
      </c>
      <c r="J319" s="15">
        <v>14</v>
      </c>
      <c r="K319" s="44">
        <f t="shared" si="114"/>
        <v>6</v>
      </c>
      <c r="L319" s="28">
        <v>2</v>
      </c>
      <c r="M319" s="33">
        <f t="shared" si="111"/>
        <v>2</v>
      </c>
      <c r="N319" s="1">
        <v>2313251100</v>
      </c>
    </row>
    <row r="320" spans="1:14" ht="18" customHeight="1" x14ac:dyDescent="0.45">
      <c r="A320" s="13">
        <v>314</v>
      </c>
      <c r="B320" s="41" t="str">
        <f t="shared" si="134"/>
        <v>東京本部</v>
      </c>
      <c r="C320" s="41" t="str">
        <f t="shared" si="134"/>
        <v>ラヴィーレ東大和</v>
      </c>
      <c r="D320" s="14" t="s">
        <v>6</v>
      </c>
      <c r="E320" s="15">
        <v>4</v>
      </c>
      <c r="F320" s="16">
        <v>1</v>
      </c>
      <c r="G320" s="17">
        <v>0.3</v>
      </c>
      <c r="H320" s="16">
        <v>0</v>
      </c>
      <c r="I320" s="17">
        <v>0</v>
      </c>
      <c r="J320" s="15">
        <v>1</v>
      </c>
      <c r="K320" s="44">
        <f t="shared" si="114"/>
        <v>6</v>
      </c>
      <c r="L320" s="28">
        <v>0</v>
      </c>
      <c r="M320" s="33">
        <f t="shared" si="111"/>
        <v>0</v>
      </c>
      <c r="N320" s="1">
        <v>2313251100</v>
      </c>
    </row>
    <row r="321" spans="1:14" ht="18" customHeight="1" x14ac:dyDescent="0.45">
      <c r="A321" s="13">
        <v>315</v>
      </c>
      <c r="B321" s="42" t="str">
        <f t="shared" si="134"/>
        <v>東京本部</v>
      </c>
      <c r="C321" s="42" t="str">
        <f t="shared" si="134"/>
        <v>ラヴィーレ東大和</v>
      </c>
      <c r="D321" s="14" t="s">
        <v>2</v>
      </c>
      <c r="E321" s="15">
        <v>2</v>
      </c>
      <c r="F321" s="16">
        <v>2</v>
      </c>
      <c r="G321" s="17">
        <v>1</v>
      </c>
      <c r="H321" s="16">
        <v>0</v>
      </c>
      <c r="I321" s="17">
        <v>0</v>
      </c>
      <c r="J321" s="15">
        <v>2</v>
      </c>
      <c r="K321" s="45">
        <f t="shared" si="114"/>
        <v>6</v>
      </c>
      <c r="L321" s="28">
        <v>0</v>
      </c>
      <c r="M321" s="33">
        <f t="shared" si="111"/>
        <v>0</v>
      </c>
      <c r="N321" s="1">
        <v>2313251100</v>
      </c>
    </row>
    <row r="322" spans="1:14" ht="18" customHeight="1" x14ac:dyDescent="0.45">
      <c r="A322" s="8">
        <v>316</v>
      </c>
      <c r="B322" s="34" t="s">
        <v>8</v>
      </c>
      <c r="C322" s="34" t="s">
        <v>42</v>
      </c>
      <c r="D322" s="9" t="s">
        <v>3</v>
      </c>
      <c r="E322" s="10">
        <v>1</v>
      </c>
      <c r="F322" s="11">
        <v>0</v>
      </c>
      <c r="G322" s="12">
        <v>0</v>
      </c>
      <c r="H322" s="11">
        <v>0</v>
      </c>
      <c r="I322" s="12">
        <v>0</v>
      </c>
      <c r="J322" s="10">
        <v>0</v>
      </c>
      <c r="K322" s="37">
        <f t="shared" ref="K322" si="135">SUM(M322:M326)</f>
        <v>4</v>
      </c>
      <c r="L322" s="28">
        <v>0</v>
      </c>
      <c r="M322" s="33">
        <f t="shared" si="111"/>
        <v>0</v>
      </c>
      <c r="N322" s="1">
        <v>2313261100</v>
      </c>
    </row>
    <row r="323" spans="1:14" ht="18" customHeight="1" x14ac:dyDescent="0.45">
      <c r="A323" s="8">
        <v>317</v>
      </c>
      <c r="B323" s="35" t="str">
        <f t="shared" ref="B323:C326" si="136">B322</f>
        <v>東京本部</v>
      </c>
      <c r="C323" s="35" t="str">
        <f t="shared" si="136"/>
        <v>そんぽの家　上北台</v>
      </c>
      <c r="D323" s="9" t="s">
        <v>4</v>
      </c>
      <c r="E323" s="10">
        <v>1</v>
      </c>
      <c r="F323" s="11">
        <v>18</v>
      </c>
      <c r="G323" s="12">
        <v>18</v>
      </c>
      <c r="H323" s="11">
        <v>13</v>
      </c>
      <c r="I323" s="12">
        <v>13</v>
      </c>
      <c r="J323" s="10">
        <v>31</v>
      </c>
      <c r="K323" s="38">
        <f t="shared" si="114"/>
        <v>4</v>
      </c>
      <c r="L323" s="28">
        <v>2</v>
      </c>
      <c r="M323" s="33">
        <f t="shared" si="111"/>
        <v>2</v>
      </c>
      <c r="N323" s="1">
        <v>2313261100</v>
      </c>
    </row>
    <row r="324" spans="1:14" ht="18" customHeight="1" x14ac:dyDescent="0.45">
      <c r="A324" s="8">
        <v>318</v>
      </c>
      <c r="B324" s="35" t="str">
        <f t="shared" si="136"/>
        <v>東京本部</v>
      </c>
      <c r="C324" s="35" t="str">
        <f t="shared" si="136"/>
        <v>そんぽの家　上北台</v>
      </c>
      <c r="D324" s="9" t="s">
        <v>5</v>
      </c>
      <c r="E324" s="10">
        <v>1</v>
      </c>
      <c r="F324" s="11">
        <v>0</v>
      </c>
      <c r="G324" s="12">
        <v>0</v>
      </c>
      <c r="H324" s="11">
        <v>0</v>
      </c>
      <c r="I324" s="12">
        <v>0</v>
      </c>
      <c r="J324" s="10">
        <v>0</v>
      </c>
      <c r="K324" s="38">
        <f t="shared" si="114"/>
        <v>4</v>
      </c>
      <c r="L324" s="28">
        <v>0</v>
      </c>
      <c r="M324" s="33">
        <f t="shared" si="111"/>
        <v>0</v>
      </c>
      <c r="N324" s="1">
        <v>2313261100</v>
      </c>
    </row>
    <row r="325" spans="1:14" ht="18" customHeight="1" x14ac:dyDescent="0.45">
      <c r="A325" s="8">
        <v>319</v>
      </c>
      <c r="B325" s="35" t="str">
        <f t="shared" si="136"/>
        <v>東京本部</v>
      </c>
      <c r="C325" s="35" t="str">
        <f t="shared" si="136"/>
        <v>そんぽの家　上北台</v>
      </c>
      <c r="D325" s="9" t="s">
        <v>6</v>
      </c>
      <c r="E325" s="10">
        <v>4</v>
      </c>
      <c r="F325" s="11">
        <v>8</v>
      </c>
      <c r="G325" s="12">
        <v>2</v>
      </c>
      <c r="H325" s="11">
        <v>0</v>
      </c>
      <c r="I325" s="12">
        <v>0</v>
      </c>
      <c r="J325" s="10">
        <v>8</v>
      </c>
      <c r="K325" s="38">
        <f t="shared" si="114"/>
        <v>4</v>
      </c>
      <c r="L325" s="28">
        <v>2</v>
      </c>
      <c r="M325" s="33">
        <f t="shared" si="111"/>
        <v>2</v>
      </c>
      <c r="N325" s="1">
        <v>2313261100</v>
      </c>
    </row>
    <row r="326" spans="1:14" ht="18" customHeight="1" x14ac:dyDescent="0.45">
      <c r="A326" s="8">
        <v>320</v>
      </c>
      <c r="B326" s="36" t="str">
        <f t="shared" si="136"/>
        <v>東京本部</v>
      </c>
      <c r="C326" s="36" t="str">
        <f t="shared" si="136"/>
        <v>そんぽの家　上北台</v>
      </c>
      <c r="D326" s="9" t="s">
        <v>2</v>
      </c>
      <c r="E326" s="10">
        <v>2</v>
      </c>
      <c r="F326" s="11">
        <v>3</v>
      </c>
      <c r="G326" s="12">
        <v>1.5</v>
      </c>
      <c r="H326" s="11">
        <v>0</v>
      </c>
      <c r="I326" s="12">
        <v>0</v>
      </c>
      <c r="J326" s="10">
        <v>3</v>
      </c>
      <c r="K326" s="39">
        <f t="shared" si="114"/>
        <v>4</v>
      </c>
      <c r="L326" s="28">
        <v>0</v>
      </c>
      <c r="M326" s="33">
        <f t="shared" si="111"/>
        <v>0</v>
      </c>
      <c r="N326" s="1">
        <v>2313261100</v>
      </c>
    </row>
    <row r="327" spans="1:14" ht="18" customHeight="1" x14ac:dyDescent="0.45">
      <c r="A327" s="13">
        <v>321</v>
      </c>
      <c r="B327" s="40" t="s">
        <v>8</v>
      </c>
      <c r="C327" s="40" t="s">
        <v>43</v>
      </c>
      <c r="D327" s="14" t="s">
        <v>3</v>
      </c>
      <c r="E327" s="15">
        <v>1</v>
      </c>
      <c r="F327" s="16">
        <v>14</v>
      </c>
      <c r="G327" s="17">
        <v>14</v>
      </c>
      <c r="H327" s="16">
        <v>7</v>
      </c>
      <c r="I327" s="17">
        <v>7</v>
      </c>
      <c r="J327" s="15">
        <v>21</v>
      </c>
      <c r="K327" s="43">
        <f t="shared" ref="K327" si="137">SUM(M327:M331)</f>
        <v>8</v>
      </c>
      <c r="L327" s="28">
        <v>2</v>
      </c>
      <c r="M327" s="33">
        <f t="shared" si="111"/>
        <v>2</v>
      </c>
      <c r="N327" s="1">
        <v>2313271100</v>
      </c>
    </row>
    <row r="328" spans="1:14" ht="18" customHeight="1" x14ac:dyDescent="0.45">
      <c r="A328" s="13">
        <v>322</v>
      </c>
      <c r="B328" s="41" t="str">
        <f t="shared" ref="B328:C331" si="138">B327</f>
        <v>東京本部</v>
      </c>
      <c r="C328" s="41" t="str">
        <f t="shared" si="138"/>
        <v>そんぽの家　武蔵村山</v>
      </c>
      <c r="D328" s="14" t="s">
        <v>4</v>
      </c>
      <c r="E328" s="15">
        <v>1</v>
      </c>
      <c r="F328" s="16">
        <v>4</v>
      </c>
      <c r="G328" s="17">
        <v>4</v>
      </c>
      <c r="H328" s="16">
        <v>4</v>
      </c>
      <c r="I328" s="17">
        <v>4</v>
      </c>
      <c r="J328" s="15">
        <v>8</v>
      </c>
      <c r="K328" s="44">
        <f t="shared" si="114"/>
        <v>8</v>
      </c>
      <c r="L328" s="28">
        <v>2</v>
      </c>
      <c r="M328" s="33">
        <f t="shared" ref="M328:M391" si="139">L328</f>
        <v>2</v>
      </c>
      <c r="N328" s="1">
        <v>2313271100</v>
      </c>
    </row>
    <row r="329" spans="1:14" ht="18" customHeight="1" x14ac:dyDescent="0.45">
      <c r="A329" s="13">
        <v>323</v>
      </c>
      <c r="B329" s="41" t="str">
        <f t="shared" si="138"/>
        <v>東京本部</v>
      </c>
      <c r="C329" s="41" t="str">
        <f t="shared" si="138"/>
        <v>そんぽの家　武蔵村山</v>
      </c>
      <c r="D329" s="14" t="s">
        <v>5</v>
      </c>
      <c r="E329" s="15">
        <v>1</v>
      </c>
      <c r="F329" s="16">
        <v>8</v>
      </c>
      <c r="G329" s="17">
        <v>8</v>
      </c>
      <c r="H329" s="16">
        <v>0</v>
      </c>
      <c r="I329" s="17">
        <v>0</v>
      </c>
      <c r="J329" s="15">
        <v>8</v>
      </c>
      <c r="K329" s="44">
        <f t="shared" si="114"/>
        <v>8</v>
      </c>
      <c r="L329" s="28">
        <v>2</v>
      </c>
      <c r="M329" s="33">
        <f t="shared" si="139"/>
        <v>2</v>
      </c>
      <c r="N329" s="1">
        <v>2313271100</v>
      </c>
    </row>
    <row r="330" spans="1:14" ht="18" customHeight="1" x14ac:dyDescent="0.45">
      <c r="A330" s="13">
        <v>324</v>
      </c>
      <c r="B330" s="41" t="str">
        <f t="shared" si="138"/>
        <v>東京本部</v>
      </c>
      <c r="C330" s="41" t="str">
        <f t="shared" si="138"/>
        <v>そんぽの家　武蔵村山</v>
      </c>
      <c r="D330" s="14" t="s">
        <v>6</v>
      </c>
      <c r="E330" s="15">
        <v>3</v>
      </c>
      <c r="F330" s="16">
        <v>3</v>
      </c>
      <c r="G330" s="17">
        <v>1</v>
      </c>
      <c r="H330" s="16">
        <v>0</v>
      </c>
      <c r="I330" s="17">
        <v>0</v>
      </c>
      <c r="J330" s="15">
        <v>3</v>
      </c>
      <c r="K330" s="44">
        <f t="shared" si="114"/>
        <v>8</v>
      </c>
      <c r="L330" s="28">
        <v>0</v>
      </c>
      <c r="M330" s="33">
        <f t="shared" si="139"/>
        <v>0</v>
      </c>
      <c r="N330" s="1">
        <v>2313271100</v>
      </c>
    </row>
    <row r="331" spans="1:14" ht="18" customHeight="1" x14ac:dyDescent="0.45">
      <c r="A331" s="13">
        <v>325</v>
      </c>
      <c r="B331" s="42" t="str">
        <f t="shared" si="138"/>
        <v>東京本部</v>
      </c>
      <c r="C331" s="42" t="str">
        <f t="shared" si="138"/>
        <v>そんぽの家　武蔵村山</v>
      </c>
      <c r="D331" s="14" t="s">
        <v>2</v>
      </c>
      <c r="E331" s="15">
        <v>2</v>
      </c>
      <c r="F331" s="16">
        <v>18</v>
      </c>
      <c r="G331" s="17">
        <v>9</v>
      </c>
      <c r="H331" s="16">
        <v>0</v>
      </c>
      <c r="I331" s="17">
        <v>0</v>
      </c>
      <c r="J331" s="15">
        <v>18</v>
      </c>
      <c r="K331" s="45">
        <f t="shared" si="114"/>
        <v>8</v>
      </c>
      <c r="L331" s="28">
        <v>2</v>
      </c>
      <c r="M331" s="33">
        <f t="shared" si="139"/>
        <v>2</v>
      </c>
      <c r="N331" s="1">
        <v>2313271100</v>
      </c>
    </row>
    <row r="332" spans="1:14" ht="18" customHeight="1" x14ac:dyDescent="0.45">
      <c r="A332" s="8">
        <v>326</v>
      </c>
      <c r="B332" s="34" t="s">
        <v>8</v>
      </c>
      <c r="C332" s="34" t="s">
        <v>44</v>
      </c>
      <c r="D332" s="9" t="s">
        <v>3</v>
      </c>
      <c r="E332" s="10">
        <v>1</v>
      </c>
      <c r="F332" s="11">
        <v>9</v>
      </c>
      <c r="G332" s="12">
        <v>9</v>
      </c>
      <c r="H332" s="11">
        <v>8</v>
      </c>
      <c r="I332" s="12">
        <v>8</v>
      </c>
      <c r="J332" s="10">
        <v>17</v>
      </c>
      <c r="K332" s="37">
        <f t="shared" ref="K332" si="140">SUM(M332:M336)</f>
        <v>6</v>
      </c>
      <c r="L332" s="28">
        <v>2</v>
      </c>
      <c r="M332" s="33">
        <f t="shared" si="139"/>
        <v>2</v>
      </c>
      <c r="N332" s="1">
        <v>2313281100</v>
      </c>
    </row>
    <row r="333" spans="1:14" ht="18" customHeight="1" x14ac:dyDescent="0.45">
      <c r="A333" s="8">
        <v>327</v>
      </c>
      <c r="B333" s="35" t="str">
        <f t="shared" ref="B333:C336" si="141">B332</f>
        <v>東京本部</v>
      </c>
      <c r="C333" s="35" t="str">
        <f t="shared" si="141"/>
        <v>そんぽの家　八王子小宮</v>
      </c>
      <c r="D333" s="9" t="s">
        <v>4</v>
      </c>
      <c r="E333" s="10">
        <v>1</v>
      </c>
      <c r="F333" s="11">
        <v>3</v>
      </c>
      <c r="G333" s="12">
        <v>3</v>
      </c>
      <c r="H333" s="11">
        <v>0</v>
      </c>
      <c r="I333" s="12">
        <v>0</v>
      </c>
      <c r="J333" s="10">
        <v>3</v>
      </c>
      <c r="K333" s="38">
        <f t="shared" ref="K333:K396" si="142">K332</f>
        <v>6</v>
      </c>
      <c r="L333" s="28">
        <v>0</v>
      </c>
      <c r="M333" s="33">
        <f t="shared" si="139"/>
        <v>0</v>
      </c>
      <c r="N333" s="1">
        <v>2313281100</v>
      </c>
    </row>
    <row r="334" spans="1:14" ht="18" customHeight="1" x14ac:dyDescent="0.45">
      <c r="A334" s="8">
        <v>328</v>
      </c>
      <c r="B334" s="35" t="str">
        <f t="shared" si="141"/>
        <v>東京本部</v>
      </c>
      <c r="C334" s="35" t="str">
        <f t="shared" si="141"/>
        <v>そんぽの家　八王子小宮</v>
      </c>
      <c r="D334" s="9" t="s">
        <v>5</v>
      </c>
      <c r="E334" s="10">
        <v>1</v>
      </c>
      <c r="F334" s="11">
        <v>29</v>
      </c>
      <c r="G334" s="12">
        <v>29</v>
      </c>
      <c r="H334" s="11">
        <v>0</v>
      </c>
      <c r="I334" s="12">
        <v>0</v>
      </c>
      <c r="J334" s="10">
        <v>29</v>
      </c>
      <c r="K334" s="38">
        <f t="shared" si="142"/>
        <v>6</v>
      </c>
      <c r="L334" s="28">
        <v>2</v>
      </c>
      <c r="M334" s="33">
        <f t="shared" si="139"/>
        <v>2</v>
      </c>
      <c r="N334" s="1">
        <v>2313281100</v>
      </c>
    </row>
    <row r="335" spans="1:14" ht="18" customHeight="1" x14ac:dyDescent="0.45">
      <c r="A335" s="8">
        <v>329</v>
      </c>
      <c r="B335" s="35" t="str">
        <f t="shared" si="141"/>
        <v>東京本部</v>
      </c>
      <c r="C335" s="35" t="str">
        <f t="shared" si="141"/>
        <v>そんぽの家　八王子小宮</v>
      </c>
      <c r="D335" s="9" t="s">
        <v>6</v>
      </c>
      <c r="E335" s="10">
        <v>3</v>
      </c>
      <c r="F335" s="11">
        <v>11</v>
      </c>
      <c r="G335" s="12">
        <v>3.7</v>
      </c>
      <c r="H335" s="11">
        <v>0</v>
      </c>
      <c r="I335" s="12">
        <v>0</v>
      </c>
      <c r="J335" s="10">
        <v>11</v>
      </c>
      <c r="K335" s="38">
        <f t="shared" si="142"/>
        <v>6</v>
      </c>
      <c r="L335" s="28">
        <v>2</v>
      </c>
      <c r="M335" s="33">
        <f t="shared" si="139"/>
        <v>2</v>
      </c>
      <c r="N335" s="1">
        <v>2313281100</v>
      </c>
    </row>
    <row r="336" spans="1:14" ht="18" customHeight="1" x14ac:dyDescent="0.45">
      <c r="A336" s="8">
        <v>330</v>
      </c>
      <c r="B336" s="36" t="str">
        <f t="shared" si="141"/>
        <v>東京本部</v>
      </c>
      <c r="C336" s="36" t="str">
        <f t="shared" si="141"/>
        <v>そんぽの家　八王子小宮</v>
      </c>
      <c r="D336" s="9" t="s">
        <v>2</v>
      </c>
      <c r="E336" s="10">
        <v>1</v>
      </c>
      <c r="F336" s="11">
        <v>1</v>
      </c>
      <c r="G336" s="12">
        <v>1</v>
      </c>
      <c r="H336" s="11">
        <v>0</v>
      </c>
      <c r="I336" s="12">
        <v>0</v>
      </c>
      <c r="J336" s="10">
        <v>1</v>
      </c>
      <c r="K336" s="39">
        <f t="shared" si="142"/>
        <v>6</v>
      </c>
      <c r="L336" s="28">
        <v>0</v>
      </c>
      <c r="M336" s="33">
        <f t="shared" si="139"/>
        <v>0</v>
      </c>
      <c r="N336" s="1">
        <v>2313281100</v>
      </c>
    </row>
    <row r="337" spans="1:14" ht="18" customHeight="1" x14ac:dyDescent="0.45">
      <c r="A337" s="13">
        <v>331</v>
      </c>
      <c r="B337" s="40" t="s">
        <v>8</v>
      </c>
      <c r="C337" s="40" t="s">
        <v>45</v>
      </c>
      <c r="D337" s="14" t="s">
        <v>3</v>
      </c>
      <c r="E337" s="15">
        <v>1</v>
      </c>
      <c r="F337" s="16">
        <v>23</v>
      </c>
      <c r="G337" s="17">
        <v>23</v>
      </c>
      <c r="H337" s="16">
        <v>22</v>
      </c>
      <c r="I337" s="17">
        <v>22</v>
      </c>
      <c r="J337" s="15">
        <v>45</v>
      </c>
      <c r="K337" s="43">
        <f t="shared" ref="K337" si="143">SUM(M337:M341)</f>
        <v>8</v>
      </c>
      <c r="L337" s="28">
        <v>2</v>
      </c>
      <c r="M337" s="33">
        <f t="shared" si="139"/>
        <v>2</v>
      </c>
      <c r="N337" s="1">
        <v>2313291100</v>
      </c>
    </row>
    <row r="338" spans="1:14" ht="18" customHeight="1" x14ac:dyDescent="0.45">
      <c r="A338" s="13">
        <v>332</v>
      </c>
      <c r="B338" s="41" t="str">
        <f t="shared" ref="B338:C341" si="144">B337</f>
        <v>東京本部</v>
      </c>
      <c r="C338" s="41" t="str">
        <f t="shared" si="144"/>
        <v>そんぽの家　八王子元本郷</v>
      </c>
      <c r="D338" s="14" t="s">
        <v>4</v>
      </c>
      <c r="E338" s="15">
        <v>1</v>
      </c>
      <c r="F338" s="16">
        <v>22</v>
      </c>
      <c r="G338" s="17">
        <v>22</v>
      </c>
      <c r="H338" s="16">
        <v>2</v>
      </c>
      <c r="I338" s="17">
        <v>2</v>
      </c>
      <c r="J338" s="15">
        <v>24</v>
      </c>
      <c r="K338" s="44">
        <f t="shared" si="142"/>
        <v>8</v>
      </c>
      <c r="L338" s="28">
        <v>2</v>
      </c>
      <c r="M338" s="33">
        <f t="shared" si="139"/>
        <v>2</v>
      </c>
      <c r="N338" s="1">
        <v>2313291100</v>
      </c>
    </row>
    <row r="339" spans="1:14" ht="18" customHeight="1" x14ac:dyDescent="0.45">
      <c r="A339" s="13">
        <v>333</v>
      </c>
      <c r="B339" s="41" t="str">
        <f t="shared" si="144"/>
        <v>東京本部</v>
      </c>
      <c r="C339" s="41" t="str">
        <f t="shared" si="144"/>
        <v>そんぽの家　八王子元本郷</v>
      </c>
      <c r="D339" s="14" t="s">
        <v>5</v>
      </c>
      <c r="E339" s="15">
        <v>2</v>
      </c>
      <c r="F339" s="16">
        <v>36</v>
      </c>
      <c r="G339" s="17">
        <v>18</v>
      </c>
      <c r="H339" s="16">
        <v>0</v>
      </c>
      <c r="I339" s="17">
        <v>0</v>
      </c>
      <c r="J339" s="15">
        <v>36</v>
      </c>
      <c r="K339" s="44">
        <f t="shared" si="142"/>
        <v>8</v>
      </c>
      <c r="L339" s="28">
        <v>2</v>
      </c>
      <c r="M339" s="33">
        <f t="shared" si="139"/>
        <v>2</v>
      </c>
      <c r="N339" s="1">
        <v>2313291100</v>
      </c>
    </row>
    <row r="340" spans="1:14" ht="18" customHeight="1" x14ac:dyDescent="0.45">
      <c r="A340" s="13">
        <v>334</v>
      </c>
      <c r="B340" s="41" t="str">
        <f t="shared" si="144"/>
        <v>東京本部</v>
      </c>
      <c r="C340" s="41" t="str">
        <f t="shared" si="144"/>
        <v>そんぽの家　八王子元本郷</v>
      </c>
      <c r="D340" s="14" t="s">
        <v>6</v>
      </c>
      <c r="E340" s="15">
        <v>4</v>
      </c>
      <c r="F340" s="16">
        <v>0</v>
      </c>
      <c r="G340" s="17">
        <v>0</v>
      </c>
      <c r="H340" s="16">
        <v>0</v>
      </c>
      <c r="I340" s="17">
        <v>0</v>
      </c>
      <c r="J340" s="15">
        <v>0</v>
      </c>
      <c r="K340" s="44">
        <f t="shared" si="142"/>
        <v>8</v>
      </c>
      <c r="L340" s="28">
        <v>0</v>
      </c>
      <c r="M340" s="33">
        <f t="shared" si="139"/>
        <v>0</v>
      </c>
      <c r="N340" s="1">
        <v>2313291100</v>
      </c>
    </row>
    <row r="341" spans="1:14" ht="18" customHeight="1" x14ac:dyDescent="0.45">
      <c r="A341" s="13">
        <v>335</v>
      </c>
      <c r="B341" s="42" t="str">
        <f t="shared" si="144"/>
        <v>東京本部</v>
      </c>
      <c r="C341" s="42" t="str">
        <f t="shared" si="144"/>
        <v>そんぽの家　八王子元本郷</v>
      </c>
      <c r="D341" s="14" t="s">
        <v>2</v>
      </c>
      <c r="E341" s="15">
        <v>2</v>
      </c>
      <c r="F341" s="16">
        <v>38</v>
      </c>
      <c r="G341" s="17">
        <v>19</v>
      </c>
      <c r="H341" s="16">
        <v>0</v>
      </c>
      <c r="I341" s="17">
        <v>0</v>
      </c>
      <c r="J341" s="15">
        <v>38</v>
      </c>
      <c r="K341" s="45">
        <f t="shared" si="142"/>
        <v>8</v>
      </c>
      <c r="L341" s="28">
        <v>2</v>
      </c>
      <c r="M341" s="33">
        <f t="shared" si="139"/>
        <v>2</v>
      </c>
      <c r="N341" s="1">
        <v>2313291100</v>
      </c>
    </row>
    <row r="342" spans="1:14" ht="18" customHeight="1" x14ac:dyDescent="0.45">
      <c r="A342" s="8">
        <v>336</v>
      </c>
      <c r="B342" s="34" t="s">
        <v>8</v>
      </c>
      <c r="C342" s="34" t="s">
        <v>46</v>
      </c>
      <c r="D342" s="9" t="s">
        <v>3</v>
      </c>
      <c r="E342" s="10">
        <v>1</v>
      </c>
      <c r="F342" s="11">
        <v>12</v>
      </c>
      <c r="G342" s="12">
        <v>12</v>
      </c>
      <c r="H342" s="11">
        <v>11</v>
      </c>
      <c r="I342" s="12">
        <v>11</v>
      </c>
      <c r="J342" s="10">
        <v>23</v>
      </c>
      <c r="K342" s="37">
        <f t="shared" ref="K342" si="145">SUM(M342:M346)</f>
        <v>6</v>
      </c>
      <c r="L342" s="28">
        <v>2</v>
      </c>
      <c r="M342" s="33">
        <f t="shared" si="139"/>
        <v>2</v>
      </c>
      <c r="N342" s="1">
        <v>2313321200</v>
      </c>
    </row>
    <row r="343" spans="1:14" ht="18" customHeight="1" x14ac:dyDescent="0.45">
      <c r="A343" s="8">
        <v>337</v>
      </c>
      <c r="B343" s="35" t="str">
        <f t="shared" ref="B343:C346" si="146">B342</f>
        <v>東京本部</v>
      </c>
      <c r="C343" s="35" t="str">
        <f t="shared" si="146"/>
        <v>そんぽの家　羽村</v>
      </c>
      <c r="D343" s="9" t="s">
        <v>4</v>
      </c>
      <c r="E343" s="10">
        <v>2</v>
      </c>
      <c r="F343" s="11">
        <v>17</v>
      </c>
      <c r="G343" s="12">
        <v>8.5</v>
      </c>
      <c r="H343" s="11">
        <v>5</v>
      </c>
      <c r="I343" s="12">
        <v>2.5</v>
      </c>
      <c r="J343" s="10">
        <v>22</v>
      </c>
      <c r="K343" s="38">
        <f t="shared" si="142"/>
        <v>6</v>
      </c>
      <c r="L343" s="28">
        <v>2</v>
      </c>
      <c r="M343" s="33">
        <f t="shared" si="139"/>
        <v>2</v>
      </c>
      <c r="N343" s="1">
        <v>2313321200</v>
      </c>
    </row>
    <row r="344" spans="1:14" ht="18" customHeight="1" x14ac:dyDescent="0.45">
      <c r="A344" s="8">
        <v>338</v>
      </c>
      <c r="B344" s="35" t="str">
        <f t="shared" si="146"/>
        <v>東京本部</v>
      </c>
      <c r="C344" s="35" t="str">
        <f t="shared" si="146"/>
        <v>そんぽの家　羽村</v>
      </c>
      <c r="D344" s="9" t="s">
        <v>5</v>
      </c>
      <c r="E344" s="10">
        <v>3</v>
      </c>
      <c r="F344" s="11">
        <v>1</v>
      </c>
      <c r="G344" s="12">
        <v>0.3</v>
      </c>
      <c r="H344" s="11">
        <v>0</v>
      </c>
      <c r="I344" s="12">
        <v>0</v>
      </c>
      <c r="J344" s="10">
        <v>1</v>
      </c>
      <c r="K344" s="38">
        <f t="shared" si="142"/>
        <v>6</v>
      </c>
      <c r="L344" s="28">
        <v>0</v>
      </c>
      <c r="M344" s="33">
        <f t="shared" si="139"/>
        <v>0</v>
      </c>
      <c r="N344" s="1">
        <v>2313321200</v>
      </c>
    </row>
    <row r="345" spans="1:14" ht="18" customHeight="1" x14ac:dyDescent="0.45">
      <c r="A345" s="8">
        <v>339</v>
      </c>
      <c r="B345" s="35" t="str">
        <f t="shared" si="146"/>
        <v>東京本部</v>
      </c>
      <c r="C345" s="35" t="str">
        <f t="shared" si="146"/>
        <v>そんぽの家　羽村</v>
      </c>
      <c r="D345" s="9" t="s">
        <v>6</v>
      </c>
      <c r="E345" s="10">
        <v>17</v>
      </c>
      <c r="F345" s="11">
        <v>2</v>
      </c>
      <c r="G345" s="12">
        <v>0.1</v>
      </c>
      <c r="H345" s="11">
        <v>0</v>
      </c>
      <c r="I345" s="12">
        <v>0</v>
      </c>
      <c r="J345" s="10">
        <v>2</v>
      </c>
      <c r="K345" s="38">
        <f t="shared" si="142"/>
        <v>6</v>
      </c>
      <c r="L345" s="28">
        <v>0</v>
      </c>
      <c r="M345" s="33">
        <f t="shared" si="139"/>
        <v>0</v>
      </c>
      <c r="N345" s="1">
        <v>2313321200</v>
      </c>
    </row>
    <row r="346" spans="1:14" ht="18" customHeight="1" x14ac:dyDescent="0.45">
      <c r="A346" s="8">
        <v>340</v>
      </c>
      <c r="B346" s="36" t="str">
        <f t="shared" si="146"/>
        <v>東京本部</v>
      </c>
      <c r="C346" s="36" t="str">
        <f t="shared" si="146"/>
        <v>そんぽの家　羽村</v>
      </c>
      <c r="D346" s="9" t="s">
        <v>2</v>
      </c>
      <c r="E346" s="10">
        <v>3</v>
      </c>
      <c r="F346" s="11">
        <v>15</v>
      </c>
      <c r="G346" s="12">
        <v>5</v>
      </c>
      <c r="H346" s="11">
        <v>0</v>
      </c>
      <c r="I346" s="12">
        <v>0</v>
      </c>
      <c r="J346" s="10">
        <v>15</v>
      </c>
      <c r="K346" s="39">
        <f t="shared" si="142"/>
        <v>6</v>
      </c>
      <c r="L346" s="28">
        <v>2</v>
      </c>
      <c r="M346" s="33">
        <f t="shared" si="139"/>
        <v>2</v>
      </c>
      <c r="N346" s="1">
        <v>2313321200</v>
      </c>
    </row>
    <row r="347" spans="1:14" ht="18" customHeight="1" x14ac:dyDescent="0.45">
      <c r="A347" s="13">
        <v>341</v>
      </c>
      <c r="B347" s="40" t="s">
        <v>8</v>
      </c>
      <c r="C347" s="40" t="s">
        <v>219</v>
      </c>
      <c r="D347" s="14" t="s">
        <v>3</v>
      </c>
      <c r="E347" s="15">
        <v>1</v>
      </c>
      <c r="F347" s="16">
        <v>7</v>
      </c>
      <c r="G347" s="17">
        <v>7</v>
      </c>
      <c r="H347" s="16">
        <v>3</v>
      </c>
      <c r="I347" s="17">
        <v>3</v>
      </c>
      <c r="J347" s="15">
        <v>10</v>
      </c>
      <c r="K347" s="43">
        <f t="shared" ref="K347" si="147">SUM(M347:M351)</f>
        <v>5</v>
      </c>
      <c r="L347" s="28">
        <v>2</v>
      </c>
      <c r="M347" s="33">
        <f t="shared" si="139"/>
        <v>2</v>
      </c>
      <c r="N347" s="1">
        <v>2313331100</v>
      </c>
    </row>
    <row r="348" spans="1:14" ht="18" customHeight="1" x14ac:dyDescent="0.45">
      <c r="A348" s="13">
        <v>342</v>
      </c>
      <c r="B348" s="41" t="str">
        <f t="shared" ref="B348:C351" si="148">B347</f>
        <v>東京本部</v>
      </c>
      <c r="C348" s="41" t="str">
        <f t="shared" si="148"/>
        <v>ラヴィーレ羽村</v>
      </c>
      <c r="D348" s="14" t="s">
        <v>4</v>
      </c>
      <c r="E348" s="15">
        <v>1</v>
      </c>
      <c r="F348" s="16">
        <v>3</v>
      </c>
      <c r="G348" s="17">
        <v>3</v>
      </c>
      <c r="H348" s="16">
        <v>3</v>
      </c>
      <c r="I348" s="17">
        <v>3</v>
      </c>
      <c r="J348" s="15">
        <v>6</v>
      </c>
      <c r="K348" s="44">
        <f t="shared" si="142"/>
        <v>5</v>
      </c>
      <c r="L348" s="28">
        <v>1</v>
      </c>
      <c r="M348" s="33">
        <f t="shared" si="139"/>
        <v>1</v>
      </c>
      <c r="N348" s="1">
        <v>2313331100</v>
      </c>
    </row>
    <row r="349" spans="1:14" ht="18" customHeight="1" x14ac:dyDescent="0.45">
      <c r="A349" s="13">
        <v>343</v>
      </c>
      <c r="B349" s="41" t="str">
        <f t="shared" si="148"/>
        <v>東京本部</v>
      </c>
      <c r="C349" s="41" t="str">
        <f t="shared" si="148"/>
        <v>ラヴィーレ羽村</v>
      </c>
      <c r="D349" s="14" t="s">
        <v>5</v>
      </c>
      <c r="E349" s="15">
        <v>2</v>
      </c>
      <c r="F349" s="16">
        <v>14</v>
      </c>
      <c r="G349" s="17">
        <v>7</v>
      </c>
      <c r="H349" s="16">
        <v>0</v>
      </c>
      <c r="I349" s="17">
        <v>0</v>
      </c>
      <c r="J349" s="15">
        <v>14</v>
      </c>
      <c r="K349" s="44">
        <f t="shared" si="142"/>
        <v>5</v>
      </c>
      <c r="L349" s="28">
        <v>2</v>
      </c>
      <c r="M349" s="33">
        <f t="shared" si="139"/>
        <v>2</v>
      </c>
      <c r="N349" s="1">
        <v>2313331100</v>
      </c>
    </row>
    <row r="350" spans="1:14" ht="18" customHeight="1" x14ac:dyDescent="0.45">
      <c r="A350" s="13">
        <v>344</v>
      </c>
      <c r="B350" s="41" t="str">
        <f t="shared" si="148"/>
        <v>東京本部</v>
      </c>
      <c r="C350" s="41" t="str">
        <f t="shared" si="148"/>
        <v>ラヴィーレ羽村</v>
      </c>
      <c r="D350" s="14" t="s">
        <v>6</v>
      </c>
      <c r="E350" s="15">
        <v>4</v>
      </c>
      <c r="F350" s="16">
        <v>0</v>
      </c>
      <c r="G350" s="17">
        <v>0</v>
      </c>
      <c r="H350" s="16">
        <v>0</v>
      </c>
      <c r="I350" s="17">
        <v>0</v>
      </c>
      <c r="J350" s="15">
        <v>0</v>
      </c>
      <c r="K350" s="44">
        <f t="shared" si="142"/>
        <v>5</v>
      </c>
      <c r="L350" s="28">
        <v>0</v>
      </c>
      <c r="M350" s="33">
        <f t="shared" si="139"/>
        <v>0</v>
      </c>
      <c r="N350" s="1">
        <v>2313331100</v>
      </c>
    </row>
    <row r="351" spans="1:14" ht="18" customHeight="1" x14ac:dyDescent="0.45">
      <c r="A351" s="13">
        <v>345</v>
      </c>
      <c r="B351" s="42" t="str">
        <f t="shared" si="148"/>
        <v>東京本部</v>
      </c>
      <c r="C351" s="42" t="str">
        <f t="shared" si="148"/>
        <v>ラヴィーレ羽村</v>
      </c>
      <c r="D351" s="14" t="s">
        <v>2</v>
      </c>
      <c r="E351" s="15">
        <v>2</v>
      </c>
      <c r="F351" s="16">
        <v>0</v>
      </c>
      <c r="G351" s="17">
        <v>0</v>
      </c>
      <c r="H351" s="16">
        <v>0</v>
      </c>
      <c r="I351" s="17">
        <v>0</v>
      </c>
      <c r="J351" s="15">
        <v>0</v>
      </c>
      <c r="K351" s="45">
        <f t="shared" si="142"/>
        <v>5</v>
      </c>
      <c r="L351" s="28">
        <v>0</v>
      </c>
      <c r="M351" s="33">
        <f t="shared" si="139"/>
        <v>0</v>
      </c>
      <c r="N351" s="1">
        <v>2313331100</v>
      </c>
    </row>
    <row r="352" spans="1:14" ht="18" customHeight="1" x14ac:dyDescent="0.45">
      <c r="A352" s="8">
        <v>346</v>
      </c>
      <c r="B352" s="34" t="s">
        <v>8</v>
      </c>
      <c r="C352" s="34" t="s">
        <v>220</v>
      </c>
      <c r="D352" s="9" t="s">
        <v>3</v>
      </c>
      <c r="E352" s="10">
        <v>1</v>
      </c>
      <c r="F352" s="11">
        <v>10</v>
      </c>
      <c r="G352" s="12">
        <v>10</v>
      </c>
      <c r="H352" s="11">
        <v>0</v>
      </c>
      <c r="I352" s="12">
        <v>0</v>
      </c>
      <c r="J352" s="10">
        <v>10</v>
      </c>
      <c r="K352" s="37">
        <f t="shared" ref="K352" si="149">SUM(M352:M356)</f>
        <v>6</v>
      </c>
      <c r="L352" s="28">
        <v>2</v>
      </c>
      <c r="M352" s="33">
        <f t="shared" si="139"/>
        <v>2</v>
      </c>
      <c r="N352" s="1">
        <v>2313361100</v>
      </c>
    </row>
    <row r="353" spans="1:14" ht="18" customHeight="1" x14ac:dyDescent="0.45">
      <c r="A353" s="8">
        <v>347</v>
      </c>
      <c r="B353" s="35" t="str">
        <f t="shared" ref="B353:C356" si="150">B352</f>
        <v>東京本部</v>
      </c>
      <c r="C353" s="35" t="str">
        <f t="shared" si="150"/>
        <v>ラヴィーレ堀之内</v>
      </c>
      <c r="D353" s="9" t="s">
        <v>4</v>
      </c>
      <c r="E353" s="10">
        <v>1</v>
      </c>
      <c r="F353" s="11">
        <v>7</v>
      </c>
      <c r="G353" s="12">
        <v>7</v>
      </c>
      <c r="H353" s="11">
        <v>7</v>
      </c>
      <c r="I353" s="12">
        <v>7</v>
      </c>
      <c r="J353" s="10">
        <v>14</v>
      </c>
      <c r="K353" s="38">
        <f t="shared" si="142"/>
        <v>6</v>
      </c>
      <c r="L353" s="28">
        <v>2</v>
      </c>
      <c r="M353" s="33">
        <f t="shared" si="139"/>
        <v>2</v>
      </c>
      <c r="N353" s="1">
        <v>2313361100</v>
      </c>
    </row>
    <row r="354" spans="1:14" ht="18" customHeight="1" x14ac:dyDescent="0.45">
      <c r="A354" s="8">
        <v>348</v>
      </c>
      <c r="B354" s="35" t="str">
        <f t="shared" si="150"/>
        <v>東京本部</v>
      </c>
      <c r="C354" s="35" t="str">
        <f t="shared" si="150"/>
        <v>ラヴィーレ堀之内</v>
      </c>
      <c r="D354" s="9" t="s">
        <v>5</v>
      </c>
      <c r="E354" s="10">
        <v>1</v>
      </c>
      <c r="F354" s="11">
        <v>15</v>
      </c>
      <c r="G354" s="12">
        <v>15</v>
      </c>
      <c r="H354" s="11">
        <v>3</v>
      </c>
      <c r="I354" s="12">
        <v>3</v>
      </c>
      <c r="J354" s="10">
        <v>18</v>
      </c>
      <c r="K354" s="38">
        <f t="shared" si="142"/>
        <v>6</v>
      </c>
      <c r="L354" s="28">
        <v>2</v>
      </c>
      <c r="M354" s="33">
        <f t="shared" si="139"/>
        <v>2</v>
      </c>
      <c r="N354" s="1">
        <v>2313361100</v>
      </c>
    </row>
    <row r="355" spans="1:14" ht="18" customHeight="1" x14ac:dyDescent="0.45">
      <c r="A355" s="8">
        <v>349</v>
      </c>
      <c r="B355" s="35" t="str">
        <f t="shared" si="150"/>
        <v>東京本部</v>
      </c>
      <c r="C355" s="35" t="str">
        <f t="shared" si="150"/>
        <v>ラヴィーレ堀之内</v>
      </c>
      <c r="D355" s="9" t="s">
        <v>6</v>
      </c>
      <c r="E355" s="10">
        <v>4</v>
      </c>
      <c r="F355" s="11">
        <v>2</v>
      </c>
      <c r="G355" s="12">
        <v>0.5</v>
      </c>
      <c r="H355" s="11">
        <v>0</v>
      </c>
      <c r="I355" s="12">
        <v>0</v>
      </c>
      <c r="J355" s="10">
        <v>2</v>
      </c>
      <c r="K355" s="38">
        <f t="shared" si="142"/>
        <v>6</v>
      </c>
      <c r="L355" s="28">
        <v>0</v>
      </c>
      <c r="M355" s="33">
        <f t="shared" si="139"/>
        <v>0</v>
      </c>
      <c r="N355" s="1">
        <v>2313361100</v>
      </c>
    </row>
    <row r="356" spans="1:14" ht="18" customHeight="1" x14ac:dyDescent="0.45">
      <c r="A356" s="8">
        <v>350</v>
      </c>
      <c r="B356" s="36" t="str">
        <f t="shared" si="150"/>
        <v>東京本部</v>
      </c>
      <c r="C356" s="36" t="str">
        <f t="shared" si="150"/>
        <v>ラヴィーレ堀之内</v>
      </c>
      <c r="D356" s="9" t="s">
        <v>2</v>
      </c>
      <c r="E356" s="10">
        <v>1</v>
      </c>
      <c r="F356" s="11">
        <v>0</v>
      </c>
      <c r="G356" s="12">
        <v>0</v>
      </c>
      <c r="H356" s="11">
        <v>0</v>
      </c>
      <c r="I356" s="12">
        <v>0</v>
      </c>
      <c r="J356" s="10">
        <v>0</v>
      </c>
      <c r="K356" s="39">
        <f t="shared" si="142"/>
        <v>6</v>
      </c>
      <c r="L356" s="28">
        <v>0</v>
      </c>
      <c r="M356" s="33">
        <f t="shared" si="139"/>
        <v>0</v>
      </c>
      <c r="N356" s="1">
        <v>2313361100</v>
      </c>
    </row>
    <row r="357" spans="1:14" ht="18" customHeight="1" x14ac:dyDescent="0.45">
      <c r="A357" s="13">
        <v>351</v>
      </c>
      <c r="B357" s="40" t="s">
        <v>8</v>
      </c>
      <c r="C357" s="40" t="s">
        <v>221</v>
      </c>
      <c r="D357" s="14" t="s">
        <v>3</v>
      </c>
      <c r="E357" s="15">
        <v>1</v>
      </c>
      <c r="F357" s="16">
        <v>1</v>
      </c>
      <c r="G357" s="17">
        <v>1</v>
      </c>
      <c r="H357" s="16">
        <v>0</v>
      </c>
      <c r="I357" s="17">
        <v>0</v>
      </c>
      <c r="J357" s="15">
        <v>1</v>
      </c>
      <c r="K357" s="43">
        <f t="shared" ref="K357" si="151">SUM(M357:M361)</f>
        <v>7</v>
      </c>
      <c r="L357" s="28">
        <v>0</v>
      </c>
      <c r="M357" s="33">
        <f t="shared" si="139"/>
        <v>0</v>
      </c>
      <c r="N357" s="1">
        <v>2313371100</v>
      </c>
    </row>
    <row r="358" spans="1:14" ht="18" customHeight="1" x14ac:dyDescent="0.45">
      <c r="A358" s="13">
        <v>352</v>
      </c>
      <c r="B358" s="41" t="str">
        <f t="shared" ref="B358:C361" si="152">B357</f>
        <v>東京本部</v>
      </c>
      <c r="C358" s="41" t="str">
        <f t="shared" si="152"/>
        <v>ラヴィーレ八王子片倉</v>
      </c>
      <c r="D358" s="14" t="s">
        <v>4</v>
      </c>
      <c r="E358" s="15">
        <v>2</v>
      </c>
      <c r="F358" s="16">
        <v>3</v>
      </c>
      <c r="G358" s="17">
        <v>1.5</v>
      </c>
      <c r="H358" s="16">
        <v>2</v>
      </c>
      <c r="I358" s="17">
        <v>1</v>
      </c>
      <c r="J358" s="15">
        <v>5</v>
      </c>
      <c r="K358" s="44">
        <f t="shared" si="142"/>
        <v>7</v>
      </c>
      <c r="L358" s="28">
        <v>1</v>
      </c>
      <c r="M358" s="33">
        <f t="shared" si="139"/>
        <v>1</v>
      </c>
      <c r="N358" s="1">
        <v>2313371100</v>
      </c>
    </row>
    <row r="359" spans="1:14" ht="18" customHeight="1" x14ac:dyDescent="0.45">
      <c r="A359" s="13">
        <v>353</v>
      </c>
      <c r="B359" s="41" t="str">
        <f t="shared" si="152"/>
        <v>東京本部</v>
      </c>
      <c r="C359" s="41" t="str">
        <f t="shared" si="152"/>
        <v>ラヴィーレ八王子片倉</v>
      </c>
      <c r="D359" s="14" t="s">
        <v>5</v>
      </c>
      <c r="E359" s="15">
        <v>2</v>
      </c>
      <c r="F359" s="16">
        <v>24</v>
      </c>
      <c r="G359" s="17">
        <v>12</v>
      </c>
      <c r="H359" s="16">
        <v>0</v>
      </c>
      <c r="I359" s="17">
        <v>0</v>
      </c>
      <c r="J359" s="15">
        <v>24</v>
      </c>
      <c r="K359" s="44">
        <f t="shared" si="142"/>
        <v>7</v>
      </c>
      <c r="L359" s="28">
        <v>2</v>
      </c>
      <c r="M359" s="33">
        <f t="shared" si="139"/>
        <v>2</v>
      </c>
      <c r="N359" s="1">
        <v>2313371100</v>
      </c>
    </row>
    <row r="360" spans="1:14" ht="18" customHeight="1" x14ac:dyDescent="0.45">
      <c r="A360" s="13">
        <v>354</v>
      </c>
      <c r="B360" s="41" t="str">
        <f t="shared" si="152"/>
        <v>東京本部</v>
      </c>
      <c r="C360" s="41" t="str">
        <f t="shared" si="152"/>
        <v>ラヴィーレ八王子片倉</v>
      </c>
      <c r="D360" s="14" t="s">
        <v>6</v>
      </c>
      <c r="E360" s="15">
        <v>4</v>
      </c>
      <c r="F360" s="16">
        <v>76</v>
      </c>
      <c r="G360" s="17">
        <v>19</v>
      </c>
      <c r="H360" s="16">
        <v>0</v>
      </c>
      <c r="I360" s="17">
        <v>0</v>
      </c>
      <c r="J360" s="15">
        <v>76</v>
      </c>
      <c r="K360" s="44">
        <f t="shared" si="142"/>
        <v>7</v>
      </c>
      <c r="L360" s="28">
        <v>2</v>
      </c>
      <c r="M360" s="33">
        <f t="shared" si="139"/>
        <v>2</v>
      </c>
      <c r="N360" s="1">
        <v>2313371100</v>
      </c>
    </row>
    <row r="361" spans="1:14" ht="18" customHeight="1" x14ac:dyDescent="0.45">
      <c r="A361" s="13">
        <v>355</v>
      </c>
      <c r="B361" s="42" t="str">
        <f t="shared" si="152"/>
        <v>東京本部</v>
      </c>
      <c r="C361" s="42" t="str">
        <f t="shared" si="152"/>
        <v>ラヴィーレ八王子片倉</v>
      </c>
      <c r="D361" s="14" t="s">
        <v>2</v>
      </c>
      <c r="E361" s="15">
        <v>1</v>
      </c>
      <c r="F361" s="16">
        <v>28</v>
      </c>
      <c r="G361" s="17">
        <v>28</v>
      </c>
      <c r="H361" s="16">
        <v>8</v>
      </c>
      <c r="I361" s="17">
        <v>8</v>
      </c>
      <c r="J361" s="15">
        <v>36</v>
      </c>
      <c r="K361" s="45">
        <f t="shared" si="142"/>
        <v>7</v>
      </c>
      <c r="L361" s="28">
        <v>2</v>
      </c>
      <c r="M361" s="33">
        <f t="shared" si="139"/>
        <v>2</v>
      </c>
      <c r="N361" s="1">
        <v>2313371100</v>
      </c>
    </row>
    <row r="362" spans="1:14" ht="18" customHeight="1" x14ac:dyDescent="0.45">
      <c r="A362" s="8">
        <v>356</v>
      </c>
      <c r="B362" s="34" t="s">
        <v>8</v>
      </c>
      <c r="C362" s="34" t="s">
        <v>222</v>
      </c>
      <c r="D362" s="9" t="s">
        <v>3</v>
      </c>
      <c r="E362" s="10">
        <v>1</v>
      </c>
      <c r="F362" s="11">
        <v>11</v>
      </c>
      <c r="G362" s="12">
        <v>11</v>
      </c>
      <c r="H362" s="11">
        <v>4</v>
      </c>
      <c r="I362" s="12">
        <v>4</v>
      </c>
      <c r="J362" s="10">
        <v>15</v>
      </c>
      <c r="K362" s="37">
        <f t="shared" ref="K362" si="153">SUM(M362:M366)</f>
        <v>9</v>
      </c>
      <c r="L362" s="28">
        <v>2</v>
      </c>
      <c r="M362" s="33">
        <f t="shared" si="139"/>
        <v>2</v>
      </c>
      <c r="N362" s="1">
        <v>2313391100</v>
      </c>
    </row>
    <row r="363" spans="1:14" ht="18" customHeight="1" x14ac:dyDescent="0.45">
      <c r="A363" s="8">
        <v>357</v>
      </c>
      <c r="B363" s="35" t="str">
        <f t="shared" ref="B363:C366" si="154">B362</f>
        <v>東京本部</v>
      </c>
      <c r="C363" s="35" t="str">
        <f t="shared" si="154"/>
        <v>ラヴィーレ南町田</v>
      </c>
      <c r="D363" s="9" t="s">
        <v>4</v>
      </c>
      <c r="E363" s="10">
        <v>1</v>
      </c>
      <c r="F363" s="11">
        <v>16</v>
      </c>
      <c r="G363" s="12">
        <v>16</v>
      </c>
      <c r="H363" s="11">
        <v>14</v>
      </c>
      <c r="I363" s="12">
        <v>14</v>
      </c>
      <c r="J363" s="10">
        <v>30</v>
      </c>
      <c r="K363" s="38">
        <f t="shared" si="142"/>
        <v>9</v>
      </c>
      <c r="L363" s="28">
        <v>2</v>
      </c>
      <c r="M363" s="33">
        <f t="shared" si="139"/>
        <v>2</v>
      </c>
      <c r="N363" s="1">
        <v>2313391100</v>
      </c>
    </row>
    <row r="364" spans="1:14" ht="18" customHeight="1" x14ac:dyDescent="0.45">
      <c r="A364" s="8">
        <v>358</v>
      </c>
      <c r="B364" s="35" t="str">
        <f t="shared" si="154"/>
        <v>東京本部</v>
      </c>
      <c r="C364" s="35" t="str">
        <f t="shared" si="154"/>
        <v>ラヴィーレ南町田</v>
      </c>
      <c r="D364" s="9" t="s">
        <v>5</v>
      </c>
      <c r="E364" s="10">
        <v>2</v>
      </c>
      <c r="F364" s="11">
        <v>46</v>
      </c>
      <c r="G364" s="12">
        <v>23</v>
      </c>
      <c r="H364" s="11">
        <v>0</v>
      </c>
      <c r="I364" s="12">
        <v>0</v>
      </c>
      <c r="J364" s="10">
        <v>46</v>
      </c>
      <c r="K364" s="38">
        <f t="shared" si="142"/>
        <v>9</v>
      </c>
      <c r="L364" s="28">
        <v>2</v>
      </c>
      <c r="M364" s="33">
        <f t="shared" si="139"/>
        <v>2</v>
      </c>
      <c r="N364" s="1">
        <v>2313391100</v>
      </c>
    </row>
    <row r="365" spans="1:14" ht="18" customHeight="1" x14ac:dyDescent="0.45">
      <c r="A365" s="8">
        <v>359</v>
      </c>
      <c r="B365" s="35" t="str">
        <f t="shared" si="154"/>
        <v>東京本部</v>
      </c>
      <c r="C365" s="35" t="str">
        <f t="shared" si="154"/>
        <v>ラヴィーレ南町田</v>
      </c>
      <c r="D365" s="9" t="s">
        <v>6</v>
      </c>
      <c r="E365" s="10">
        <v>4</v>
      </c>
      <c r="F365" s="11">
        <v>6</v>
      </c>
      <c r="G365" s="12">
        <v>1.5</v>
      </c>
      <c r="H365" s="11">
        <v>0</v>
      </c>
      <c r="I365" s="12">
        <v>0</v>
      </c>
      <c r="J365" s="10">
        <v>6</v>
      </c>
      <c r="K365" s="38">
        <f t="shared" si="142"/>
        <v>9</v>
      </c>
      <c r="L365" s="28">
        <v>1</v>
      </c>
      <c r="M365" s="33">
        <f t="shared" si="139"/>
        <v>1</v>
      </c>
      <c r="N365" s="1">
        <v>2313391100</v>
      </c>
    </row>
    <row r="366" spans="1:14" ht="18" customHeight="1" x14ac:dyDescent="0.45">
      <c r="A366" s="8">
        <v>360</v>
      </c>
      <c r="B366" s="36" t="str">
        <f t="shared" si="154"/>
        <v>東京本部</v>
      </c>
      <c r="C366" s="36" t="str">
        <f t="shared" si="154"/>
        <v>ラヴィーレ南町田</v>
      </c>
      <c r="D366" s="9" t="s">
        <v>2</v>
      </c>
      <c r="E366" s="10">
        <v>2</v>
      </c>
      <c r="F366" s="11">
        <v>15</v>
      </c>
      <c r="G366" s="12">
        <v>7.5</v>
      </c>
      <c r="H366" s="11">
        <v>0</v>
      </c>
      <c r="I366" s="12">
        <v>0</v>
      </c>
      <c r="J366" s="10">
        <v>15</v>
      </c>
      <c r="K366" s="39">
        <f t="shared" si="142"/>
        <v>9</v>
      </c>
      <c r="L366" s="28">
        <v>2</v>
      </c>
      <c r="M366" s="33">
        <f t="shared" si="139"/>
        <v>2</v>
      </c>
      <c r="N366" s="1">
        <v>2313391100</v>
      </c>
    </row>
    <row r="367" spans="1:14" ht="18" customHeight="1" x14ac:dyDescent="0.45">
      <c r="A367" s="13">
        <v>361</v>
      </c>
      <c r="B367" s="40" t="s">
        <v>8</v>
      </c>
      <c r="C367" s="40" t="s">
        <v>223</v>
      </c>
      <c r="D367" s="14" t="s">
        <v>3</v>
      </c>
      <c r="E367" s="15">
        <v>1</v>
      </c>
      <c r="F367" s="16">
        <v>6</v>
      </c>
      <c r="G367" s="17">
        <v>6</v>
      </c>
      <c r="H367" s="16">
        <v>6</v>
      </c>
      <c r="I367" s="17">
        <v>6</v>
      </c>
      <c r="J367" s="15">
        <v>12</v>
      </c>
      <c r="K367" s="43">
        <f t="shared" ref="K367" si="155">SUM(M367:M371)</f>
        <v>3</v>
      </c>
      <c r="L367" s="28">
        <v>2</v>
      </c>
      <c r="M367" s="33">
        <f t="shared" si="139"/>
        <v>2</v>
      </c>
      <c r="N367" s="1">
        <v>2313401100</v>
      </c>
    </row>
    <row r="368" spans="1:14" ht="18" customHeight="1" x14ac:dyDescent="0.45">
      <c r="A368" s="13">
        <v>362</v>
      </c>
      <c r="B368" s="41" t="str">
        <f t="shared" ref="B368:C371" si="156">B367</f>
        <v>東京本部</v>
      </c>
      <c r="C368" s="41" t="str">
        <f t="shared" si="156"/>
        <v>ラヴィーレ町田小山</v>
      </c>
      <c r="D368" s="14" t="s">
        <v>4</v>
      </c>
      <c r="E368" s="15">
        <v>1</v>
      </c>
      <c r="F368" s="16">
        <v>7</v>
      </c>
      <c r="G368" s="17">
        <v>7</v>
      </c>
      <c r="H368" s="16">
        <v>0</v>
      </c>
      <c r="I368" s="17">
        <v>0</v>
      </c>
      <c r="J368" s="15">
        <v>7</v>
      </c>
      <c r="K368" s="44">
        <f t="shared" si="142"/>
        <v>3</v>
      </c>
      <c r="L368" s="28">
        <v>1</v>
      </c>
      <c r="M368" s="33">
        <f t="shared" si="139"/>
        <v>1</v>
      </c>
      <c r="N368" s="1">
        <v>2313401100</v>
      </c>
    </row>
    <row r="369" spans="1:14" ht="18" customHeight="1" x14ac:dyDescent="0.45">
      <c r="A369" s="13">
        <v>363</v>
      </c>
      <c r="B369" s="41" t="str">
        <f t="shared" si="156"/>
        <v>東京本部</v>
      </c>
      <c r="C369" s="41" t="str">
        <f t="shared" si="156"/>
        <v>ラヴィーレ町田小山</v>
      </c>
      <c r="D369" s="14" t="s">
        <v>5</v>
      </c>
      <c r="E369" s="15">
        <v>1</v>
      </c>
      <c r="F369" s="16">
        <v>0</v>
      </c>
      <c r="G369" s="17">
        <v>0</v>
      </c>
      <c r="H369" s="16">
        <v>0</v>
      </c>
      <c r="I369" s="17">
        <v>0</v>
      </c>
      <c r="J369" s="15">
        <v>0</v>
      </c>
      <c r="K369" s="44">
        <f t="shared" si="142"/>
        <v>3</v>
      </c>
      <c r="L369" s="28">
        <v>0</v>
      </c>
      <c r="M369" s="33">
        <f t="shared" si="139"/>
        <v>0</v>
      </c>
      <c r="N369" s="1">
        <v>2313401100</v>
      </c>
    </row>
    <row r="370" spans="1:14" ht="18" customHeight="1" x14ac:dyDescent="0.45">
      <c r="A370" s="13">
        <v>364</v>
      </c>
      <c r="B370" s="41" t="str">
        <f t="shared" si="156"/>
        <v>東京本部</v>
      </c>
      <c r="C370" s="41" t="str">
        <f t="shared" si="156"/>
        <v>ラヴィーレ町田小山</v>
      </c>
      <c r="D370" s="14" t="s">
        <v>6</v>
      </c>
      <c r="E370" s="15">
        <v>9</v>
      </c>
      <c r="F370" s="16">
        <v>0</v>
      </c>
      <c r="G370" s="17">
        <v>0</v>
      </c>
      <c r="H370" s="16">
        <v>0</v>
      </c>
      <c r="I370" s="17">
        <v>0</v>
      </c>
      <c r="J370" s="15">
        <v>0</v>
      </c>
      <c r="K370" s="44">
        <f t="shared" si="142"/>
        <v>3</v>
      </c>
      <c r="L370" s="28">
        <v>0</v>
      </c>
      <c r="M370" s="33">
        <f t="shared" si="139"/>
        <v>0</v>
      </c>
      <c r="N370" s="1">
        <v>2313401100</v>
      </c>
    </row>
    <row r="371" spans="1:14" ht="18" customHeight="1" x14ac:dyDescent="0.45">
      <c r="A371" s="13">
        <v>365</v>
      </c>
      <c r="B371" s="42" t="str">
        <f t="shared" si="156"/>
        <v>東京本部</v>
      </c>
      <c r="C371" s="42" t="str">
        <f t="shared" si="156"/>
        <v>ラヴィーレ町田小山</v>
      </c>
      <c r="D371" s="14" t="s">
        <v>2</v>
      </c>
      <c r="E371" s="15">
        <v>2</v>
      </c>
      <c r="F371" s="16">
        <v>0</v>
      </c>
      <c r="G371" s="17">
        <v>0</v>
      </c>
      <c r="H371" s="16">
        <v>0</v>
      </c>
      <c r="I371" s="17">
        <v>0</v>
      </c>
      <c r="J371" s="15">
        <v>0</v>
      </c>
      <c r="K371" s="45">
        <f t="shared" si="142"/>
        <v>3</v>
      </c>
      <c r="L371" s="28">
        <v>0</v>
      </c>
      <c r="M371" s="33">
        <f t="shared" si="139"/>
        <v>0</v>
      </c>
      <c r="N371" s="1">
        <v>2313401100</v>
      </c>
    </row>
    <row r="372" spans="1:14" ht="18" customHeight="1" x14ac:dyDescent="0.45">
      <c r="A372" s="31">
        <v>366</v>
      </c>
      <c r="B372" s="34" t="s">
        <v>8</v>
      </c>
      <c r="C372" s="34" t="s">
        <v>224</v>
      </c>
      <c r="D372" s="9" t="s">
        <v>3</v>
      </c>
      <c r="E372" s="10">
        <v>1</v>
      </c>
      <c r="F372" s="11">
        <v>19</v>
      </c>
      <c r="G372" s="12">
        <v>19</v>
      </c>
      <c r="H372" s="11">
        <v>0</v>
      </c>
      <c r="I372" s="12">
        <v>0</v>
      </c>
      <c r="J372" s="10">
        <v>19</v>
      </c>
      <c r="K372" s="37">
        <f t="shared" ref="K372" si="157">SUM(M372:M376)</f>
        <v>10</v>
      </c>
      <c r="L372" s="28">
        <v>2</v>
      </c>
      <c r="M372" s="33">
        <f t="shared" si="139"/>
        <v>2</v>
      </c>
      <c r="N372" s="1">
        <v>2313411100</v>
      </c>
    </row>
    <row r="373" spans="1:14" ht="18" customHeight="1" x14ac:dyDescent="0.45">
      <c r="A373" s="31">
        <v>367</v>
      </c>
      <c r="B373" s="35" t="str">
        <f t="shared" ref="B373:C376" si="158">B372</f>
        <v>東京本部</v>
      </c>
      <c r="C373" s="35" t="str">
        <f t="shared" si="158"/>
        <v>ラヴィーレ町田小野路</v>
      </c>
      <c r="D373" s="9" t="s">
        <v>4</v>
      </c>
      <c r="E373" s="10">
        <v>4</v>
      </c>
      <c r="F373" s="11">
        <v>18</v>
      </c>
      <c r="G373" s="12">
        <v>4.5</v>
      </c>
      <c r="H373" s="11">
        <v>0</v>
      </c>
      <c r="I373" s="12">
        <v>0</v>
      </c>
      <c r="J373" s="10">
        <v>18</v>
      </c>
      <c r="K373" s="38">
        <f t="shared" si="142"/>
        <v>10</v>
      </c>
      <c r="L373" s="28">
        <v>2</v>
      </c>
      <c r="M373" s="33">
        <f t="shared" si="139"/>
        <v>2</v>
      </c>
      <c r="N373" s="1">
        <v>2313411100</v>
      </c>
    </row>
    <row r="374" spans="1:14" ht="18" customHeight="1" x14ac:dyDescent="0.45">
      <c r="A374" s="31">
        <v>368</v>
      </c>
      <c r="B374" s="35" t="str">
        <f t="shared" si="158"/>
        <v>東京本部</v>
      </c>
      <c r="C374" s="35" t="str">
        <f t="shared" si="158"/>
        <v>ラヴィーレ町田小野路</v>
      </c>
      <c r="D374" s="9" t="s">
        <v>5</v>
      </c>
      <c r="E374" s="10">
        <v>3</v>
      </c>
      <c r="F374" s="11">
        <v>54</v>
      </c>
      <c r="G374" s="12">
        <v>18</v>
      </c>
      <c r="H374" s="11">
        <v>0</v>
      </c>
      <c r="I374" s="12">
        <v>0</v>
      </c>
      <c r="J374" s="10">
        <v>54</v>
      </c>
      <c r="K374" s="38">
        <f t="shared" si="142"/>
        <v>10</v>
      </c>
      <c r="L374" s="28">
        <v>2</v>
      </c>
      <c r="M374" s="33">
        <f t="shared" si="139"/>
        <v>2</v>
      </c>
      <c r="N374" s="1">
        <v>2313411100</v>
      </c>
    </row>
    <row r="375" spans="1:14" ht="18" customHeight="1" x14ac:dyDescent="0.45">
      <c r="A375" s="31">
        <v>369</v>
      </c>
      <c r="B375" s="35" t="str">
        <f t="shared" si="158"/>
        <v>東京本部</v>
      </c>
      <c r="C375" s="35" t="str">
        <f t="shared" si="158"/>
        <v>ラヴィーレ町田小野路</v>
      </c>
      <c r="D375" s="9" t="s">
        <v>6</v>
      </c>
      <c r="E375" s="10">
        <v>6</v>
      </c>
      <c r="F375" s="11">
        <v>19</v>
      </c>
      <c r="G375" s="12">
        <v>3.2</v>
      </c>
      <c r="H375" s="11">
        <v>0</v>
      </c>
      <c r="I375" s="12">
        <v>0</v>
      </c>
      <c r="J375" s="10">
        <v>19</v>
      </c>
      <c r="K375" s="38">
        <f t="shared" si="142"/>
        <v>10</v>
      </c>
      <c r="L375" s="28">
        <v>2</v>
      </c>
      <c r="M375" s="33">
        <f t="shared" si="139"/>
        <v>2</v>
      </c>
      <c r="N375" s="1">
        <v>2313411100</v>
      </c>
    </row>
    <row r="376" spans="1:14" ht="18" customHeight="1" x14ac:dyDescent="0.45">
      <c r="A376" s="31">
        <v>370</v>
      </c>
      <c r="B376" s="36" t="str">
        <f t="shared" si="158"/>
        <v>東京本部</v>
      </c>
      <c r="C376" s="36" t="str">
        <f t="shared" si="158"/>
        <v>ラヴィーレ町田小野路</v>
      </c>
      <c r="D376" s="9" t="s">
        <v>2</v>
      </c>
      <c r="E376" s="10">
        <v>2</v>
      </c>
      <c r="F376" s="11">
        <v>30</v>
      </c>
      <c r="G376" s="12">
        <v>15</v>
      </c>
      <c r="H376" s="11">
        <v>0</v>
      </c>
      <c r="I376" s="12">
        <v>0</v>
      </c>
      <c r="J376" s="10">
        <v>30</v>
      </c>
      <c r="K376" s="39">
        <f t="shared" si="142"/>
        <v>10</v>
      </c>
      <c r="L376" s="28">
        <v>2</v>
      </c>
      <c r="M376" s="33">
        <f t="shared" si="139"/>
        <v>2</v>
      </c>
      <c r="N376" s="1">
        <v>2313411100</v>
      </c>
    </row>
    <row r="377" spans="1:14" ht="18" customHeight="1" x14ac:dyDescent="0.45">
      <c r="A377" s="13">
        <v>371</v>
      </c>
      <c r="B377" s="40" t="s">
        <v>8</v>
      </c>
      <c r="C377" s="40" t="s">
        <v>47</v>
      </c>
      <c r="D377" s="14" t="s">
        <v>3</v>
      </c>
      <c r="E377" s="15">
        <v>1</v>
      </c>
      <c r="F377" s="16">
        <v>13</v>
      </c>
      <c r="G377" s="17">
        <v>13</v>
      </c>
      <c r="H377" s="16">
        <v>2</v>
      </c>
      <c r="I377" s="17">
        <v>2</v>
      </c>
      <c r="J377" s="15">
        <v>15</v>
      </c>
      <c r="K377" s="43">
        <f t="shared" ref="K377" si="159">SUM(M377:M381)</f>
        <v>8</v>
      </c>
      <c r="L377" s="28">
        <v>2</v>
      </c>
      <c r="M377" s="33">
        <f t="shared" si="139"/>
        <v>2</v>
      </c>
      <c r="N377" s="1">
        <v>2313451200</v>
      </c>
    </row>
    <row r="378" spans="1:14" ht="18" customHeight="1" x14ac:dyDescent="0.45">
      <c r="A378" s="13">
        <v>372</v>
      </c>
      <c r="B378" s="41" t="str">
        <f t="shared" ref="B378:C381" si="160">B377</f>
        <v>東京本部</v>
      </c>
      <c r="C378" s="41" t="str">
        <f t="shared" si="160"/>
        <v>そんぽの家　稲城矢野口</v>
      </c>
      <c r="D378" s="14" t="s">
        <v>4</v>
      </c>
      <c r="E378" s="15">
        <v>1</v>
      </c>
      <c r="F378" s="16">
        <v>10</v>
      </c>
      <c r="G378" s="17">
        <v>10</v>
      </c>
      <c r="H378" s="16">
        <v>2</v>
      </c>
      <c r="I378" s="17">
        <v>2</v>
      </c>
      <c r="J378" s="15">
        <v>12</v>
      </c>
      <c r="K378" s="44">
        <f t="shared" si="142"/>
        <v>8</v>
      </c>
      <c r="L378" s="28">
        <v>2</v>
      </c>
      <c r="M378" s="33">
        <f t="shared" si="139"/>
        <v>2</v>
      </c>
      <c r="N378" s="1">
        <v>2313451200</v>
      </c>
    </row>
    <row r="379" spans="1:14" ht="18" customHeight="1" x14ac:dyDescent="0.45">
      <c r="A379" s="13">
        <v>373</v>
      </c>
      <c r="B379" s="41" t="str">
        <f t="shared" si="160"/>
        <v>東京本部</v>
      </c>
      <c r="C379" s="41" t="str">
        <f t="shared" si="160"/>
        <v>そんぽの家　稲城矢野口</v>
      </c>
      <c r="D379" s="14" t="s">
        <v>5</v>
      </c>
      <c r="E379" s="15">
        <v>1</v>
      </c>
      <c r="F379" s="16">
        <v>21</v>
      </c>
      <c r="G379" s="17">
        <v>21</v>
      </c>
      <c r="H379" s="16">
        <v>0</v>
      </c>
      <c r="I379" s="17">
        <v>0</v>
      </c>
      <c r="J379" s="15">
        <v>21</v>
      </c>
      <c r="K379" s="44">
        <f t="shared" si="142"/>
        <v>8</v>
      </c>
      <c r="L379" s="28">
        <v>2</v>
      </c>
      <c r="M379" s="33">
        <f t="shared" si="139"/>
        <v>2</v>
      </c>
      <c r="N379" s="1">
        <v>2313451200</v>
      </c>
    </row>
    <row r="380" spans="1:14" ht="18" customHeight="1" x14ac:dyDescent="0.45">
      <c r="A380" s="13">
        <v>374</v>
      </c>
      <c r="B380" s="41" t="str">
        <f t="shared" si="160"/>
        <v>東京本部</v>
      </c>
      <c r="C380" s="41" t="str">
        <f t="shared" si="160"/>
        <v>そんぽの家　稲城矢野口</v>
      </c>
      <c r="D380" s="14" t="s">
        <v>6</v>
      </c>
      <c r="E380" s="15">
        <v>3</v>
      </c>
      <c r="F380" s="16">
        <v>5</v>
      </c>
      <c r="G380" s="17">
        <v>1.7</v>
      </c>
      <c r="H380" s="16">
        <v>0</v>
      </c>
      <c r="I380" s="17">
        <v>0</v>
      </c>
      <c r="J380" s="15">
        <v>5</v>
      </c>
      <c r="K380" s="44">
        <f t="shared" si="142"/>
        <v>8</v>
      </c>
      <c r="L380" s="28">
        <v>1</v>
      </c>
      <c r="M380" s="33">
        <f t="shared" si="139"/>
        <v>1</v>
      </c>
      <c r="N380" s="1">
        <v>2313451200</v>
      </c>
    </row>
    <row r="381" spans="1:14" ht="18" customHeight="1" x14ac:dyDescent="0.45">
      <c r="A381" s="13">
        <v>375</v>
      </c>
      <c r="B381" s="42" t="str">
        <f t="shared" si="160"/>
        <v>東京本部</v>
      </c>
      <c r="C381" s="42" t="str">
        <f t="shared" si="160"/>
        <v>そんぽの家　稲城矢野口</v>
      </c>
      <c r="D381" s="14" t="s">
        <v>2</v>
      </c>
      <c r="E381" s="15">
        <v>1</v>
      </c>
      <c r="F381" s="16">
        <v>6</v>
      </c>
      <c r="G381" s="17">
        <v>6</v>
      </c>
      <c r="H381" s="16">
        <v>0</v>
      </c>
      <c r="I381" s="17">
        <v>0</v>
      </c>
      <c r="J381" s="15">
        <v>6</v>
      </c>
      <c r="K381" s="45">
        <f t="shared" si="142"/>
        <v>8</v>
      </c>
      <c r="L381" s="28">
        <v>1</v>
      </c>
      <c r="M381" s="33">
        <f t="shared" si="139"/>
        <v>1</v>
      </c>
      <c r="N381" s="1">
        <v>2313451200</v>
      </c>
    </row>
    <row r="382" spans="1:14" ht="18" customHeight="1" x14ac:dyDescent="0.45">
      <c r="A382" s="8">
        <v>376</v>
      </c>
      <c r="B382" s="34" t="s">
        <v>8</v>
      </c>
      <c r="C382" s="34" t="s">
        <v>174</v>
      </c>
      <c r="D382" s="9" t="s">
        <v>3</v>
      </c>
      <c r="E382" s="10">
        <v>1</v>
      </c>
      <c r="F382" s="11">
        <v>2</v>
      </c>
      <c r="G382" s="12">
        <v>2</v>
      </c>
      <c r="H382" s="11">
        <v>1</v>
      </c>
      <c r="I382" s="12">
        <v>1</v>
      </c>
      <c r="J382" s="10">
        <v>3</v>
      </c>
      <c r="K382" s="37">
        <f t="shared" ref="K382" si="161">SUM(M382:M386)</f>
        <v>4</v>
      </c>
      <c r="L382" s="28">
        <v>0</v>
      </c>
      <c r="M382" s="33">
        <f t="shared" si="139"/>
        <v>0</v>
      </c>
      <c r="N382" s="1">
        <v>2317901200</v>
      </c>
    </row>
    <row r="383" spans="1:14" ht="18" customHeight="1" x14ac:dyDescent="0.45">
      <c r="A383" s="8">
        <v>377</v>
      </c>
      <c r="B383" s="35" t="str">
        <f t="shared" ref="B383:C386" si="162">B382</f>
        <v>東京本部</v>
      </c>
      <c r="C383" s="35" t="str">
        <f t="shared" si="162"/>
        <v>そんぽの家　大森西</v>
      </c>
      <c r="D383" s="9" t="s">
        <v>4</v>
      </c>
      <c r="E383" s="10">
        <v>1</v>
      </c>
      <c r="F383" s="11">
        <v>0</v>
      </c>
      <c r="G383" s="12">
        <v>0</v>
      </c>
      <c r="H383" s="11">
        <v>0</v>
      </c>
      <c r="I383" s="12">
        <v>0</v>
      </c>
      <c r="J383" s="10">
        <v>0</v>
      </c>
      <c r="K383" s="38">
        <f t="shared" si="142"/>
        <v>4</v>
      </c>
      <c r="L383" s="28">
        <v>0</v>
      </c>
      <c r="M383" s="33">
        <f t="shared" si="139"/>
        <v>0</v>
      </c>
      <c r="N383" s="1">
        <v>2317901200</v>
      </c>
    </row>
    <row r="384" spans="1:14" ht="18" customHeight="1" x14ac:dyDescent="0.45">
      <c r="A384" s="8">
        <v>378</v>
      </c>
      <c r="B384" s="35" t="str">
        <f t="shared" si="162"/>
        <v>東京本部</v>
      </c>
      <c r="C384" s="35" t="str">
        <f t="shared" si="162"/>
        <v>そんぽの家　大森西</v>
      </c>
      <c r="D384" s="9" t="s">
        <v>5</v>
      </c>
      <c r="E384" s="10">
        <v>1</v>
      </c>
      <c r="F384" s="11">
        <v>13</v>
      </c>
      <c r="G384" s="12">
        <v>13</v>
      </c>
      <c r="H384" s="11">
        <v>0</v>
      </c>
      <c r="I384" s="12">
        <v>0</v>
      </c>
      <c r="J384" s="10">
        <v>13</v>
      </c>
      <c r="K384" s="38">
        <f t="shared" si="142"/>
        <v>4</v>
      </c>
      <c r="L384" s="28">
        <v>2</v>
      </c>
      <c r="M384" s="33">
        <f t="shared" si="139"/>
        <v>2</v>
      </c>
      <c r="N384" s="1">
        <v>2317901200</v>
      </c>
    </row>
    <row r="385" spans="1:14" ht="18" customHeight="1" x14ac:dyDescent="0.45">
      <c r="A385" s="8">
        <v>379</v>
      </c>
      <c r="B385" s="35" t="str">
        <f t="shared" si="162"/>
        <v>東京本部</v>
      </c>
      <c r="C385" s="35" t="str">
        <f t="shared" si="162"/>
        <v>そんぽの家　大森西</v>
      </c>
      <c r="D385" s="9" t="s">
        <v>6</v>
      </c>
      <c r="E385" s="10">
        <v>3</v>
      </c>
      <c r="F385" s="11">
        <v>14</v>
      </c>
      <c r="G385" s="12">
        <v>4.7</v>
      </c>
      <c r="H385" s="11">
        <v>0</v>
      </c>
      <c r="I385" s="12">
        <v>0</v>
      </c>
      <c r="J385" s="10">
        <v>14</v>
      </c>
      <c r="K385" s="38">
        <f t="shared" si="142"/>
        <v>4</v>
      </c>
      <c r="L385" s="28">
        <v>2</v>
      </c>
      <c r="M385" s="33">
        <f t="shared" si="139"/>
        <v>2</v>
      </c>
      <c r="N385" s="1">
        <v>2317901200</v>
      </c>
    </row>
    <row r="386" spans="1:14" ht="18" customHeight="1" x14ac:dyDescent="0.45">
      <c r="A386" s="8">
        <v>380</v>
      </c>
      <c r="B386" s="36" t="str">
        <f t="shared" si="162"/>
        <v>東京本部</v>
      </c>
      <c r="C386" s="36" t="str">
        <f t="shared" si="162"/>
        <v>そんぽの家　大森西</v>
      </c>
      <c r="D386" s="9" t="s">
        <v>2</v>
      </c>
      <c r="E386" s="10">
        <v>2</v>
      </c>
      <c r="F386" s="11">
        <v>2</v>
      </c>
      <c r="G386" s="12">
        <v>1</v>
      </c>
      <c r="H386" s="11">
        <v>0</v>
      </c>
      <c r="I386" s="12">
        <v>0</v>
      </c>
      <c r="J386" s="10">
        <v>2</v>
      </c>
      <c r="K386" s="39">
        <f t="shared" si="142"/>
        <v>4</v>
      </c>
      <c r="L386" s="28">
        <v>0</v>
      </c>
      <c r="M386" s="33">
        <f t="shared" si="139"/>
        <v>0</v>
      </c>
      <c r="N386" s="1">
        <v>2317901200</v>
      </c>
    </row>
    <row r="387" spans="1:14" ht="18" customHeight="1" x14ac:dyDescent="0.45">
      <c r="A387" s="13">
        <v>381</v>
      </c>
      <c r="B387" s="40" t="s">
        <v>8</v>
      </c>
      <c r="C387" s="40" t="s">
        <v>225</v>
      </c>
      <c r="D387" s="14" t="s">
        <v>3</v>
      </c>
      <c r="E387" s="15">
        <v>1</v>
      </c>
      <c r="F387" s="16">
        <v>4</v>
      </c>
      <c r="G387" s="17">
        <v>4</v>
      </c>
      <c r="H387" s="16">
        <v>0</v>
      </c>
      <c r="I387" s="17">
        <v>0</v>
      </c>
      <c r="J387" s="15">
        <v>4</v>
      </c>
      <c r="K387" s="43">
        <f t="shared" ref="K387" si="163">SUM(M387:M391)</f>
        <v>7</v>
      </c>
      <c r="L387" s="28">
        <v>1</v>
      </c>
      <c r="M387" s="33">
        <f t="shared" si="139"/>
        <v>1</v>
      </c>
      <c r="N387" s="1">
        <v>2317941100</v>
      </c>
    </row>
    <row r="388" spans="1:14" ht="18" customHeight="1" x14ac:dyDescent="0.45">
      <c r="A388" s="13">
        <v>382</v>
      </c>
      <c r="B388" s="41" t="str">
        <f t="shared" ref="B388:C391" si="164">B387</f>
        <v>東京本部</v>
      </c>
      <c r="C388" s="41" t="str">
        <f t="shared" si="164"/>
        <v>ラヴィーレグラン四谷</v>
      </c>
      <c r="D388" s="14" t="s">
        <v>4</v>
      </c>
      <c r="E388" s="15">
        <v>1</v>
      </c>
      <c r="F388" s="16">
        <v>2</v>
      </c>
      <c r="G388" s="17">
        <v>2</v>
      </c>
      <c r="H388" s="16">
        <v>1</v>
      </c>
      <c r="I388" s="17">
        <v>1</v>
      </c>
      <c r="J388" s="15">
        <v>3</v>
      </c>
      <c r="K388" s="44">
        <f t="shared" si="142"/>
        <v>7</v>
      </c>
      <c r="L388" s="28">
        <v>0</v>
      </c>
      <c r="M388" s="33">
        <f t="shared" si="139"/>
        <v>0</v>
      </c>
      <c r="N388" s="1">
        <v>2317941100</v>
      </c>
    </row>
    <row r="389" spans="1:14" ht="18" customHeight="1" x14ac:dyDescent="0.45">
      <c r="A389" s="13">
        <v>383</v>
      </c>
      <c r="B389" s="41" t="str">
        <f t="shared" si="164"/>
        <v>東京本部</v>
      </c>
      <c r="C389" s="41" t="str">
        <f t="shared" si="164"/>
        <v>ラヴィーレグラン四谷</v>
      </c>
      <c r="D389" s="14" t="s">
        <v>5</v>
      </c>
      <c r="E389" s="15">
        <v>1</v>
      </c>
      <c r="F389" s="16">
        <v>32</v>
      </c>
      <c r="G389" s="17">
        <v>32</v>
      </c>
      <c r="H389" s="16">
        <v>0</v>
      </c>
      <c r="I389" s="17">
        <v>0</v>
      </c>
      <c r="J389" s="15">
        <v>32</v>
      </c>
      <c r="K389" s="44">
        <f t="shared" si="142"/>
        <v>7</v>
      </c>
      <c r="L389" s="28">
        <v>2</v>
      </c>
      <c r="M389" s="33">
        <f t="shared" si="139"/>
        <v>2</v>
      </c>
      <c r="N389" s="1">
        <v>2317941100</v>
      </c>
    </row>
    <row r="390" spans="1:14" ht="18" customHeight="1" x14ac:dyDescent="0.45">
      <c r="A390" s="13">
        <v>384</v>
      </c>
      <c r="B390" s="41" t="str">
        <f t="shared" si="164"/>
        <v>東京本部</v>
      </c>
      <c r="C390" s="41" t="str">
        <f t="shared" si="164"/>
        <v>ラヴィーレグラン四谷</v>
      </c>
      <c r="D390" s="14" t="s">
        <v>6</v>
      </c>
      <c r="E390" s="15">
        <v>4</v>
      </c>
      <c r="F390" s="16">
        <v>15</v>
      </c>
      <c r="G390" s="17">
        <v>3.8</v>
      </c>
      <c r="H390" s="16">
        <v>0</v>
      </c>
      <c r="I390" s="17">
        <v>0</v>
      </c>
      <c r="J390" s="15">
        <v>15</v>
      </c>
      <c r="K390" s="44">
        <f t="shared" si="142"/>
        <v>7</v>
      </c>
      <c r="L390" s="28">
        <v>2</v>
      </c>
      <c r="M390" s="33">
        <f t="shared" si="139"/>
        <v>2</v>
      </c>
      <c r="N390" s="1">
        <v>2317941100</v>
      </c>
    </row>
    <row r="391" spans="1:14" ht="18" customHeight="1" x14ac:dyDescent="0.45">
      <c r="A391" s="13">
        <v>385</v>
      </c>
      <c r="B391" s="42" t="str">
        <f t="shared" si="164"/>
        <v>東京本部</v>
      </c>
      <c r="C391" s="42" t="str">
        <f t="shared" si="164"/>
        <v>ラヴィーレグラン四谷</v>
      </c>
      <c r="D391" s="14" t="s">
        <v>2</v>
      </c>
      <c r="E391" s="15">
        <v>1</v>
      </c>
      <c r="F391" s="16">
        <v>15</v>
      </c>
      <c r="G391" s="17">
        <v>15</v>
      </c>
      <c r="H391" s="16">
        <v>0</v>
      </c>
      <c r="I391" s="17">
        <v>0</v>
      </c>
      <c r="J391" s="15">
        <v>15</v>
      </c>
      <c r="K391" s="45">
        <f t="shared" si="142"/>
        <v>7</v>
      </c>
      <c r="L391" s="28">
        <v>2</v>
      </c>
      <c r="M391" s="33">
        <f t="shared" si="139"/>
        <v>2</v>
      </c>
      <c r="N391" s="1">
        <v>2317941100</v>
      </c>
    </row>
    <row r="392" spans="1:14" ht="18" customHeight="1" x14ac:dyDescent="0.45">
      <c r="A392" s="8">
        <v>386</v>
      </c>
      <c r="B392" s="34" t="s">
        <v>8</v>
      </c>
      <c r="C392" s="34" t="s">
        <v>226</v>
      </c>
      <c r="D392" s="9" t="s">
        <v>3</v>
      </c>
      <c r="E392" s="10">
        <v>1</v>
      </c>
      <c r="F392" s="11">
        <v>4</v>
      </c>
      <c r="G392" s="12">
        <v>4</v>
      </c>
      <c r="H392" s="11">
        <v>0</v>
      </c>
      <c r="I392" s="12">
        <v>0</v>
      </c>
      <c r="J392" s="10">
        <v>4</v>
      </c>
      <c r="K392" s="37">
        <f t="shared" ref="K392" si="165">SUM(M392:M396)</f>
        <v>3</v>
      </c>
      <c r="L392" s="28">
        <v>1</v>
      </c>
      <c r="M392" s="33">
        <f t="shared" ref="M392:M455" si="166">L392</f>
        <v>1</v>
      </c>
      <c r="N392" s="1">
        <v>2317951600</v>
      </c>
    </row>
    <row r="393" spans="1:14" ht="18" customHeight="1" x14ac:dyDescent="0.45">
      <c r="A393" s="8">
        <v>387</v>
      </c>
      <c r="B393" s="35" t="str">
        <f t="shared" ref="B393:C396" si="167">B392</f>
        <v>東京本部</v>
      </c>
      <c r="C393" s="35" t="str">
        <f t="shared" si="167"/>
        <v>ラヴィーレ東池袋</v>
      </c>
      <c r="D393" s="9" t="s">
        <v>4</v>
      </c>
      <c r="E393" s="10">
        <v>1</v>
      </c>
      <c r="F393" s="11">
        <v>5</v>
      </c>
      <c r="G393" s="12">
        <v>5</v>
      </c>
      <c r="H393" s="11">
        <v>0</v>
      </c>
      <c r="I393" s="12">
        <v>0</v>
      </c>
      <c r="J393" s="10">
        <v>5</v>
      </c>
      <c r="K393" s="38">
        <f t="shared" si="142"/>
        <v>3</v>
      </c>
      <c r="L393" s="28">
        <v>1</v>
      </c>
      <c r="M393" s="33">
        <f t="shared" si="166"/>
        <v>1</v>
      </c>
      <c r="N393" s="1">
        <v>2317951600</v>
      </c>
    </row>
    <row r="394" spans="1:14" ht="18" customHeight="1" x14ac:dyDescent="0.45">
      <c r="A394" s="8">
        <v>388</v>
      </c>
      <c r="B394" s="35" t="str">
        <f t="shared" si="167"/>
        <v>東京本部</v>
      </c>
      <c r="C394" s="35" t="str">
        <f t="shared" si="167"/>
        <v>ラヴィーレ東池袋</v>
      </c>
      <c r="D394" s="9" t="s">
        <v>5</v>
      </c>
      <c r="E394" s="10">
        <v>1</v>
      </c>
      <c r="F394" s="11">
        <v>6</v>
      </c>
      <c r="G394" s="12">
        <v>6</v>
      </c>
      <c r="H394" s="11">
        <v>0</v>
      </c>
      <c r="I394" s="12">
        <v>0</v>
      </c>
      <c r="J394" s="10">
        <v>6</v>
      </c>
      <c r="K394" s="38">
        <f t="shared" si="142"/>
        <v>3</v>
      </c>
      <c r="L394" s="28">
        <v>1</v>
      </c>
      <c r="M394" s="33">
        <f t="shared" si="166"/>
        <v>1</v>
      </c>
      <c r="N394" s="1">
        <v>2317951600</v>
      </c>
    </row>
    <row r="395" spans="1:14" ht="18" customHeight="1" x14ac:dyDescent="0.45">
      <c r="A395" s="8">
        <v>389</v>
      </c>
      <c r="B395" s="35" t="str">
        <f t="shared" si="167"/>
        <v>東京本部</v>
      </c>
      <c r="C395" s="35" t="str">
        <f t="shared" si="167"/>
        <v>ラヴィーレ東池袋</v>
      </c>
      <c r="D395" s="9" t="s">
        <v>6</v>
      </c>
      <c r="E395" s="10">
        <v>3</v>
      </c>
      <c r="F395" s="11">
        <v>0</v>
      </c>
      <c r="G395" s="12">
        <v>0</v>
      </c>
      <c r="H395" s="11">
        <v>0</v>
      </c>
      <c r="I395" s="12">
        <v>0</v>
      </c>
      <c r="J395" s="10">
        <v>0</v>
      </c>
      <c r="K395" s="38">
        <f t="shared" si="142"/>
        <v>3</v>
      </c>
      <c r="L395" s="28">
        <v>0</v>
      </c>
      <c r="M395" s="33">
        <f t="shared" si="166"/>
        <v>0</v>
      </c>
      <c r="N395" s="1">
        <v>2317951600</v>
      </c>
    </row>
    <row r="396" spans="1:14" ht="18" customHeight="1" x14ac:dyDescent="0.45">
      <c r="A396" s="8">
        <v>390</v>
      </c>
      <c r="B396" s="36" t="str">
        <f t="shared" si="167"/>
        <v>東京本部</v>
      </c>
      <c r="C396" s="36" t="str">
        <f t="shared" si="167"/>
        <v>ラヴィーレ東池袋</v>
      </c>
      <c r="D396" s="9" t="s">
        <v>2</v>
      </c>
      <c r="E396" s="10">
        <v>1</v>
      </c>
      <c r="F396" s="11">
        <v>3</v>
      </c>
      <c r="G396" s="12">
        <v>3</v>
      </c>
      <c r="H396" s="11">
        <v>0</v>
      </c>
      <c r="I396" s="12">
        <v>0</v>
      </c>
      <c r="J396" s="10">
        <v>3</v>
      </c>
      <c r="K396" s="39">
        <f t="shared" si="142"/>
        <v>3</v>
      </c>
      <c r="L396" s="28">
        <v>0</v>
      </c>
      <c r="M396" s="33">
        <f t="shared" si="166"/>
        <v>0</v>
      </c>
      <c r="N396" s="1">
        <v>2317951600</v>
      </c>
    </row>
    <row r="397" spans="1:14" ht="18" customHeight="1" x14ac:dyDescent="0.45">
      <c r="A397" s="13">
        <v>391</v>
      </c>
      <c r="B397" s="40" t="s">
        <v>8</v>
      </c>
      <c r="C397" s="40" t="s">
        <v>172</v>
      </c>
      <c r="D397" s="14" t="s">
        <v>3</v>
      </c>
      <c r="E397" s="15">
        <v>1</v>
      </c>
      <c r="F397" s="16">
        <v>0</v>
      </c>
      <c r="G397" s="17">
        <v>0</v>
      </c>
      <c r="H397" s="16">
        <v>0</v>
      </c>
      <c r="I397" s="17">
        <v>0</v>
      </c>
      <c r="J397" s="15">
        <v>0</v>
      </c>
      <c r="K397" s="43">
        <f t="shared" ref="K397" si="168">SUM(M397:M401)</f>
        <v>4</v>
      </c>
      <c r="L397" s="28">
        <v>0</v>
      </c>
      <c r="M397" s="33">
        <f t="shared" si="166"/>
        <v>0</v>
      </c>
      <c r="N397" s="1">
        <v>2318281100</v>
      </c>
    </row>
    <row r="398" spans="1:14" ht="18" customHeight="1" x14ac:dyDescent="0.45">
      <c r="A398" s="13">
        <v>392</v>
      </c>
      <c r="B398" s="41" t="str">
        <f t="shared" ref="B398:C401" si="169">B397</f>
        <v>東京本部</v>
      </c>
      <c r="C398" s="41" t="str">
        <f t="shared" si="169"/>
        <v>そんぽの家　練馬</v>
      </c>
      <c r="D398" s="14" t="s">
        <v>4</v>
      </c>
      <c r="E398" s="15">
        <v>1</v>
      </c>
      <c r="F398" s="16">
        <v>8</v>
      </c>
      <c r="G398" s="17">
        <v>8</v>
      </c>
      <c r="H398" s="16">
        <v>0</v>
      </c>
      <c r="I398" s="17">
        <v>0</v>
      </c>
      <c r="J398" s="15">
        <v>8</v>
      </c>
      <c r="K398" s="44">
        <f t="shared" ref="K398:K461" si="170">K397</f>
        <v>4</v>
      </c>
      <c r="L398" s="28">
        <v>2</v>
      </c>
      <c r="M398" s="33">
        <f t="shared" si="166"/>
        <v>2</v>
      </c>
      <c r="N398" s="1">
        <v>2318281100</v>
      </c>
    </row>
    <row r="399" spans="1:14" ht="18" customHeight="1" x14ac:dyDescent="0.45">
      <c r="A399" s="13">
        <v>393</v>
      </c>
      <c r="B399" s="41" t="str">
        <f t="shared" si="169"/>
        <v>東京本部</v>
      </c>
      <c r="C399" s="41" t="str">
        <f t="shared" si="169"/>
        <v>そんぽの家　練馬</v>
      </c>
      <c r="D399" s="14" t="s">
        <v>5</v>
      </c>
      <c r="E399" s="15">
        <v>1</v>
      </c>
      <c r="F399" s="16">
        <v>0</v>
      </c>
      <c r="G399" s="17">
        <v>0</v>
      </c>
      <c r="H399" s="16">
        <v>0</v>
      </c>
      <c r="I399" s="17">
        <v>0</v>
      </c>
      <c r="J399" s="15">
        <v>0</v>
      </c>
      <c r="K399" s="44">
        <f t="shared" si="170"/>
        <v>4</v>
      </c>
      <c r="L399" s="28">
        <v>0</v>
      </c>
      <c r="M399" s="33">
        <f t="shared" si="166"/>
        <v>0</v>
      </c>
      <c r="N399" s="1">
        <v>2318281100</v>
      </c>
    </row>
    <row r="400" spans="1:14" ht="18" customHeight="1" x14ac:dyDescent="0.45">
      <c r="A400" s="13">
        <v>394</v>
      </c>
      <c r="B400" s="41" t="str">
        <f t="shared" si="169"/>
        <v>東京本部</v>
      </c>
      <c r="C400" s="41" t="str">
        <f t="shared" si="169"/>
        <v>そんぽの家　練馬</v>
      </c>
      <c r="D400" s="14" t="s">
        <v>6</v>
      </c>
      <c r="E400" s="15">
        <v>10</v>
      </c>
      <c r="F400" s="16">
        <v>0</v>
      </c>
      <c r="G400" s="17">
        <v>0</v>
      </c>
      <c r="H400" s="16">
        <v>0</v>
      </c>
      <c r="I400" s="17">
        <v>0</v>
      </c>
      <c r="J400" s="15">
        <v>0</v>
      </c>
      <c r="K400" s="44">
        <f t="shared" si="170"/>
        <v>4</v>
      </c>
      <c r="L400" s="28">
        <v>0</v>
      </c>
      <c r="M400" s="33">
        <f t="shared" si="166"/>
        <v>0</v>
      </c>
      <c r="N400" s="1">
        <v>2318281100</v>
      </c>
    </row>
    <row r="401" spans="1:14" ht="18" customHeight="1" x14ac:dyDescent="0.45">
      <c r="A401" s="13">
        <v>395</v>
      </c>
      <c r="B401" s="42" t="str">
        <f t="shared" si="169"/>
        <v>東京本部</v>
      </c>
      <c r="C401" s="42" t="str">
        <f t="shared" si="169"/>
        <v>そんぽの家　練馬</v>
      </c>
      <c r="D401" s="14" t="s">
        <v>2</v>
      </c>
      <c r="E401" s="15">
        <v>2</v>
      </c>
      <c r="F401" s="16">
        <v>14</v>
      </c>
      <c r="G401" s="17">
        <v>7</v>
      </c>
      <c r="H401" s="16">
        <v>0</v>
      </c>
      <c r="I401" s="17">
        <v>0</v>
      </c>
      <c r="J401" s="15">
        <v>14</v>
      </c>
      <c r="K401" s="45">
        <f t="shared" si="170"/>
        <v>4</v>
      </c>
      <c r="L401" s="28">
        <v>2</v>
      </c>
      <c r="M401" s="33">
        <f t="shared" si="166"/>
        <v>2</v>
      </c>
      <c r="N401" s="1">
        <v>2318281100</v>
      </c>
    </row>
    <row r="402" spans="1:14" ht="18" customHeight="1" x14ac:dyDescent="0.45">
      <c r="A402" s="8">
        <v>396</v>
      </c>
      <c r="B402" s="34" t="s">
        <v>8</v>
      </c>
      <c r="C402" s="34" t="s">
        <v>227</v>
      </c>
      <c r="D402" s="9" t="s">
        <v>3</v>
      </c>
      <c r="E402" s="10">
        <v>1</v>
      </c>
      <c r="F402" s="11">
        <v>4</v>
      </c>
      <c r="G402" s="12">
        <v>4</v>
      </c>
      <c r="H402" s="11">
        <v>1</v>
      </c>
      <c r="I402" s="12">
        <v>1</v>
      </c>
      <c r="J402" s="10">
        <v>5</v>
      </c>
      <c r="K402" s="37">
        <f t="shared" ref="K402" si="171">SUM(M402:M406)</f>
        <v>4</v>
      </c>
      <c r="L402" s="28">
        <v>1</v>
      </c>
      <c r="M402" s="33">
        <f t="shared" si="166"/>
        <v>1</v>
      </c>
      <c r="N402" s="1">
        <v>2318301100</v>
      </c>
    </row>
    <row r="403" spans="1:14" ht="18" customHeight="1" x14ac:dyDescent="0.45">
      <c r="A403" s="8">
        <v>397</v>
      </c>
      <c r="B403" s="35" t="str">
        <f t="shared" ref="B403:C406" si="172">B402</f>
        <v>東京本部</v>
      </c>
      <c r="C403" s="35" t="str">
        <f t="shared" si="172"/>
        <v>ラヴィーレ本郷</v>
      </c>
      <c r="D403" s="9" t="s">
        <v>4</v>
      </c>
      <c r="E403" s="10">
        <v>1</v>
      </c>
      <c r="F403" s="11">
        <v>0</v>
      </c>
      <c r="G403" s="12">
        <v>0</v>
      </c>
      <c r="H403" s="11">
        <v>0</v>
      </c>
      <c r="I403" s="12">
        <v>0</v>
      </c>
      <c r="J403" s="10">
        <v>0</v>
      </c>
      <c r="K403" s="38">
        <f t="shared" si="170"/>
        <v>4</v>
      </c>
      <c r="L403" s="28">
        <v>0</v>
      </c>
      <c r="M403" s="33">
        <f t="shared" si="166"/>
        <v>0</v>
      </c>
      <c r="N403" s="1">
        <v>2318301100</v>
      </c>
    </row>
    <row r="404" spans="1:14" ht="18" customHeight="1" x14ac:dyDescent="0.45">
      <c r="A404" s="8">
        <v>398</v>
      </c>
      <c r="B404" s="35" t="str">
        <f t="shared" si="172"/>
        <v>東京本部</v>
      </c>
      <c r="C404" s="35" t="str">
        <f t="shared" si="172"/>
        <v>ラヴィーレ本郷</v>
      </c>
      <c r="D404" s="9" t="s">
        <v>5</v>
      </c>
      <c r="E404" s="10">
        <v>2</v>
      </c>
      <c r="F404" s="11">
        <v>8</v>
      </c>
      <c r="G404" s="12">
        <v>4</v>
      </c>
      <c r="H404" s="11">
        <v>0</v>
      </c>
      <c r="I404" s="12">
        <v>0</v>
      </c>
      <c r="J404" s="10">
        <v>8</v>
      </c>
      <c r="K404" s="38">
        <f t="shared" si="170"/>
        <v>4</v>
      </c>
      <c r="L404" s="28">
        <v>2</v>
      </c>
      <c r="M404" s="33">
        <f t="shared" si="166"/>
        <v>2</v>
      </c>
      <c r="N404" s="1">
        <v>2318301100</v>
      </c>
    </row>
    <row r="405" spans="1:14" ht="18" customHeight="1" x14ac:dyDescent="0.45">
      <c r="A405" s="8">
        <v>399</v>
      </c>
      <c r="B405" s="35" t="str">
        <f t="shared" si="172"/>
        <v>東京本部</v>
      </c>
      <c r="C405" s="35" t="str">
        <f t="shared" si="172"/>
        <v>ラヴィーレ本郷</v>
      </c>
      <c r="D405" s="9" t="s">
        <v>6</v>
      </c>
      <c r="E405" s="10">
        <v>9</v>
      </c>
      <c r="F405" s="11">
        <v>0</v>
      </c>
      <c r="G405" s="12">
        <v>0</v>
      </c>
      <c r="H405" s="11">
        <v>0</v>
      </c>
      <c r="I405" s="12">
        <v>0</v>
      </c>
      <c r="J405" s="10">
        <v>0</v>
      </c>
      <c r="K405" s="38">
        <f t="shared" si="170"/>
        <v>4</v>
      </c>
      <c r="L405" s="28">
        <v>0</v>
      </c>
      <c r="M405" s="33">
        <f t="shared" si="166"/>
        <v>0</v>
      </c>
      <c r="N405" s="1">
        <v>2318301100</v>
      </c>
    </row>
    <row r="406" spans="1:14" ht="18" customHeight="1" x14ac:dyDescent="0.45">
      <c r="A406" s="8">
        <v>400</v>
      </c>
      <c r="B406" s="36" t="str">
        <f t="shared" si="172"/>
        <v>東京本部</v>
      </c>
      <c r="C406" s="36" t="str">
        <f t="shared" si="172"/>
        <v>ラヴィーレ本郷</v>
      </c>
      <c r="D406" s="9" t="s">
        <v>2</v>
      </c>
      <c r="E406" s="10">
        <v>3</v>
      </c>
      <c r="F406" s="11">
        <v>4</v>
      </c>
      <c r="G406" s="12">
        <v>1.3</v>
      </c>
      <c r="H406" s="11">
        <v>0</v>
      </c>
      <c r="I406" s="12">
        <v>0</v>
      </c>
      <c r="J406" s="10">
        <v>4</v>
      </c>
      <c r="K406" s="39">
        <f t="shared" si="170"/>
        <v>4</v>
      </c>
      <c r="L406" s="28">
        <v>1</v>
      </c>
      <c r="M406" s="33">
        <f t="shared" si="166"/>
        <v>1</v>
      </c>
      <c r="N406" s="1">
        <v>2318301100</v>
      </c>
    </row>
    <row r="407" spans="1:14" ht="18" customHeight="1" x14ac:dyDescent="0.45">
      <c r="A407" s="13">
        <v>401</v>
      </c>
      <c r="B407" s="40" t="s">
        <v>8</v>
      </c>
      <c r="C407" s="40" t="s">
        <v>447</v>
      </c>
      <c r="D407" s="14" t="s">
        <v>3</v>
      </c>
      <c r="E407" s="15">
        <v>1</v>
      </c>
      <c r="F407" s="16">
        <v>0</v>
      </c>
      <c r="G407" s="17">
        <v>0</v>
      </c>
      <c r="H407" s="16">
        <v>0</v>
      </c>
      <c r="I407" s="17">
        <v>0</v>
      </c>
      <c r="J407" s="15">
        <v>0</v>
      </c>
      <c r="K407" s="43">
        <f t="shared" ref="K407" si="173">SUM(M407:M411)</f>
        <v>0</v>
      </c>
      <c r="L407" s="28">
        <v>0</v>
      </c>
      <c r="M407" s="33">
        <f t="shared" si="166"/>
        <v>0</v>
      </c>
      <c r="N407" s="1">
        <v>2318481100</v>
      </c>
    </row>
    <row r="408" spans="1:14" ht="18" customHeight="1" x14ac:dyDescent="0.45">
      <c r="A408" s="13">
        <v>402</v>
      </c>
      <c r="B408" s="41" t="str">
        <f t="shared" ref="B408:C411" si="174">B407</f>
        <v>東京本部</v>
      </c>
      <c r="C408" s="41" t="str">
        <f t="shared" si="174"/>
        <v>ラヴィーレ洗足池</v>
      </c>
      <c r="D408" s="14" t="s">
        <v>4</v>
      </c>
      <c r="E408" s="15">
        <v>0</v>
      </c>
      <c r="F408" s="16">
        <v>0</v>
      </c>
      <c r="G408" s="17">
        <v>0</v>
      </c>
      <c r="H408" s="16">
        <v>0</v>
      </c>
      <c r="I408" s="17">
        <v>0</v>
      </c>
      <c r="J408" s="15">
        <v>0</v>
      </c>
      <c r="K408" s="44">
        <f t="shared" si="170"/>
        <v>0</v>
      </c>
      <c r="L408" s="28">
        <v>0</v>
      </c>
      <c r="M408" s="33">
        <f t="shared" si="166"/>
        <v>0</v>
      </c>
      <c r="N408" s="1">
        <v>2318481100</v>
      </c>
    </row>
    <row r="409" spans="1:14" ht="18" customHeight="1" x14ac:dyDescent="0.45">
      <c r="A409" s="13">
        <v>403</v>
      </c>
      <c r="B409" s="41" t="str">
        <f t="shared" si="174"/>
        <v>東京本部</v>
      </c>
      <c r="C409" s="41" t="str">
        <f t="shared" si="174"/>
        <v>ラヴィーレ洗足池</v>
      </c>
      <c r="D409" s="14" t="s">
        <v>5</v>
      </c>
      <c r="E409" s="15">
        <v>0</v>
      </c>
      <c r="F409" s="16">
        <v>0</v>
      </c>
      <c r="G409" s="17">
        <v>0</v>
      </c>
      <c r="H409" s="16">
        <v>0</v>
      </c>
      <c r="I409" s="17">
        <v>0</v>
      </c>
      <c r="J409" s="15">
        <v>0</v>
      </c>
      <c r="K409" s="44">
        <f t="shared" si="170"/>
        <v>0</v>
      </c>
      <c r="L409" s="28">
        <v>0</v>
      </c>
      <c r="M409" s="33">
        <f t="shared" si="166"/>
        <v>0</v>
      </c>
      <c r="N409" s="1">
        <v>2318481100</v>
      </c>
    </row>
    <row r="410" spans="1:14" ht="18" customHeight="1" x14ac:dyDescent="0.45">
      <c r="A410" s="13">
        <v>404</v>
      </c>
      <c r="B410" s="41" t="str">
        <f t="shared" si="174"/>
        <v>東京本部</v>
      </c>
      <c r="C410" s="41" t="str">
        <f t="shared" si="174"/>
        <v>ラヴィーレ洗足池</v>
      </c>
      <c r="D410" s="14" t="s">
        <v>6</v>
      </c>
      <c r="E410" s="15">
        <v>0</v>
      </c>
      <c r="F410" s="16">
        <v>0</v>
      </c>
      <c r="G410" s="17">
        <v>0</v>
      </c>
      <c r="H410" s="16">
        <v>0</v>
      </c>
      <c r="I410" s="17">
        <v>0</v>
      </c>
      <c r="J410" s="15">
        <v>0</v>
      </c>
      <c r="K410" s="44">
        <f t="shared" si="170"/>
        <v>0</v>
      </c>
      <c r="L410" s="28">
        <v>0</v>
      </c>
      <c r="M410" s="33">
        <f t="shared" si="166"/>
        <v>0</v>
      </c>
      <c r="N410" s="1">
        <v>2318481100</v>
      </c>
    </row>
    <row r="411" spans="1:14" ht="18" customHeight="1" x14ac:dyDescent="0.45">
      <c r="A411" s="13">
        <v>405</v>
      </c>
      <c r="B411" s="42" t="str">
        <f t="shared" si="174"/>
        <v>東京本部</v>
      </c>
      <c r="C411" s="42" t="str">
        <f t="shared" si="174"/>
        <v>ラヴィーレ洗足池</v>
      </c>
      <c r="D411" s="14" t="s">
        <v>2</v>
      </c>
      <c r="E411" s="15">
        <v>0</v>
      </c>
      <c r="F411" s="16">
        <v>0</v>
      </c>
      <c r="G411" s="17">
        <v>0</v>
      </c>
      <c r="H411" s="16">
        <v>0</v>
      </c>
      <c r="I411" s="17">
        <v>0</v>
      </c>
      <c r="J411" s="15">
        <v>0</v>
      </c>
      <c r="K411" s="45">
        <f t="shared" si="170"/>
        <v>0</v>
      </c>
      <c r="L411" s="28">
        <v>0</v>
      </c>
      <c r="M411" s="33">
        <f t="shared" si="166"/>
        <v>0</v>
      </c>
      <c r="N411" s="1">
        <v>2318481100</v>
      </c>
    </row>
    <row r="412" spans="1:14" ht="18" customHeight="1" x14ac:dyDescent="0.45">
      <c r="A412" s="8">
        <v>406</v>
      </c>
      <c r="B412" s="34" t="s">
        <v>48</v>
      </c>
      <c r="C412" s="34" t="s">
        <v>228</v>
      </c>
      <c r="D412" s="9" t="s">
        <v>3</v>
      </c>
      <c r="E412" s="10">
        <v>1</v>
      </c>
      <c r="F412" s="11">
        <v>4</v>
      </c>
      <c r="G412" s="12">
        <v>4</v>
      </c>
      <c r="H412" s="11">
        <v>0</v>
      </c>
      <c r="I412" s="12">
        <v>0</v>
      </c>
      <c r="J412" s="10">
        <v>4</v>
      </c>
      <c r="K412" s="37">
        <f t="shared" ref="K412" si="175">SUM(M412:M416)</f>
        <v>5</v>
      </c>
      <c r="L412" s="28">
        <v>1</v>
      </c>
      <c r="M412" s="33">
        <f t="shared" si="166"/>
        <v>1</v>
      </c>
      <c r="N412" s="1">
        <v>2414621100</v>
      </c>
    </row>
    <row r="413" spans="1:14" ht="18" customHeight="1" x14ac:dyDescent="0.45">
      <c r="A413" s="8">
        <v>407</v>
      </c>
      <c r="B413" s="35" t="str">
        <f t="shared" ref="B413:C416" si="176">B412</f>
        <v>神奈川静岡本部</v>
      </c>
      <c r="C413" s="35" t="str">
        <f t="shared" si="176"/>
        <v>ラヴィーレ戸塚</v>
      </c>
      <c r="D413" s="9" t="s">
        <v>4</v>
      </c>
      <c r="E413" s="10">
        <v>2</v>
      </c>
      <c r="F413" s="11">
        <v>32</v>
      </c>
      <c r="G413" s="12">
        <v>16</v>
      </c>
      <c r="H413" s="11">
        <v>21</v>
      </c>
      <c r="I413" s="12">
        <v>10.5</v>
      </c>
      <c r="J413" s="10">
        <v>53</v>
      </c>
      <c r="K413" s="38">
        <f t="shared" si="170"/>
        <v>5</v>
      </c>
      <c r="L413" s="28">
        <v>2</v>
      </c>
      <c r="M413" s="33">
        <f t="shared" si="166"/>
        <v>2</v>
      </c>
      <c r="N413" s="1">
        <v>2414621100</v>
      </c>
    </row>
    <row r="414" spans="1:14" ht="18" customHeight="1" x14ac:dyDescent="0.45">
      <c r="A414" s="8">
        <v>408</v>
      </c>
      <c r="B414" s="35" t="str">
        <f t="shared" si="176"/>
        <v>神奈川静岡本部</v>
      </c>
      <c r="C414" s="35" t="str">
        <f t="shared" si="176"/>
        <v>ラヴィーレ戸塚</v>
      </c>
      <c r="D414" s="9" t="s">
        <v>5</v>
      </c>
      <c r="E414" s="10">
        <v>2</v>
      </c>
      <c r="F414" s="11">
        <v>19</v>
      </c>
      <c r="G414" s="12">
        <v>9.5</v>
      </c>
      <c r="H414" s="11">
        <v>0</v>
      </c>
      <c r="I414" s="12">
        <v>0</v>
      </c>
      <c r="J414" s="10">
        <v>19</v>
      </c>
      <c r="K414" s="38">
        <f t="shared" si="170"/>
        <v>5</v>
      </c>
      <c r="L414" s="28">
        <v>2</v>
      </c>
      <c r="M414" s="33">
        <f t="shared" si="166"/>
        <v>2</v>
      </c>
      <c r="N414" s="1">
        <v>2414621100</v>
      </c>
    </row>
    <row r="415" spans="1:14" ht="18" customHeight="1" x14ac:dyDescent="0.45">
      <c r="A415" s="8">
        <v>409</v>
      </c>
      <c r="B415" s="35" t="str">
        <f t="shared" si="176"/>
        <v>神奈川静岡本部</v>
      </c>
      <c r="C415" s="35" t="str">
        <f t="shared" si="176"/>
        <v>ラヴィーレ戸塚</v>
      </c>
      <c r="D415" s="9" t="s">
        <v>6</v>
      </c>
      <c r="E415" s="10">
        <v>4</v>
      </c>
      <c r="F415" s="11">
        <v>0</v>
      </c>
      <c r="G415" s="12">
        <v>0</v>
      </c>
      <c r="H415" s="11">
        <v>0</v>
      </c>
      <c r="I415" s="12">
        <v>0</v>
      </c>
      <c r="J415" s="10">
        <v>0</v>
      </c>
      <c r="K415" s="38">
        <f t="shared" si="170"/>
        <v>5</v>
      </c>
      <c r="L415" s="28">
        <v>0</v>
      </c>
      <c r="M415" s="33">
        <f t="shared" si="166"/>
        <v>0</v>
      </c>
      <c r="N415" s="1">
        <v>2414621100</v>
      </c>
    </row>
    <row r="416" spans="1:14" ht="18" customHeight="1" x14ac:dyDescent="0.45">
      <c r="A416" s="8">
        <v>410</v>
      </c>
      <c r="B416" s="36" t="str">
        <f t="shared" si="176"/>
        <v>神奈川静岡本部</v>
      </c>
      <c r="C416" s="36" t="str">
        <f t="shared" si="176"/>
        <v>ラヴィーレ戸塚</v>
      </c>
      <c r="D416" s="9" t="s">
        <v>2</v>
      </c>
      <c r="E416" s="10">
        <v>1</v>
      </c>
      <c r="F416" s="11">
        <v>2</v>
      </c>
      <c r="G416" s="12">
        <v>2</v>
      </c>
      <c r="H416" s="11">
        <v>0</v>
      </c>
      <c r="I416" s="12">
        <v>0</v>
      </c>
      <c r="J416" s="10">
        <v>2</v>
      </c>
      <c r="K416" s="39">
        <f t="shared" si="170"/>
        <v>5</v>
      </c>
      <c r="L416" s="28">
        <v>0</v>
      </c>
      <c r="M416" s="33">
        <f t="shared" si="166"/>
        <v>0</v>
      </c>
      <c r="N416" s="1">
        <v>2414621100</v>
      </c>
    </row>
    <row r="417" spans="1:14" ht="18" customHeight="1" x14ac:dyDescent="0.45">
      <c r="A417" s="13">
        <v>411</v>
      </c>
      <c r="B417" s="40" t="s">
        <v>48</v>
      </c>
      <c r="C417" s="40" t="s">
        <v>229</v>
      </c>
      <c r="D417" s="14" t="s">
        <v>3</v>
      </c>
      <c r="E417" s="15">
        <v>1</v>
      </c>
      <c r="F417" s="16">
        <v>17</v>
      </c>
      <c r="G417" s="17">
        <v>17</v>
      </c>
      <c r="H417" s="16">
        <v>1</v>
      </c>
      <c r="I417" s="17">
        <v>1</v>
      </c>
      <c r="J417" s="15">
        <v>18</v>
      </c>
      <c r="K417" s="43">
        <f t="shared" ref="K417" si="177">SUM(M417:M421)</f>
        <v>7</v>
      </c>
      <c r="L417" s="28">
        <v>2</v>
      </c>
      <c r="M417" s="33">
        <f t="shared" si="166"/>
        <v>2</v>
      </c>
      <c r="N417" s="1">
        <v>2414641100</v>
      </c>
    </row>
    <row r="418" spans="1:14" ht="18" customHeight="1" x14ac:dyDescent="0.45">
      <c r="A418" s="13">
        <v>412</v>
      </c>
      <c r="B418" s="41" t="str">
        <f t="shared" ref="B418:C421" si="178">B417</f>
        <v>神奈川静岡本部</v>
      </c>
      <c r="C418" s="41" t="str">
        <f t="shared" si="178"/>
        <v>ラヴィーレ横浜弥生台</v>
      </c>
      <c r="D418" s="14" t="s">
        <v>4</v>
      </c>
      <c r="E418" s="15">
        <v>1</v>
      </c>
      <c r="F418" s="16">
        <v>4</v>
      </c>
      <c r="G418" s="17">
        <v>4</v>
      </c>
      <c r="H418" s="16">
        <v>2</v>
      </c>
      <c r="I418" s="17">
        <v>2</v>
      </c>
      <c r="J418" s="15">
        <v>6</v>
      </c>
      <c r="K418" s="44">
        <f t="shared" si="170"/>
        <v>7</v>
      </c>
      <c r="L418" s="28">
        <v>1</v>
      </c>
      <c r="M418" s="33">
        <f t="shared" si="166"/>
        <v>1</v>
      </c>
      <c r="N418" s="1">
        <v>2414641100</v>
      </c>
    </row>
    <row r="419" spans="1:14" ht="18" customHeight="1" x14ac:dyDescent="0.45">
      <c r="A419" s="13">
        <v>413</v>
      </c>
      <c r="B419" s="41" t="str">
        <f t="shared" si="178"/>
        <v>神奈川静岡本部</v>
      </c>
      <c r="C419" s="41" t="str">
        <f t="shared" si="178"/>
        <v>ラヴィーレ横浜弥生台</v>
      </c>
      <c r="D419" s="14" t="s">
        <v>5</v>
      </c>
      <c r="E419" s="15">
        <v>1</v>
      </c>
      <c r="F419" s="16">
        <v>14</v>
      </c>
      <c r="G419" s="17">
        <v>14</v>
      </c>
      <c r="H419" s="16">
        <v>0</v>
      </c>
      <c r="I419" s="17">
        <v>0</v>
      </c>
      <c r="J419" s="15">
        <v>14</v>
      </c>
      <c r="K419" s="44">
        <f t="shared" si="170"/>
        <v>7</v>
      </c>
      <c r="L419" s="28">
        <v>2</v>
      </c>
      <c r="M419" s="33">
        <f t="shared" si="166"/>
        <v>2</v>
      </c>
      <c r="N419" s="1">
        <v>2414641100</v>
      </c>
    </row>
    <row r="420" spans="1:14" ht="18" customHeight="1" x14ac:dyDescent="0.45">
      <c r="A420" s="13">
        <v>414</v>
      </c>
      <c r="B420" s="41" t="str">
        <f t="shared" si="178"/>
        <v>神奈川静岡本部</v>
      </c>
      <c r="C420" s="41" t="str">
        <f t="shared" si="178"/>
        <v>ラヴィーレ横浜弥生台</v>
      </c>
      <c r="D420" s="14" t="s">
        <v>6</v>
      </c>
      <c r="E420" s="15">
        <v>6</v>
      </c>
      <c r="F420" s="16">
        <v>36</v>
      </c>
      <c r="G420" s="17">
        <v>6</v>
      </c>
      <c r="H420" s="16">
        <v>0</v>
      </c>
      <c r="I420" s="17">
        <v>0</v>
      </c>
      <c r="J420" s="15">
        <v>36</v>
      </c>
      <c r="K420" s="44">
        <f t="shared" si="170"/>
        <v>7</v>
      </c>
      <c r="L420" s="28">
        <v>2</v>
      </c>
      <c r="M420" s="33">
        <f t="shared" si="166"/>
        <v>2</v>
      </c>
      <c r="N420" s="1">
        <v>2414641100</v>
      </c>
    </row>
    <row r="421" spans="1:14" ht="18" customHeight="1" x14ac:dyDescent="0.45">
      <c r="A421" s="13">
        <v>415</v>
      </c>
      <c r="B421" s="42" t="str">
        <f t="shared" si="178"/>
        <v>神奈川静岡本部</v>
      </c>
      <c r="C421" s="42" t="str">
        <f t="shared" si="178"/>
        <v>ラヴィーレ横浜弥生台</v>
      </c>
      <c r="D421" s="14" t="s">
        <v>2</v>
      </c>
      <c r="E421" s="15">
        <v>0</v>
      </c>
      <c r="F421" s="16">
        <v>0</v>
      </c>
      <c r="G421" s="17">
        <v>0</v>
      </c>
      <c r="H421" s="16">
        <v>0</v>
      </c>
      <c r="I421" s="17">
        <v>0</v>
      </c>
      <c r="J421" s="15">
        <v>0</v>
      </c>
      <c r="K421" s="45">
        <f t="shared" si="170"/>
        <v>7</v>
      </c>
      <c r="L421" s="28">
        <v>0</v>
      </c>
      <c r="M421" s="33">
        <f t="shared" si="166"/>
        <v>0</v>
      </c>
      <c r="N421" s="1">
        <v>2414641100</v>
      </c>
    </row>
    <row r="422" spans="1:14" ht="18" customHeight="1" x14ac:dyDescent="0.45">
      <c r="A422" s="8">
        <v>416</v>
      </c>
      <c r="B422" s="34" t="s">
        <v>48</v>
      </c>
      <c r="C422" s="34" t="s">
        <v>230</v>
      </c>
      <c r="D422" s="9" t="s">
        <v>3</v>
      </c>
      <c r="E422" s="10">
        <v>1</v>
      </c>
      <c r="F422" s="11">
        <v>6</v>
      </c>
      <c r="G422" s="12">
        <v>6</v>
      </c>
      <c r="H422" s="11">
        <v>9</v>
      </c>
      <c r="I422" s="12">
        <v>9</v>
      </c>
      <c r="J422" s="10">
        <v>15</v>
      </c>
      <c r="K422" s="37">
        <f t="shared" ref="K422" si="179">SUM(M422:M426)</f>
        <v>4</v>
      </c>
      <c r="L422" s="28">
        <v>2</v>
      </c>
      <c r="M422" s="33">
        <f t="shared" si="166"/>
        <v>2</v>
      </c>
      <c r="N422" s="1">
        <v>2414661100</v>
      </c>
    </row>
    <row r="423" spans="1:14" ht="18" customHeight="1" x14ac:dyDescent="0.45">
      <c r="A423" s="8">
        <v>417</v>
      </c>
      <c r="B423" s="35" t="str">
        <f t="shared" ref="B423:C426" si="180">B422</f>
        <v>神奈川静岡本部</v>
      </c>
      <c r="C423" s="35" t="str">
        <f t="shared" si="180"/>
        <v>ラヴィーレ横浜緑園都市</v>
      </c>
      <c r="D423" s="9" t="s">
        <v>4</v>
      </c>
      <c r="E423" s="10">
        <v>1</v>
      </c>
      <c r="F423" s="11">
        <v>6</v>
      </c>
      <c r="G423" s="12">
        <v>6</v>
      </c>
      <c r="H423" s="11">
        <v>5</v>
      </c>
      <c r="I423" s="12">
        <v>5</v>
      </c>
      <c r="J423" s="10">
        <v>11</v>
      </c>
      <c r="K423" s="38">
        <f t="shared" si="170"/>
        <v>4</v>
      </c>
      <c r="L423" s="28">
        <v>2</v>
      </c>
      <c r="M423" s="33">
        <f t="shared" si="166"/>
        <v>2</v>
      </c>
      <c r="N423" s="1">
        <v>2414661100</v>
      </c>
    </row>
    <row r="424" spans="1:14" ht="18" customHeight="1" x14ac:dyDescent="0.45">
      <c r="A424" s="8">
        <v>418</v>
      </c>
      <c r="B424" s="35" t="str">
        <f t="shared" si="180"/>
        <v>神奈川静岡本部</v>
      </c>
      <c r="C424" s="35" t="str">
        <f t="shared" si="180"/>
        <v>ラヴィーレ横浜緑園都市</v>
      </c>
      <c r="D424" s="9" t="s">
        <v>5</v>
      </c>
      <c r="E424" s="10">
        <v>1</v>
      </c>
      <c r="F424" s="11">
        <v>1</v>
      </c>
      <c r="G424" s="12">
        <v>1</v>
      </c>
      <c r="H424" s="11">
        <v>0</v>
      </c>
      <c r="I424" s="12">
        <v>0</v>
      </c>
      <c r="J424" s="10">
        <v>1</v>
      </c>
      <c r="K424" s="38">
        <f t="shared" si="170"/>
        <v>4</v>
      </c>
      <c r="L424" s="28">
        <v>0</v>
      </c>
      <c r="M424" s="33">
        <f t="shared" si="166"/>
        <v>0</v>
      </c>
      <c r="N424" s="1">
        <v>2414661100</v>
      </c>
    </row>
    <row r="425" spans="1:14" ht="18" customHeight="1" x14ac:dyDescent="0.45">
      <c r="A425" s="8">
        <v>419</v>
      </c>
      <c r="B425" s="35" t="str">
        <f t="shared" si="180"/>
        <v>神奈川静岡本部</v>
      </c>
      <c r="C425" s="35" t="str">
        <f t="shared" si="180"/>
        <v>ラヴィーレ横浜緑園都市</v>
      </c>
      <c r="D425" s="9" t="s">
        <v>6</v>
      </c>
      <c r="E425" s="10">
        <v>4</v>
      </c>
      <c r="F425" s="11">
        <v>1</v>
      </c>
      <c r="G425" s="12">
        <v>0.3</v>
      </c>
      <c r="H425" s="11">
        <v>0</v>
      </c>
      <c r="I425" s="12">
        <v>0</v>
      </c>
      <c r="J425" s="10">
        <v>1</v>
      </c>
      <c r="K425" s="38">
        <f t="shared" si="170"/>
        <v>4</v>
      </c>
      <c r="L425" s="28">
        <v>0</v>
      </c>
      <c r="M425" s="33">
        <f t="shared" si="166"/>
        <v>0</v>
      </c>
      <c r="N425" s="1">
        <v>2414661100</v>
      </c>
    </row>
    <row r="426" spans="1:14" ht="18" customHeight="1" x14ac:dyDescent="0.45">
      <c r="A426" s="8">
        <v>420</v>
      </c>
      <c r="B426" s="36" t="str">
        <f t="shared" si="180"/>
        <v>神奈川静岡本部</v>
      </c>
      <c r="C426" s="36" t="str">
        <f t="shared" si="180"/>
        <v>ラヴィーレ横浜緑園都市</v>
      </c>
      <c r="D426" s="9" t="s">
        <v>2</v>
      </c>
      <c r="E426" s="10">
        <v>1</v>
      </c>
      <c r="F426" s="11">
        <v>0</v>
      </c>
      <c r="G426" s="12">
        <v>0</v>
      </c>
      <c r="H426" s="11">
        <v>0</v>
      </c>
      <c r="I426" s="12">
        <v>0</v>
      </c>
      <c r="J426" s="10">
        <v>0</v>
      </c>
      <c r="K426" s="39">
        <f t="shared" si="170"/>
        <v>4</v>
      </c>
      <c r="L426" s="28">
        <v>0</v>
      </c>
      <c r="M426" s="33">
        <f t="shared" si="166"/>
        <v>0</v>
      </c>
      <c r="N426" s="1">
        <v>2414661100</v>
      </c>
    </row>
    <row r="427" spans="1:14" ht="18" customHeight="1" x14ac:dyDescent="0.45">
      <c r="A427" s="13">
        <v>421</v>
      </c>
      <c r="B427" s="40" t="s">
        <v>48</v>
      </c>
      <c r="C427" s="40" t="s">
        <v>231</v>
      </c>
      <c r="D427" s="14" t="s">
        <v>3</v>
      </c>
      <c r="E427" s="15">
        <v>1</v>
      </c>
      <c r="F427" s="16">
        <v>3</v>
      </c>
      <c r="G427" s="17">
        <v>3</v>
      </c>
      <c r="H427" s="16">
        <v>0</v>
      </c>
      <c r="I427" s="17">
        <v>0</v>
      </c>
      <c r="J427" s="15">
        <v>3</v>
      </c>
      <c r="K427" s="43">
        <f t="shared" ref="K427" si="181">SUM(M427:M431)</f>
        <v>2</v>
      </c>
      <c r="L427" s="28">
        <v>0</v>
      </c>
      <c r="M427" s="33">
        <f t="shared" si="166"/>
        <v>0</v>
      </c>
      <c r="N427" s="1">
        <v>2414681100</v>
      </c>
    </row>
    <row r="428" spans="1:14" ht="18" customHeight="1" x14ac:dyDescent="0.45">
      <c r="A428" s="13">
        <v>422</v>
      </c>
      <c r="B428" s="41" t="str">
        <f t="shared" ref="B428:C431" si="182">B427</f>
        <v>神奈川静岡本部</v>
      </c>
      <c r="C428" s="41" t="str">
        <f t="shared" si="182"/>
        <v>ラヴィーレ横浜洋光台</v>
      </c>
      <c r="D428" s="14" t="s">
        <v>4</v>
      </c>
      <c r="E428" s="15">
        <v>1</v>
      </c>
      <c r="F428" s="16">
        <v>2</v>
      </c>
      <c r="G428" s="17">
        <v>2</v>
      </c>
      <c r="H428" s="16">
        <v>0</v>
      </c>
      <c r="I428" s="17">
        <v>0</v>
      </c>
      <c r="J428" s="15">
        <v>2</v>
      </c>
      <c r="K428" s="44">
        <f t="shared" si="170"/>
        <v>2</v>
      </c>
      <c r="L428" s="28">
        <v>0</v>
      </c>
      <c r="M428" s="33">
        <f t="shared" si="166"/>
        <v>0</v>
      </c>
      <c r="N428" s="1">
        <v>2414681100</v>
      </c>
    </row>
    <row r="429" spans="1:14" ht="18" customHeight="1" x14ac:dyDescent="0.45">
      <c r="A429" s="13">
        <v>423</v>
      </c>
      <c r="B429" s="41" t="str">
        <f t="shared" si="182"/>
        <v>神奈川静岡本部</v>
      </c>
      <c r="C429" s="41" t="str">
        <f t="shared" si="182"/>
        <v>ラヴィーレ横浜洋光台</v>
      </c>
      <c r="D429" s="14" t="s">
        <v>5</v>
      </c>
      <c r="E429" s="15">
        <v>2</v>
      </c>
      <c r="F429" s="16">
        <v>13</v>
      </c>
      <c r="G429" s="17">
        <v>6.5</v>
      </c>
      <c r="H429" s="16">
        <v>0</v>
      </c>
      <c r="I429" s="17">
        <v>0</v>
      </c>
      <c r="J429" s="15">
        <v>13</v>
      </c>
      <c r="K429" s="44">
        <f t="shared" si="170"/>
        <v>2</v>
      </c>
      <c r="L429" s="28">
        <v>2</v>
      </c>
      <c r="M429" s="33">
        <f t="shared" si="166"/>
        <v>2</v>
      </c>
      <c r="N429" s="1">
        <v>2414681100</v>
      </c>
    </row>
    <row r="430" spans="1:14" ht="18" customHeight="1" x14ac:dyDescent="0.45">
      <c r="A430" s="13">
        <v>424</v>
      </c>
      <c r="B430" s="41" t="str">
        <f t="shared" si="182"/>
        <v>神奈川静岡本部</v>
      </c>
      <c r="C430" s="41" t="str">
        <f t="shared" si="182"/>
        <v>ラヴィーレ横浜洋光台</v>
      </c>
      <c r="D430" s="14" t="s">
        <v>6</v>
      </c>
      <c r="E430" s="15">
        <v>5</v>
      </c>
      <c r="F430" s="16">
        <v>0</v>
      </c>
      <c r="G430" s="17">
        <v>0</v>
      </c>
      <c r="H430" s="16">
        <v>0</v>
      </c>
      <c r="I430" s="17">
        <v>0</v>
      </c>
      <c r="J430" s="15">
        <v>0</v>
      </c>
      <c r="K430" s="44">
        <f t="shared" si="170"/>
        <v>2</v>
      </c>
      <c r="L430" s="28">
        <v>0</v>
      </c>
      <c r="M430" s="33">
        <f t="shared" si="166"/>
        <v>0</v>
      </c>
      <c r="N430" s="1">
        <v>2414681100</v>
      </c>
    </row>
    <row r="431" spans="1:14" ht="18" customHeight="1" x14ac:dyDescent="0.45">
      <c r="A431" s="13">
        <v>425</v>
      </c>
      <c r="B431" s="42" t="str">
        <f t="shared" si="182"/>
        <v>神奈川静岡本部</v>
      </c>
      <c r="C431" s="42" t="str">
        <f t="shared" si="182"/>
        <v>ラヴィーレ横浜洋光台</v>
      </c>
      <c r="D431" s="14" t="s">
        <v>2</v>
      </c>
      <c r="E431" s="15">
        <v>1</v>
      </c>
      <c r="F431" s="16">
        <v>0</v>
      </c>
      <c r="G431" s="17">
        <v>0</v>
      </c>
      <c r="H431" s="16">
        <v>0</v>
      </c>
      <c r="I431" s="17">
        <v>0</v>
      </c>
      <c r="J431" s="15">
        <v>0</v>
      </c>
      <c r="K431" s="45">
        <f t="shared" si="170"/>
        <v>2</v>
      </c>
      <c r="L431" s="28">
        <v>0</v>
      </c>
      <c r="M431" s="33">
        <f t="shared" si="166"/>
        <v>0</v>
      </c>
      <c r="N431" s="1">
        <v>2414681100</v>
      </c>
    </row>
    <row r="432" spans="1:14" ht="18" customHeight="1" x14ac:dyDescent="0.45">
      <c r="A432" s="8">
        <v>426</v>
      </c>
      <c r="B432" s="34" t="s">
        <v>48</v>
      </c>
      <c r="C432" s="34" t="s">
        <v>232</v>
      </c>
      <c r="D432" s="9" t="s">
        <v>3</v>
      </c>
      <c r="E432" s="10">
        <v>1</v>
      </c>
      <c r="F432" s="11">
        <v>18</v>
      </c>
      <c r="G432" s="12">
        <v>18</v>
      </c>
      <c r="H432" s="11">
        <v>7</v>
      </c>
      <c r="I432" s="12">
        <v>7</v>
      </c>
      <c r="J432" s="10">
        <v>25</v>
      </c>
      <c r="K432" s="37">
        <f t="shared" ref="K432" si="183">SUM(M432:M436)</f>
        <v>7</v>
      </c>
      <c r="L432" s="28">
        <v>2</v>
      </c>
      <c r="M432" s="33">
        <f t="shared" si="166"/>
        <v>2</v>
      </c>
      <c r="N432" s="1">
        <v>2414701100</v>
      </c>
    </row>
    <row r="433" spans="1:14" ht="18" customHeight="1" x14ac:dyDescent="0.45">
      <c r="A433" s="8">
        <v>427</v>
      </c>
      <c r="B433" s="35" t="str">
        <f t="shared" ref="B433:C436" si="184">B432</f>
        <v>神奈川静岡本部</v>
      </c>
      <c r="C433" s="35" t="str">
        <f t="shared" si="184"/>
        <v>ラヴィーレ金沢八景</v>
      </c>
      <c r="D433" s="9" t="s">
        <v>4</v>
      </c>
      <c r="E433" s="10">
        <v>1</v>
      </c>
      <c r="F433" s="11">
        <v>17</v>
      </c>
      <c r="G433" s="12">
        <v>17</v>
      </c>
      <c r="H433" s="11">
        <v>4</v>
      </c>
      <c r="I433" s="12">
        <v>4</v>
      </c>
      <c r="J433" s="10">
        <v>21</v>
      </c>
      <c r="K433" s="38">
        <f t="shared" si="170"/>
        <v>7</v>
      </c>
      <c r="L433" s="28">
        <v>2</v>
      </c>
      <c r="M433" s="33">
        <f t="shared" si="166"/>
        <v>2</v>
      </c>
      <c r="N433" s="1">
        <v>2414701100</v>
      </c>
    </row>
    <row r="434" spans="1:14" ht="18" customHeight="1" x14ac:dyDescent="0.45">
      <c r="A434" s="8">
        <v>428</v>
      </c>
      <c r="B434" s="35" t="str">
        <f t="shared" si="184"/>
        <v>神奈川静岡本部</v>
      </c>
      <c r="C434" s="35" t="str">
        <f t="shared" si="184"/>
        <v>ラヴィーレ金沢八景</v>
      </c>
      <c r="D434" s="9" t="s">
        <v>5</v>
      </c>
      <c r="E434" s="10">
        <v>1</v>
      </c>
      <c r="F434" s="11">
        <v>14</v>
      </c>
      <c r="G434" s="12">
        <v>14</v>
      </c>
      <c r="H434" s="11">
        <v>0</v>
      </c>
      <c r="I434" s="12">
        <v>0</v>
      </c>
      <c r="J434" s="10">
        <v>14</v>
      </c>
      <c r="K434" s="38">
        <f t="shared" si="170"/>
        <v>7</v>
      </c>
      <c r="L434" s="28">
        <v>2</v>
      </c>
      <c r="M434" s="33">
        <f t="shared" si="166"/>
        <v>2</v>
      </c>
      <c r="N434" s="1">
        <v>2414701100</v>
      </c>
    </row>
    <row r="435" spans="1:14" ht="18" customHeight="1" x14ac:dyDescent="0.45">
      <c r="A435" s="8">
        <v>429</v>
      </c>
      <c r="B435" s="35" t="str">
        <f t="shared" si="184"/>
        <v>神奈川静岡本部</v>
      </c>
      <c r="C435" s="35" t="str">
        <f t="shared" si="184"/>
        <v>ラヴィーレ金沢八景</v>
      </c>
      <c r="D435" s="9" t="s">
        <v>6</v>
      </c>
      <c r="E435" s="10">
        <v>4</v>
      </c>
      <c r="F435" s="11">
        <v>0</v>
      </c>
      <c r="G435" s="12">
        <v>0</v>
      </c>
      <c r="H435" s="11">
        <v>0</v>
      </c>
      <c r="I435" s="12">
        <v>0</v>
      </c>
      <c r="J435" s="10">
        <v>0</v>
      </c>
      <c r="K435" s="38">
        <f t="shared" si="170"/>
        <v>7</v>
      </c>
      <c r="L435" s="28">
        <v>0</v>
      </c>
      <c r="M435" s="33">
        <f t="shared" si="166"/>
        <v>0</v>
      </c>
      <c r="N435" s="1">
        <v>2414701100</v>
      </c>
    </row>
    <row r="436" spans="1:14" ht="18" customHeight="1" x14ac:dyDescent="0.45">
      <c r="A436" s="8">
        <v>430</v>
      </c>
      <c r="B436" s="36" t="str">
        <f t="shared" si="184"/>
        <v>神奈川静岡本部</v>
      </c>
      <c r="C436" s="36" t="str">
        <f t="shared" si="184"/>
        <v>ラヴィーレ金沢八景</v>
      </c>
      <c r="D436" s="9" t="s">
        <v>2</v>
      </c>
      <c r="E436" s="10">
        <v>1</v>
      </c>
      <c r="F436" s="11">
        <v>6</v>
      </c>
      <c r="G436" s="12">
        <v>6</v>
      </c>
      <c r="H436" s="11">
        <v>0</v>
      </c>
      <c r="I436" s="12">
        <v>0</v>
      </c>
      <c r="J436" s="10">
        <v>6</v>
      </c>
      <c r="K436" s="39">
        <f t="shared" si="170"/>
        <v>7</v>
      </c>
      <c r="L436" s="28">
        <v>1</v>
      </c>
      <c r="M436" s="33">
        <f t="shared" si="166"/>
        <v>1</v>
      </c>
      <c r="N436" s="1">
        <v>2414701100</v>
      </c>
    </row>
    <row r="437" spans="1:14" ht="18" customHeight="1" x14ac:dyDescent="0.45">
      <c r="A437" s="13">
        <v>431</v>
      </c>
      <c r="B437" s="40" t="s">
        <v>48</v>
      </c>
      <c r="C437" s="40" t="s">
        <v>49</v>
      </c>
      <c r="D437" s="14" t="s">
        <v>3</v>
      </c>
      <c r="E437" s="15">
        <v>1</v>
      </c>
      <c r="F437" s="16">
        <v>5</v>
      </c>
      <c r="G437" s="17">
        <v>5</v>
      </c>
      <c r="H437" s="16">
        <v>1</v>
      </c>
      <c r="I437" s="17">
        <v>1</v>
      </c>
      <c r="J437" s="15">
        <v>6</v>
      </c>
      <c r="K437" s="43">
        <f t="shared" ref="K437" si="185">SUM(M437:M441)</f>
        <v>6</v>
      </c>
      <c r="L437" s="28">
        <v>1</v>
      </c>
      <c r="M437" s="33">
        <f t="shared" si="166"/>
        <v>1</v>
      </c>
      <c r="N437" s="1">
        <v>2414711200</v>
      </c>
    </row>
    <row r="438" spans="1:14" ht="18" customHeight="1" x14ac:dyDescent="0.45">
      <c r="A438" s="13">
        <v>432</v>
      </c>
      <c r="B438" s="41" t="str">
        <f t="shared" ref="B438:C441" si="186">B437</f>
        <v>神奈川静岡本部</v>
      </c>
      <c r="C438" s="41" t="str">
        <f t="shared" si="186"/>
        <v>そんぽの家　戸塚南</v>
      </c>
      <c r="D438" s="14" t="s">
        <v>4</v>
      </c>
      <c r="E438" s="15">
        <v>1</v>
      </c>
      <c r="F438" s="16">
        <v>10</v>
      </c>
      <c r="G438" s="17">
        <v>10</v>
      </c>
      <c r="H438" s="16">
        <v>8</v>
      </c>
      <c r="I438" s="17">
        <v>8</v>
      </c>
      <c r="J438" s="15">
        <v>18</v>
      </c>
      <c r="K438" s="44">
        <f t="shared" si="170"/>
        <v>6</v>
      </c>
      <c r="L438" s="28">
        <v>2</v>
      </c>
      <c r="M438" s="33">
        <f t="shared" si="166"/>
        <v>2</v>
      </c>
      <c r="N438" s="1">
        <v>2414711200</v>
      </c>
    </row>
    <row r="439" spans="1:14" ht="18" customHeight="1" x14ac:dyDescent="0.45">
      <c r="A439" s="13">
        <v>433</v>
      </c>
      <c r="B439" s="41" t="str">
        <f t="shared" si="186"/>
        <v>神奈川静岡本部</v>
      </c>
      <c r="C439" s="41" t="str">
        <f t="shared" si="186"/>
        <v>そんぽの家　戸塚南</v>
      </c>
      <c r="D439" s="14" t="s">
        <v>5</v>
      </c>
      <c r="E439" s="15">
        <v>1</v>
      </c>
      <c r="F439" s="16">
        <v>9</v>
      </c>
      <c r="G439" s="17">
        <v>9</v>
      </c>
      <c r="H439" s="16">
        <v>0</v>
      </c>
      <c r="I439" s="17">
        <v>0</v>
      </c>
      <c r="J439" s="15">
        <v>9</v>
      </c>
      <c r="K439" s="44">
        <f t="shared" si="170"/>
        <v>6</v>
      </c>
      <c r="L439" s="28">
        <v>2</v>
      </c>
      <c r="M439" s="33">
        <f t="shared" si="166"/>
        <v>2</v>
      </c>
      <c r="N439" s="1">
        <v>2414711200</v>
      </c>
    </row>
    <row r="440" spans="1:14" ht="18" customHeight="1" x14ac:dyDescent="0.45">
      <c r="A440" s="13">
        <v>434</v>
      </c>
      <c r="B440" s="41" t="str">
        <f t="shared" si="186"/>
        <v>神奈川静岡本部</v>
      </c>
      <c r="C440" s="41" t="str">
        <f t="shared" si="186"/>
        <v>そんぽの家　戸塚南</v>
      </c>
      <c r="D440" s="14" t="s">
        <v>6</v>
      </c>
      <c r="E440" s="15">
        <v>5</v>
      </c>
      <c r="F440" s="16">
        <v>4</v>
      </c>
      <c r="G440" s="17">
        <v>0.8</v>
      </c>
      <c r="H440" s="16">
        <v>0</v>
      </c>
      <c r="I440" s="17">
        <v>0</v>
      </c>
      <c r="J440" s="15">
        <v>4</v>
      </c>
      <c r="K440" s="44">
        <f t="shared" si="170"/>
        <v>6</v>
      </c>
      <c r="L440" s="28">
        <v>1</v>
      </c>
      <c r="M440" s="33">
        <f t="shared" si="166"/>
        <v>1</v>
      </c>
      <c r="N440" s="1">
        <v>2414711200</v>
      </c>
    </row>
    <row r="441" spans="1:14" ht="18" customHeight="1" x14ac:dyDescent="0.45">
      <c r="A441" s="13">
        <v>435</v>
      </c>
      <c r="B441" s="42" t="str">
        <f t="shared" si="186"/>
        <v>神奈川静岡本部</v>
      </c>
      <c r="C441" s="42" t="str">
        <f t="shared" si="186"/>
        <v>そんぽの家　戸塚南</v>
      </c>
      <c r="D441" s="14" t="s">
        <v>2</v>
      </c>
      <c r="E441" s="15">
        <v>1</v>
      </c>
      <c r="F441" s="16">
        <v>1</v>
      </c>
      <c r="G441" s="17">
        <v>1</v>
      </c>
      <c r="H441" s="16">
        <v>0</v>
      </c>
      <c r="I441" s="17">
        <v>0</v>
      </c>
      <c r="J441" s="15">
        <v>1</v>
      </c>
      <c r="K441" s="45">
        <f t="shared" si="170"/>
        <v>6</v>
      </c>
      <c r="L441" s="28">
        <v>0</v>
      </c>
      <c r="M441" s="33">
        <f t="shared" si="166"/>
        <v>0</v>
      </c>
      <c r="N441" s="1">
        <v>2414711200</v>
      </c>
    </row>
    <row r="442" spans="1:14" ht="18" customHeight="1" x14ac:dyDescent="0.45">
      <c r="A442" s="8">
        <v>436</v>
      </c>
      <c r="B442" s="34" t="s">
        <v>48</v>
      </c>
      <c r="C442" s="34" t="s">
        <v>50</v>
      </c>
      <c r="D442" s="9" t="s">
        <v>3</v>
      </c>
      <c r="E442" s="10">
        <v>1</v>
      </c>
      <c r="F442" s="11">
        <v>9</v>
      </c>
      <c r="G442" s="12">
        <v>9</v>
      </c>
      <c r="H442" s="11">
        <v>7</v>
      </c>
      <c r="I442" s="12">
        <v>7</v>
      </c>
      <c r="J442" s="10">
        <v>16</v>
      </c>
      <c r="K442" s="37">
        <f t="shared" ref="K442" si="187">SUM(M442:M446)</f>
        <v>7</v>
      </c>
      <c r="L442" s="28">
        <v>2</v>
      </c>
      <c r="M442" s="33">
        <f t="shared" si="166"/>
        <v>2</v>
      </c>
      <c r="N442" s="1">
        <v>2414741200</v>
      </c>
    </row>
    <row r="443" spans="1:14" ht="18" customHeight="1" x14ac:dyDescent="0.45">
      <c r="A443" s="8">
        <v>437</v>
      </c>
      <c r="B443" s="35" t="str">
        <f t="shared" ref="B443:C446" si="188">B442</f>
        <v>神奈川静岡本部</v>
      </c>
      <c r="C443" s="35" t="str">
        <f t="shared" si="188"/>
        <v>そんぽの家　横浜港南台</v>
      </c>
      <c r="D443" s="9" t="s">
        <v>4</v>
      </c>
      <c r="E443" s="10">
        <v>1</v>
      </c>
      <c r="F443" s="11">
        <v>13</v>
      </c>
      <c r="G443" s="12">
        <v>13</v>
      </c>
      <c r="H443" s="11">
        <v>6</v>
      </c>
      <c r="I443" s="12">
        <v>6</v>
      </c>
      <c r="J443" s="10">
        <v>19</v>
      </c>
      <c r="K443" s="38">
        <f t="shared" si="170"/>
        <v>7</v>
      </c>
      <c r="L443" s="28">
        <v>2</v>
      </c>
      <c r="M443" s="33">
        <f t="shared" si="166"/>
        <v>2</v>
      </c>
      <c r="N443" s="1">
        <v>2414741200</v>
      </c>
    </row>
    <row r="444" spans="1:14" ht="18" customHeight="1" x14ac:dyDescent="0.45">
      <c r="A444" s="8">
        <v>438</v>
      </c>
      <c r="B444" s="35" t="str">
        <f t="shared" si="188"/>
        <v>神奈川静岡本部</v>
      </c>
      <c r="C444" s="35" t="str">
        <f t="shared" si="188"/>
        <v>そんぽの家　横浜港南台</v>
      </c>
      <c r="D444" s="9" t="s">
        <v>5</v>
      </c>
      <c r="E444" s="10">
        <v>1</v>
      </c>
      <c r="F444" s="11">
        <v>14</v>
      </c>
      <c r="G444" s="12">
        <v>14</v>
      </c>
      <c r="H444" s="11">
        <v>0</v>
      </c>
      <c r="I444" s="12">
        <v>0</v>
      </c>
      <c r="J444" s="10">
        <v>14</v>
      </c>
      <c r="K444" s="38">
        <f t="shared" si="170"/>
        <v>7</v>
      </c>
      <c r="L444" s="28">
        <v>2</v>
      </c>
      <c r="M444" s="33">
        <f t="shared" si="166"/>
        <v>2</v>
      </c>
      <c r="N444" s="1">
        <v>2414741200</v>
      </c>
    </row>
    <row r="445" spans="1:14" ht="18" customHeight="1" x14ac:dyDescent="0.45">
      <c r="A445" s="8">
        <v>439</v>
      </c>
      <c r="B445" s="35" t="str">
        <f t="shared" si="188"/>
        <v>神奈川静岡本部</v>
      </c>
      <c r="C445" s="35" t="str">
        <f t="shared" si="188"/>
        <v>そんぽの家　横浜港南台</v>
      </c>
      <c r="D445" s="9" t="s">
        <v>6</v>
      </c>
      <c r="E445" s="10">
        <v>3</v>
      </c>
      <c r="F445" s="11">
        <v>0</v>
      </c>
      <c r="G445" s="12">
        <v>0</v>
      </c>
      <c r="H445" s="11">
        <v>0</v>
      </c>
      <c r="I445" s="12">
        <v>0</v>
      </c>
      <c r="J445" s="10">
        <v>0</v>
      </c>
      <c r="K445" s="38">
        <f t="shared" si="170"/>
        <v>7</v>
      </c>
      <c r="L445" s="28">
        <v>0</v>
      </c>
      <c r="M445" s="33">
        <f t="shared" si="166"/>
        <v>0</v>
      </c>
      <c r="N445" s="1">
        <v>2414741200</v>
      </c>
    </row>
    <row r="446" spans="1:14" ht="18" customHeight="1" x14ac:dyDescent="0.45">
      <c r="A446" s="8">
        <v>440</v>
      </c>
      <c r="B446" s="36" t="str">
        <f t="shared" si="188"/>
        <v>神奈川静岡本部</v>
      </c>
      <c r="C446" s="36" t="str">
        <f t="shared" si="188"/>
        <v>そんぽの家　横浜港南台</v>
      </c>
      <c r="D446" s="9" t="s">
        <v>2</v>
      </c>
      <c r="E446" s="10">
        <v>1</v>
      </c>
      <c r="F446" s="11">
        <v>4</v>
      </c>
      <c r="G446" s="12">
        <v>4</v>
      </c>
      <c r="H446" s="11">
        <v>0</v>
      </c>
      <c r="I446" s="12">
        <v>0</v>
      </c>
      <c r="J446" s="10">
        <v>4</v>
      </c>
      <c r="K446" s="39">
        <f t="shared" si="170"/>
        <v>7</v>
      </c>
      <c r="L446" s="28">
        <v>1</v>
      </c>
      <c r="M446" s="33">
        <f t="shared" si="166"/>
        <v>1</v>
      </c>
      <c r="N446" s="1">
        <v>2414741200</v>
      </c>
    </row>
    <row r="447" spans="1:14" ht="18" customHeight="1" x14ac:dyDescent="0.45">
      <c r="A447" s="13">
        <v>441</v>
      </c>
      <c r="B447" s="40" t="s">
        <v>48</v>
      </c>
      <c r="C447" s="40" t="s">
        <v>51</v>
      </c>
      <c r="D447" s="14" t="s">
        <v>3</v>
      </c>
      <c r="E447" s="15">
        <v>1</v>
      </c>
      <c r="F447" s="16">
        <v>3</v>
      </c>
      <c r="G447" s="17">
        <v>3</v>
      </c>
      <c r="H447" s="16">
        <v>0</v>
      </c>
      <c r="I447" s="17">
        <v>0</v>
      </c>
      <c r="J447" s="15">
        <v>3</v>
      </c>
      <c r="K447" s="43">
        <f t="shared" ref="K447" si="189">SUM(M447:M451)</f>
        <v>3</v>
      </c>
      <c r="L447" s="28">
        <v>0</v>
      </c>
      <c r="M447" s="33">
        <f t="shared" si="166"/>
        <v>0</v>
      </c>
      <c r="N447" s="1">
        <v>2414751200</v>
      </c>
    </row>
    <row r="448" spans="1:14" ht="18" customHeight="1" x14ac:dyDescent="0.45">
      <c r="A448" s="13">
        <v>442</v>
      </c>
      <c r="B448" s="41" t="str">
        <f t="shared" ref="B448:C451" si="190">B447</f>
        <v>神奈川静岡本部</v>
      </c>
      <c r="C448" s="41" t="str">
        <f t="shared" si="190"/>
        <v>そんぽの家　港南台</v>
      </c>
      <c r="D448" s="14" t="s">
        <v>4</v>
      </c>
      <c r="E448" s="15">
        <v>1</v>
      </c>
      <c r="F448" s="16">
        <v>7</v>
      </c>
      <c r="G448" s="17">
        <v>7</v>
      </c>
      <c r="H448" s="16">
        <v>0</v>
      </c>
      <c r="I448" s="17">
        <v>0</v>
      </c>
      <c r="J448" s="15">
        <v>7</v>
      </c>
      <c r="K448" s="44">
        <f t="shared" si="170"/>
        <v>3</v>
      </c>
      <c r="L448" s="28">
        <v>1</v>
      </c>
      <c r="M448" s="33">
        <f t="shared" si="166"/>
        <v>1</v>
      </c>
      <c r="N448" s="1">
        <v>2414751200</v>
      </c>
    </row>
    <row r="449" spans="1:14" ht="18" customHeight="1" x14ac:dyDescent="0.45">
      <c r="A449" s="13">
        <v>443</v>
      </c>
      <c r="B449" s="41" t="str">
        <f t="shared" si="190"/>
        <v>神奈川静岡本部</v>
      </c>
      <c r="C449" s="41" t="str">
        <f t="shared" si="190"/>
        <v>そんぽの家　港南台</v>
      </c>
      <c r="D449" s="14" t="s">
        <v>5</v>
      </c>
      <c r="E449" s="15">
        <v>1</v>
      </c>
      <c r="F449" s="16">
        <v>12</v>
      </c>
      <c r="G449" s="17">
        <v>12</v>
      </c>
      <c r="H449" s="16">
        <v>0</v>
      </c>
      <c r="I449" s="17">
        <v>0</v>
      </c>
      <c r="J449" s="15">
        <v>12</v>
      </c>
      <c r="K449" s="44">
        <f t="shared" si="170"/>
        <v>3</v>
      </c>
      <c r="L449" s="28">
        <v>2</v>
      </c>
      <c r="M449" s="33">
        <f t="shared" si="166"/>
        <v>2</v>
      </c>
      <c r="N449" s="1">
        <v>2414751200</v>
      </c>
    </row>
    <row r="450" spans="1:14" ht="18" customHeight="1" x14ac:dyDescent="0.45">
      <c r="A450" s="13">
        <v>444</v>
      </c>
      <c r="B450" s="41" t="str">
        <f t="shared" si="190"/>
        <v>神奈川静岡本部</v>
      </c>
      <c r="C450" s="41" t="str">
        <f t="shared" si="190"/>
        <v>そんぽの家　港南台</v>
      </c>
      <c r="D450" s="14" t="s">
        <v>6</v>
      </c>
      <c r="E450" s="15">
        <v>2</v>
      </c>
      <c r="F450" s="16">
        <v>0</v>
      </c>
      <c r="G450" s="17">
        <v>0</v>
      </c>
      <c r="H450" s="16">
        <v>0</v>
      </c>
      <c r="I450" s="17">
        <v>0</v>
      </c>
      <c r="J450" s="15">
        <v>0</v>
      </c>
      <c r="K450" s="44">
        <f t="shared" si="170"/>
        <v>3</v>
      </c>
      <c r="L450" s="28">
        <v>0</v>
      </c>
      <c r="M450" s="33">
        <f t="shared" si="166"/>
        <v>0</v>
      </c>
      <c r="N450" s="1">
        <v>2414751200</v>
      </c>
    </row>
    <row r="451" spans="1:14" ht="18" customHeight="1" x14ac:dyDescent="0.45">
      <c r="A451" s="13">
        <v>445</v>
      </c>
      <c r="B451" s="42" t="str">
        <f t="shared" si="190"/>
        <v>神奈川静岡本部</v>
      </c>
      <c r="C451" s="42" t="str">
        <f t="shared" si="190"/>
        <v>そんぽの家　港南台</v>
      </c>
      <c r="D451" s="14" t="s">
        <v>2</v>
      </c>
      <c r="E451" s="15">
        <v>0</v>
      </c>
      <c r="F451" s="16">
        <v>0</v>
      </c>
      <c r="G451" s="17">
        <v>0</v>
      </c>
      <c r="H451" s="16">
        <v>0</v>
      </c>
      <c r="I451" s="17">
        <v>0</v>
      </c>
      <c r="J451" s="15">
        <v>0</v>
      </c>
      <c r="K451" s="45">
        <f t="shared" si="170"/>
        <v>3</v>
      </c>
      <c r="L451" s="28">
        <v>0</v>
      </c>
      <c r="M451" s="33">
        <f t="shared" si="166"/>
        <v>0</v>
      </c>
      <c r="N451" s="1">
        <v>2414751200</v>
      </c>
    </row>
    <row r="452" spans="1:14" ht="18" customHeight="1" x14ac:dyDescent="0.45">
      <c r="A452" s="8">
        <v>446</v>
      </c>
      <c r="B452" s="34" t="s">
        <v>48</v>
      </c>
      <c r="C452" s="34" t="s">
        <v>233</v>
      </c>
      <c r="D452" s="9" t="s">
        <v>3</v>
      </c>
      <c r="E452" s="10">
        <v>1</v>
      </c>
      <c r="F452" s="11">
        <v>12</v>
      </c>
      <c r="G452" s="12">
        <v>12</v>
      </c>
      <c r="H452" s="11">
        <v>12</v>
      </c>
      <c r="I452" s="12">
        <v>12</v>
      </c>
      <c r="J452" s="10">
        <v>24</v>
      </c>
      <c r="K452" s="37">
        <f t="shared" ref="K452" si="191">SUM(M452:M456)</f>
        <v>7</v>
      </c>
      <c r="L452" s="28">
        <v>2</v>
      </c>
      <c r="M452" s="33">
        <f t="shared" si="166"/>
        <v>2</v>
      </c>
      <c r="N452" s="1">
        <v>2414801100</v>
      </c>
    </row>
    <row r="453" spans="1:14" ht="18" customHeight="1" x14ac:dyDescent="0.45">
      <c r="A453" s="8">
        <v>447</v>
      </c>
      <c r="B453" s="35" t="str">
        <f t="shared" ref="B453:C456" si="192">B452</f>
        <v>神奈川静岡本部</v>
      </c>
      <c r="C453" s="35" t="str">
        <f t="shared" si="192"/>
        <v>ラヴィーレ綱島</v>
      </c>
      <c r="D453" s="9" t="s">
        <v>4</v>
      </c>
      <c r="E453" s="10">
        <v>1</v>
      </c>
      <c r="F453" s="11">
        <v>13</v>
      </c>
      <c r="G453" s="12">
        <v>13</v>
      </c>
      <c r="H453" s="11">
        <v>13</v>
      </c>
      <c r="I453" s="12">
        <v>13</v>
      </c>
      <c r="J453" s="10">
        <v>26</v>
      </c>
      <c r="K453" s="38">
        <f t="shared" si="170"/>
        <v>7</v>
      </c>
      <c r="L453" s="28">
        <v>2</v>
      </c>
      <c r="M453" s="33">
        <f t="shared" si="166"/>
        <v>2</v>
      </c>
      <c r="N453" s="1">
        <v>2414801100</v>
      </c>
    </row>
    <row r="454" spans="1:14" ht="18" customHeight="1" x14ac:dyDescent="0.45">
      <c r="A454" s="8">
        <v>448</v>
      </c>
      <c r="B454" s="35" t="str">
        <f t="shared" si="192"/>
        <v>神奈川静岡本部</v>
      </c>
      <c r="C454" s="35" t="str">
        <f t="shared" si="192"/>
        <v>ラヴィーレ綱島</v>
      </c>
      <c r="D454" s="9" t="s">
        <v>5</v>
      </c>
      <c r="E454" s="10">
        <v>2</v>
      </c>
      <c r="F454" s="11">
        <v>27</v>
      </c>
      <c r="G454" s="12">
        <v>13.5</v>
      </c>
      <c r="H454" s="11">
        <v>0</v>
      </c>
      <c r="I454" s="12">
        <v>0</v>
      </c>
      <c r="J454" s="10">
        <v>27</v>
      </c>
      <c r="K454" s="38">
        <f t="shared" si="170"/>
        <v>7</v>
      </c>
      <c r="L454" s="28">
        <v>2</v>
      </c>
      <c r="M454" s="33">
        <f t="shared" si="166"/>
        <v>2</v>
      </c>
      <c r="N454" s="1">
        <v>2414801100</v>
      </c>
    </row>
    <row r="455" spans="1:14" ht="18" customHeight="1" x14ac:dyDescent="0.45">
      <c r="A455" s="8">
        <v>449</v>
      </c>
      <c r="B455" s="35" t="str">
        <f t="shared" si="192"/>
        <v>神奈川静岡本部</v>
      </c>
      <c r="C455" s="35" t="str">
        <f t="shared" si="192"/>
        <v>ラヴィーレ綱島</v>
      </c>
      <c r="D455" s="9" t="s">
        <v>6</v>
      </c>
      <c r="E455" s="10">
        <v>4</v>
      </c>
      <c r="F455" s="11">
        <v>7</v>
      </c>
      <c r="G455" s="12">
        <v>1.8</v>
      </c>
      <c r="H455" s="11">
        <v>0</v>
      </c>
      <c r="I455" s="12">
        <v>0</v>
      </c>
      <c r="J455" s="10">
        <v>7</v>
      </c>
      <c r="K455" s="38">
        <f t="shared" si="170"/>
        <v>7</v>
      </c>
      <c r="L455" s="28">
        <v>1</v>
      </c>
      <c r="M455" s="33">
        <f t="shared" si="166"/>
        <v>1</v>
      </c>
      <c r="N455" s="1">
        <v>2414801100</v>
      </c>
    </row>
    <row r="456" spans="1:14" ht="18" customHeight="1" x14ac:dyDescent="0.45">
      <c r="A456" s="8">
        <v>450</v>
      </c>
      <c r="B456" s="36" t="str">
        <f t="shared" si="192"/>
        <v>神奈川静岡本部</v>
      </c>
      <c r="C456" s="36" t="str">
        <f t="shared" si="192"/>
        <v>ラヴィーレ綱島</v>
      </c>
      <c r="D456" s="9" t="s">
        <v>2</v>
      </c>
      <c r="E456" s="10">
        <v>1</v>
      </c>
      <c r="F456" s="11">
        <v>1</v>
      </c>
      <c r="G456" s="12">
        <v>1</v>
      </c>
      <c r="H456" s="11">
        <v>0</v>
      </c>
      <c r="I456" s="12">
        <v>0</v>
      </c>
      <c r="J456" s="10">
        <v>1</v>
      </c>
      <c r="K456" s="39">
        <f t="shared" si="170"/>
        <v>7</v>
      </c>
      <c r="L456" s="28">
        <v>0</v>
      </c>
      <c r="M456" s="33">
        <f t="shared" ref="M456:M519" si="193">L456</f>
        <v>0</v>
      </c>
      <c r="N456" s="1">
        <v>2414801100</v>
      </c>
    </row>
    <row r="457" spans="1:14" ht="18" customHeight="1" x14ac:dyDescent="0.45">
      <c r="A457" s="13">
        <v>451</v>
      </c>
      <c r="B457" s="40" t="s">
        <v>48</v>
      </c>
      <c r="C457" s="40" t="s">
        <v>52</v>
      </c>
      <c r="D457" s="14" t="s">
        <v>3</v>
      </c>
      <c r="E457" s="15">
        <v>1</v>
      </c>
      <c r="F457" s="16">
        <v>9</v>
      </c>
      <c r="G457" s="17">
        <v>9</v>
      </c>
      <c r="H457" s="16">
        <v>9</v>
      </c>
      <c r="I457" s="17">
        <v>9</v>
      </c>
      <c r="J457" s="15">
        <v>18</v>
      </c>
      <c r="K457" s="43">
        <f t="shared" ref="K457" si="194">SUM(M457:M461)</f>
        <v>4</v>
      </c>
      <c r="L457" s="28">
        <v>2</v>
      </c>
      <c r="M457" s="33">
        <f t="shared" si="193"/>
        <v>2</v>
      </c>
      <c r="N457" s="1">
        <v>2414851200</v>
      </c>
    </row>
    <row r="458" spans="1:14" ht="18" customHeight="1" x14ac:dyDescent="0.45">
      <c r="A458" s="13">
        <v>452</v>
      </c>
      <c r="B458" s="41" t="str">
        <f t="shared" ref="B458:C461" si="195">B457</f>
        <v>神奈川静岡本部</v>
      </c>
      <c r="C458" s="41" t="str">
        <f t="shared" si="195"/>
        <v>そんぽの家　横浜神大寺</v>
      </c>
      <c r="D458" s="14" t="s">
        <v>4</v>
      </c>
      <c r="E458" s="15">
        <v>2</v>
      </c>
      <c r="F458" s="16">
        <v>2</v>
      </c>
      <c r="G458" s="17">
        <v>1</v>
      </c>
      <c r="H458" s="16">
        <v>1</v>
      </c>
      <c r="I458" s="17">
        <v>0.5</v>
      </c>
      <c r="J458" s="15">
        <v>3</v>
      </c>
      <c r="K458" s="44">
        <f t="shared" si="170"/>
        <v>4</v>
      </c>
      <c r="L458" s="28">
        <v>0</v>
      </c>
      <c r="M458" s="33">
        <f t="shared" si="193"/>
        <v>0</v>
      </c>
      <c r="N458" s="1">
        <v>2414851200</v>
      </c>
    </row>
    <row r="459" spans="1:14" ht="18" customHeight="1" x14ac:dyDescent="0.45">
      <c r="A459" s="13">
        <v>453</v>
      </c>
      <c r="B459" s="41" t="str">
        <f t="shared" si="195"/>
        <v>神奈川静岡本部</v>
      </c>
      <c r="C459" s="41" t="str">
        <f t="shared" si="195"/>
        <v>そんぽの家　横浜神大寺</v>
      </c>
      <c r="D459" s="14" t="s">
        <v>5</v>
      </c>
      <c r="E459" s="15">
        <v>2</v>
      </c>
      <c r="F459" s="16">
        <v>32</v>
      </c>
      <c r="G459" s="17">
        <v>16</v>
      </c>
      <c r="H459" s="16">
        <v>0</v>
      </c>
      <c r="I459" s="17">
        <v>0</v>
      </c>
      <c r="J459" s="15">
        <v>32</v>
      </c>
      <c r="K459" s="44">
        <f t="shared" si="170"/>
        <v>4</v>
      </c>
      <c r="L459" s="28">
        <v>2</v>
      </c>
      <c r="M459" s="33">
        <f t="shared" si="193"/>
        <v>2</v>
      </c>
      <c r="N459" s="1">
        <v>2414851200</v>
      </c>
    </row>
    <row r="460" spans="1:14" ht="18" customHeight="1" x14ac:dyDescent="0.45">
      <c r="A460" s="13">
        <v>454</v>
      </c>
      <c r="B460" s="41" t="str">
        <f t="shared" si="195"/>
        <v>神奈川静岡本部</v>
      </c>
      <c r="C460" s="41" t="str">
        <f t="shared" si="195"/>
        <v>そんぽの家　横浜神大寺</v>
      </c>
      <c r="D460" s="14" t="s">
        <v>6</v>
      </c>
      <c r="E460" s="15">
        <v>5</v>
      </c>
      <c r="F460" s="16">
        <v>3</v>
      </c>
      <c r="G460" s="17">
        <v>0.6</v>
      </c>
      <c r="H460" s="16">
        <v>0</v>
      </c>
      <c r="I460" s="17">
        <v>0</v>
      </c>
      <c r="J460" s="15">
        <v>3</v>
      </c>
      <c r="K460" s="44">
        <f t="shared" si="170"/>
        <v>4</v>
      </c>
      <c r="L460" s="28">
        <v>0</v>
      </c>
      <c r="M460" s="33">
        <f t="shared" si="193"/>
        <v>0</v>
      </c>
      <c r="N460" s="1">
        <v>2414851200</v>
      </c>
    </row>
    <row r="461" spans="1:14" ht="18" customHeight="1" x14ac:dyDescent="0.45">
      <c r="A461" s="13">
        <v>455</v>
      </c>
      <c r="B461" s="42" t="str">
        <f t="shared" si="195"/>
        <v>神奈川静岡本部</v>
      </c>
      <c r="C461" s="42" t="str">
        <f t="shared" si="195"/>
        <v>そんぽの家　横浜神大寺</v>
      </c>
      <c r="D461" s="14" t="s">
        <v>2</v>
      </c>
      <c r="E461" s="15">
        <v>0</v>
      </c>
      <c r="F461" s="16">
        <v>0</v>
      </c>
      <c r="G461" s="17">
        <v>0</v>
      </c>
      <c r="H461" s="16">
        <v>0</v>
      </c>
      <c r="I461" s="17">
        <v>0</v>
      </c>
      <c r="J461" s="15">
        <v>0</v>
      </c>
      <c r="K461" s="45">
        <f t="shared" si="170"/>
        <v>4</v>
      </c>
      <c r="L461" s="28">
        <v>0</v>
      </c>
      <c r="M461" s="33">
        <f t="shared" si="193"/>
        <v>0</v>
      </c>
      <c r="N461" s="1">
        <v>2414851200</v>
      </c>
    </row>
    <row r="462" spans="1:14" ht="18" customHeight="1" x14ac:dyDescent="0.45">
      <c r="A462" s="8">
        <v>456</v>
      </c>
      <c r="B462" s="34" t="s">
        <v>48</v>
      </c>
      <c r="C462" s="34" t="s">
        <v>234</v>
      </c>
      <c r="D462" s="9" t="s">
        <v>3</v>
      </c>
      <c r="E462" s="10">
        <v>1</v>
      </c>
      <c r="F462" s="11">
        <v>1</v>
      </c>
      <c r="G462" s="12">
        <v>1</v>
      </c>
      <c r="H462" s="11">
        <v>0</v>
      </c>
      <c r="I462" s="12">
        <v>0</v>
      </c>
      <c r="J462" s="10">
        <v>1</v>
      </c>
      <c r="K462" s="37">
        <f t="shared" ref="K462" si="196">SUM(M462:M466)</f>
        <v>4</v>
      </c>
      <c r="L462" s="28">
        <v>0</v>
      </c>
      <c r="M462" s="33">
        <f t="shared" si="193"/>
        <v>0</v>
      </c>
      <c r="N462" s="1">
        <v>2414891100</v>
      </c>
    </row>
    <row r="463" spans="1:14" ht="18" customHeight="1" x14ac:dyDescent="0.45">
      <c r="A463" s="8">
        <v>457</v>
      </c>
      <c r="B463" s="35" t="str">
        <f t="shared" ref="B463:C466" si="197">B462</f>
        <v>神奈川静岡本部</v>
      </c>
      <c r="C463" s="35" t="str">
        <f t="shared" si="197"/>
        <v>ラヴィーレあざみ野</v>
      </c>
      <c r="D463" s="9" t="s">
        <v>4</v>
      </c>
      <c r="E463" s="10">
        <v>2</v>
      </c>
      <c r="F463" s="11">
        <v>10</v>
      </c>
      <c r="G463" s="12">
        <v>5</v>
      </c>
      <c r="H463" s="11">
        <v>3</v>
      </c>
      <c r="I463" s="12">
        <v>1.5</v>
      </c>
      <c r="J463" s="10">
        <v>13</v>
      </c>
      <c r="K463" s="38">
        <f t="shared" ref="K463:K526" si="198">K462</f>
        <v>4</v>
      </c>
      <c r="L463" s="28">
        <v>2</v>
      </c>
      <c r="M463" s="33">
        <f t="shared" si="193"/>
        <v>2</v>
      </c>
      <c r="N463" s="1">
        <v>2414891100</v>
      </c>
    </row>
    <row r="464" spans="1:14" ht="18" customHeight="1" x14ac:dyDescent="0.45">
      <c r="A464" s="8">
        <v>458</v>
      </c>
      <c r="B464" s="35" t="str">
        <f t="shared" si="197"/>
        <v>神奈川静岡本部</v>
      </c>
      <c r="C464" s="35" t="str">
        <f t="shared" si="197"/>
        <v>ラヴィーレあざみ野</v>
      </c>
      <c r="D464" s="9" t="s">
        <v>5</v>
      </c>
      <c r="E464" s="10">
        <v>4</v>
      </c>
      <c r="F464" s="11">
        <v>26</v>
      </c>
      <c r="G464" s="12">
        <v>6.5</v>
      </c>
      <c r="H464" s="11">
        <v>0</v>
      </c>
      <c r="I464" s="12">
        <v>0</v>
      </c>
      <c r="J464" s="10">
        <v>26</v>
      </c>
      <c r="K464" s="38">
        <f t="shared" si="198"/>
        <v>4</v>
      </c>
      <c r="L464" s="28">
        <v>2</v>
      </c>
      <c r="M464" s="33">
        <f t="shared" si="193"/>
        <v>2</v>
      </c>
      <c r="N464" s="1">
        <v>2414891100</v>
      </c>
    </row>
    <row r="465" spans="1:14" ht="18" customHeight="1" x14ac:dyDescent="0.45">
      <c r="A465" s="8">
        <v>459</v>
      </c>
      <c r="B465" s="35" t="str">
        <f t="shared" si="197"/>
        <v>神奈川静岡本部</v>
      </c>
      <c r="C465" s="35" t="str">
        <f t="shared" si="197"/>
        <v>ラヴィーレあざみ野</v>
      </c>
      <c r="D465" s="9" t="s">
        <v>6</v>
      </c>
      <c r="E465" s="10">
        <v>14</v>
      </c>
      <c r="F465" s="11">
        <v>0</v>
      </c>
      <c r="G465" s="12">
        <v>0</v>
      </c>
      <c r="H465" s="11">
        <v>0</v>
      </c>
      <c r="I465" s="12">
        <v>0</v>
      </c>
      <c r="J465" s="10">
        <v>0</v>
      </c>
      <c r="K465" s="38">
        <f t="shared" si="198"/>
        <v>4</v>
      </c>
      <c r="L465" s="28">
        <v>0</v>
      </c>
      <c r="M465" s="33">
        <f t="shared" si="193"/>
        <v>0</v>
      </c>
      <c r="N465" s="1">
        <v>2414891100</v>
      </c>
    </row>
    <row r="466" spans="1:14" ht="18" customHeight="1" x14ac:dyDescent="0.45">
      <c r="A466" s="8">
        <v>460</v>
      </c>
      <c r="B466" s="36" t="str">
        <f t="shared" si="197"/>
        <v>神奈川静岡本部</v>
      </c>
      <c r="C466" s="36" t="str">
        <f t="shared" si="197"/>
        <v>ラヴィーレあざみ野</v>
      </c>
      <c r="D466" s="9" t="s">
        <v>2</v>
      </c>
      <c r="E466" s="10">
        <v>4</v>
      </c>
      <c r="F466" s="11">
        <v>0</v>
      </c>
      <c r="G466" s="12">
        <v>0</v>
      </c>
      <c r="H466" s="11">
        <v>0</v>
      </c>
      <c r="I466" s="12">
        <v>0</v>
      </c>
      <c r="J466" s="10">
        <v>0</v>
      </c>
      <c r="K466" s="39">
        <f t="shared" si="198"/>
        <v>4</v>
      </c>
      <c r="L466" s="28">
        <v>0</v>
      </c>
      <c r="M466" s="33">
        <f t="shared" si="193"/>
        <v>0</v>
      </c>
      <c r="N466" s="1">
        <v>2414891100</v>
      </c>
    </row>
    <row r="467" spans="1:14" ht="18" customHeight="1" x14ac:dyDescent="0.45">
      <c r="A467" s="13">
        <v>461</v>
      </c>
      <c r="B467" s="40" t="s">
        <v>48</v>
      </c>
      <c r="C467" s="40" t="s">
        <v>235</v>
      </c>
      <c r="D467" s="14" t="s">
        <v>3</v>
      </c>
      <c r="E467" s="15">
        <v>1</v>
      </c>
      <c r="F467" s="16">
        <v>9</v>
      </c>
      <c r="G467" s="17">
        <v>9</v>
      </c>
      <c r="H467" s="16">
        <v>3</v>
      </c>
      <c r="I467" s="17">
        <v>3</v>
      </c>
      <c r="J467" s="15">
        <v>12</v>
      </c>
      <c r="K467" s="43">
        <f t="shared" ref="K467" si="199">SUM(M467:M471)</f>
        <v>6</v>
      </c>
      <c r="L467" s="28">
        <v>2</v>
      </c>
      <c r="M467" s="33">
        <f t="shared" si="193"/>
        <v>2</v>
      </c>
      <c r="N467" s="1">
        <v>2414911100</v>
      </c>
    </row>
    <row r="468" spans="1:14" ht="18" customHeight="1" x14ac:dyDescent="0.45">
      <c r="A468" s="13">
        <v>462</v>
      </c>
      <c r="B468" s="41" t="str">
        <f t="shared" ref="B468:C471" si="200">B467</f>
        <v>神奈川静岡本部</v>
      </c>
      <c r="C468" s="41" t="str">
        <f t="shared" si="200"/>
        <v>ラヴィーレ十日市場</v>
      </c>
      <c r="D468" s="14" t="s">
        <v>4</v>
      </c>
      <c r="E468" s="15">
        <v>1</v>
      </c>
      <c r="F468" s="16">
        <v>14</v>
      </c>
      <c r="G468" s="17">
        <v>14</v>
      </c>
      <c r="H468" s="16">
        <v>13</v>
      </c>
      <c r="I468" s="17">
        <v>13</v>
      </c>
      <c r="J468" s="15">
        <v>27</v>
      </c>
      <c r="K468" s="44">
        <f t="shared" si="198"/>
        <v>6</v>
      </c>
      <c r="L468" s="28">
        <v>2</v>
      </c>
      <c r="M468" s="33">
        <f t="shared" si="193"/>
        <v>2</v>
      </c>
      <c r="N468" s="1">
        <v>2414911100</v>
      </c>
    </row>
    <row r="469" spans="1:14" ht="18" customHeight="1" x14ac:dyDescent="0.45">
      <c r="A469" s="13">
        <v>463</v>
      </c>
      <c r="B469" s="41" t="str">
        <f t="shared" si="200"/>
        <v>神奈川静岡本部</v>
      </c>
      <c r="C469" s="41" t="str">
        <f t="shared" si="200"/>
        <v>ラヴィーレ十日市場</v>
      </c>
      <c r="D469" s="14" t="s">
        <v>5</v>
      </c>
      <c r="E469" s="15">
        <v>2</v>
      </c>
      <c r="F469" s="16">
        <v>20</v>
      </c>
      <c r="G469" s="17">
        <v>10</v>
      </c>
      <c r="H469" s="16">
        <v>0</v>
      </c>
      <c r="I469" s="17">
        <v>0</v>
      </c>
      <c r="J469" s="15">
        <v>20</v>
      </c>
      <c r="K469" s="44">
        <f t="shared" si="198"/>
        <v>6</v>
      </c>
      <c r="L469" s="28">
        <v>2</v>
      </c>
      <c r="M469" s="33">
        <f t="shared" si="193"/>
        <v>2</v>
      </c>
      <c r="N469" s="1">
        <v>2414911100</v>
      </c>
    </row>
    <row r="470" spans="1:14" ht="18" customHeight="1" x14ac:dyDescent="0.45">
      <c r="A470" s="13">
        <v>464</v>
      </c>
      <c r="B470" s="41" t="str">
        <f t="shared" si="200"/>
        <v>神奈川静岡本部</v>
      </c>
      <c r="C470" s="41" t="str">
        <f t="shared" si="200"/>
        <v>ラヴィーレ十日市場</v>
      </c>
      <c r="D470" s="14" t="s">
        <v>6</v>
      </c>
      <c r="E470" s="15">
        <v>3</v>
      </c>
      <c r="F470" s="16">
        <v>0</v>
      </c>
      <c r="G470" s="17">
        <v>0</v>
      </c>
      <c r="H470" s="16">
        <v>0</v>
      </c>
      <c r="I470" s="17">
        <v>0</v>
      </c>
      <c r="J470" s="15">
        <v>0</v>
      </c>
      <c r="K470" s="44">
        <f t="shared" si="198"/>
        <v>6</v>
      </c>
      <c r="L470" s="28">
        <v>0</v>
      </c>
      <c r="M470" s="33">
        <f t="shared" si="193"/>
        <v>0</v>
      </c>
      <c r="N470" s="1">
        <v>2414911100</v>
      </c>
    </row>
    <row r="471" spans="1:14" ht="18" customHeight="1" x14ac:dyDescent="0.45">
      <c r="A471" s="13">
        <v>465</v>
      </c>
      <c r="B471" s="42" t="str">
        <f t="shared" si="200"/>
        <v>神奈川静岡本部</v>
      </c>
      <c r="C471" s="42" t="str">
        <f t="shared" si="200"/>
        <v>ラヴィーレ十日市場</v>
      </c>
      <c r="D471" s="14" t="s">
        <v>2</v>
      </c>
      <c r="E471" s="15">
        <v>2</v>
      </c>
      <c r="F471" s="16">
        <v>0</v>
      </c>
      <c r="G471" s="17">
        <v>0</v>
      </c>
      <c r="H471" s="16">
        <v>0</v>
      </c>
      <c r="I471" s="17">
        <v>0</v>
      </c>
      <c r="J471" s="15">
        <v>0</v>
      </c>
      <c r="K471" s="45">
        <f t="shared" si="198"/>
        <v>6</v>
      </c>
      <c r="L471" s="28">
        <v>0</v>
      </c>
      <c r="M471" s="33">
        <f t="shared" si="193"/>
        <v>0</v>
      </c>
      <c r="N471" s="1">
        <v>2414911100</v>
      </c>
    </row>
    <row r="472" spans="1:14" ht="18" customHeight="1" x14ac:dyDescent="0.45">
      <c r="A472" s="8">
        <v>466</v>
      </c>
      <c r="B472" s="34" t="s">
        <v>48</v>
      </c>
      <c r="C472" s="34" t="s">
        <v>236</v>
      </c>
      <c r="D472" s="9" t="s">
        <v>3</v>
      </c>
      <c r="E472" s="10">
        <v>1</v>
      </c>
      <c r="F472" s="11">
        <v>7</v>
      </c>
      <c r="G472" s="12">
        <v>7</v>
      </c>
      <c r="H472" s="11">
        <v>6</v>
      </c>
      <c r="I472" s="12">
        <v>6</v>
      </c>
      <c r="J472" s="10">
        <v>13</v>
      </c>
      <c r="K472" s="37">
        <f t="shared" ref="K472" si="201">SUM(M472:M476)</f>
        <v>6</v>
      </c>
      <c r="L472" s="28">
        <v>2</v>
      </c>
      <c r="M472" s="33">
        <f t="shared" si="193"/>
        <v>2</v>
      </c>
      <c r="N472" s="1">
        <v>2414981100</v>
      </c>
    </row>
    <row r="473" spans="1:14" ht="18" customHeight="1" x14ac:dyDescent="0.45">
      <c r="A473" s="8">
        <v>467</v>
      </c>
      <c r="B473" s="35" t="str">
        <f t="shared" ref="B473:C476" si="202">B472</f>
        <v>神奈川静岡本部</v>
      </c>
      <c r="C473" s="35" t="str">
        <f t="shared" si="202"/>
        <v>ラヴィーレ浜川崎</v>
      </c>
      <c r="D473" s="9" t="s">
        <v>4</v>
      </c>
      <c r="E473" s="10">
        <v>1</v>
      </c>
      <c r="F473" s="11">
        <v>4</v>
      </c>
      <c r="G473" s="12">
        <v>4</v>
      </c>
      <c r="H473" s="11">
        <v>4</v>
      </c>
      <c r="I473" s="12">
        <v>4</v>
      </c>
      <c r="J473" s="10">
        <v>8</v>
      </c>
      <c r="K473" s="38">
        <f t="shared" si="198"/>
        <v>6</v>
      </c>
      <c r="L473" s="28">
        <v>2</v>
      </c>
      <c r="M473" s="33">
        <f t="shared" si="193"/>
        <v>2</v>
      </c>
      <c r="N473" s="1">
        <v>2414981100</v>
      </c>
    </row>
    <row r="474" spans="1:14" ht="18" customHeight="1" x14ac:dyDescent="0.45">
      <c r="A474" s="8">
        <v>468</v>
      </c>
      <c r="B474" s="35" t="str">
        <f t="shared" si="202"/>
        <v>神奈川静岡本部</v>
      </c>
      <c r="C474" s="35" t="str">
        <f t="shared" si="202"/>
        <v>ラヴィーレ浜川崎</v>
      </c>
      <c r="D474" s="9" t="s">
        <v>5</v>
      </c>
      <c r="E474" s="10">
        <v>2</v>
      </c>
      <c r="F474" s="11">
        <v>35</v>
      </c>
      <c r="G474" s="12">
        <v>17.5</v>
      </c>
      <c r="H474" s="11">
        <v>0</v>
      </c>
      <c r="I474" s="12">
        <v>0</v>
      </c>
      <c r="J474" s="10">
        <v>35</v>
      </c>
      <c r="K474" s="38">
        <f t="shared" si="198"/>
        <v>6</v>
      </c>
      <c r="L474" s="28">
        <v>2</v>
      </c>
      <c r="M474" s="33">
        <f t="shared" si="193"/>
        <v>2</v>
      </c>
      <c r="N474" s="1">
        <v>2414981100</v>
      </c>
    </row>
    <row r="475" spans="1:14" ht="18" customHeight="1" x14ac:dyDescent="0.45">
      <c r="A475" s="8">
        <v>469</v>
      </c>
      <c r="B475" s="35" t="str">
        <f t="shared" si="202"/>
        <v>神奈川静岡本部</v>
      </c>
      <c r="C475" s="35" t="str">
        <f t="shared" si="202"/>
        <v>ラヴィーレ浜川崎</v>
      </c>
      <c r="D475" s="9" t="s">
        <v>6</v>
      </c>
      <c r="E475" s="10">
        <v>3</v>
      </c>
      <c r="F475" s="11">
        <v>2</v>
      </c>
      <c r="G475" s="12">
        <v>0.7</v>
      </c>
      <c r="H475" s="11">
        <v>0</v>
      </c>
      <c r="I475" s="12">
        <v>0</v>
      </c>
      <c r="J475" s="10">
        <v>2</v>
      </c>
      <c r="K475" s="38">
        <f t="shared" si="198"/>
        <v>6</v>
      </c>
      <c r="L475" s="28">
        <v>0</v>
      </c>
      <c r="M475" s="33">
        <f t="shared" si="193"/>
        <v>0</v>
      </c>
      <c r="N475" s="1">
        <v>2414981100</v>
      </c>
    </row>
    <row r="476" spans="1:14" ht="18" customHeight="1" x14ac:dyDescent="0.45">
      <c r="A476" s="8">
        <v>470</v>
      </c>
      <c r="B476" s="36" t="str">
        <f t="shared" si="202"/>
        <v>神奈川静岡本部</v>
      </c>
      <c r="C476" s="36" t="str">
        <f t="shared" si="202"/>
        <v>ラヴィーレ浜川崎</v>
      </c>
      <c r="D476" s="9" t="s">
        <v>2</v>
      </c>
      <c r="E476" s="10">
        <v>1</v>
      </c>
      <c r="F476" s="11">
        <v>0</v>
      </c>
      <c r="G476" s="12">
        <v>0</v>
      </c>
      <c r="H476" s="11">
        <v>0</v>
      </c>
      <c r="I476" s="12">
        <v>0</v>
      </c>
      <c r="J476" s="10">
        <v>0</v>
      </c>
      <c r="K476" s="39">
        <f t="shared" si="198"/>
        <v>6</v>
      </c>
      <c r="L476" s="28">
        <v>0</v>
      </c>
      <c r="M476" s="33">
        <f t="shared" si="193"/>
        <v>0</v>
      </c>
      <c r="N476" s="1">
        <v>2414981100</v>
      </c>
    </row>
    <row r="477" spans="1:14" ht="18" customHeight="1" x14ac:dyDescent="0.45">
      <c r="A477" s="13">
        <v>471</v>
      </c>
      <c r="B477" s="40" t="s">
        <v>48</v>
      </c>
      <c r="C477" s="40" t="s">
        <v>237</v>
      </c>
      <c r="D477" s="14" t="s">
        <v>3</v>
      </c>
      <c r="E477" s="15">
        <v>1</v>
      </c>
      <c r="F477" s="16">
        <v>23</v>
      </c>
      <c r="G477" s="17">
        <v>23</v>
      </c>
      <c r="H477" s="16">
        <v>0</v>
      </c>
      <c r="I477" s="17">
        <v>0</v>
      </c>
      <c r="J477" s="15">
        <v>23</v>
      </c>
      <c r="K477" s="43">
        <f t="shared" ref="K477" si="203">SUM(M477:M481)</f>
        <v>6</v>
      </c>
      <c r="L477" s="28">
        <v>2</v>
      </c>
      <c r="M477" s="33">
        <f t="shared" si="193"/>
        <v>2</v>
      </c>
      <c r="N477" s="1">
        <v>2414991100</v>
      </c>
    </row>
    <row r="478" spans="1:14" ht="18" customHeight="1" x14ac:dyDescent="0.45">
      <c r="A478" s="13">
        <v>472</v>
      </c>
      <c r="B478" s="41" t="str">
        <f t="shared" ref="B478:C481" si="204">B477</f>
        <v>神奈川静岡本部</v>
      </c>
      <c r="C478" s="41" t="str">
        <f t="shared" si="204"/>
        <v>ラヴィーレ川崎</v>
      </c>
      <c r="D478" s="14" t="s">
        <v>4</v>
      </c>
      <c r="E478" s="15">
        <v>2</v>
      </c>
      <c r="F478" s="16">
        <v>15</v>
      </c>
      <c r="G478" s="17">
        <v>7.5</v>
      </c>
      <c r="H478" s="16">
        <v>5</v>
      </c>
      <c r="I478" s="17">
        <v>2.5</v>
      </c>
      <c r="J478" s="15">
        <v>20</v>
      </c>
      <c r="K478" s="44">
        <f t="shared" si="198"/>
        <v>6</v>
      </c>
      <c r="L478" s="28">
        <v>2</v>
      </c>
      <c r="M478" s="33">
        <f t="shared" si="193"/>
        <v>2</v>
      </c>
      <c r="N478" s="1">
        <v>2414991100</v>
      </c>
    </row>
    <row r="479" spans="1:14" ht="18" customHeight="1" x14ac:dyDescent="0.45">
      <c r="A479" s="13">
        <v>473</v>
      </c>
      <c r="B479" s="41" t="str">
        <f t="shared" si="204"/>
        <v>神奈川静岡本部</v>
      </c>
      <c r="C479" s="41" t="str">
        <f t="shared" si="204"/>
        <v>ラヴィーレ川崎</v>
      </c>
      <c r="D479" s="14" t="s">
        <v>5</v>
      </c>
      <c r="E479" s="15">
        <v>2</v>
      </c>
      <c r="F479" s="16">
        <v>26</v>
      </c>
      <c r="G479" s="17">
        <v>13</v>
      </c>
      <c r="H479" s="16">
        <v>0</v>
      </c>
      <c r="I479" s="17">
        <v>0</v>
      </c>
      <c r="J479" s="15">
        <v>26</v>
      </c>
      <c r="K479" s="44">
        <f t="shared" si="198"/>
        <v>6</v>
      </c>
      <c r="L479" s="28">
        <v>2</v>
      </c>
      <c r="M479" s="33">
        <f t="shared" si="193"/>
        <v>2</v>
      </c>
      <c r="N479" s="1">
        <v>2414991100</v>
      </c>
    </row>
    <row r="480" spans="1:14" ht="18" customHeight="1" x14ac:dyDescent="0.45">
      <c r="A480" s="13">
        <v>474</v>
      </c>
      <c r="B480" s="41" t="str">
        <f t="shared" si="204"/>
        <v>神奈川静岡本部</v>
      </c>
      <c r="C480" s="41" t="str">
        <f t="shared" si="204"/>
        <v>ラヴィーレ川崎</v>
      </c>
      <c r="D480" s="14" t="s">
        <v>6</v>
      </c>
      <c r="E480" s="15">
        <v>4</v>
      </c>
      <c r="F480" s="16">
        <v>0</v>
      </c>
      <c r="G480" s="17">
        <v>0</v>
      </c>
      <c r="H480" s="16">
        <v>0</v>
      </c>
      <c r="I480" s="17">
        <v>0</v>
      </c>
      <c r="J480" s="15">
        <v>0</v>
      </c>
      <c r="K480" s="44">
        <f t="shared" si="198"/>
        <v>6</v>
      </c>
      <c r="L480" s="28">
        <v>0</v>
      </c>
      <c r="M480" s="33">
        <f t="shared" si="193"/>
        <v>0</v>
      </c>
      <c r="N480" s="1">
        <v>2414991100</v>
      </c>
    </row>
    <row r="481" spans="1:14" ht="18" customHeight="1" x14ac:dyDescent="0.45">
      <c r="A481" s="13">
        <v>475</v>
      </c>
      <c r="B481" s="42" t="str">
        <f t="shared" si="204"/>
        <v>神奈川静岡本部</v>
      </c>
      <c r="C481" s="42" t="str">
        <f t="shared" si="204"/>
        <v>ラヴィーレ川崎</v>
      </c>
      <c r="D481" s="14" t="s">
        <v>2</v>
      </c>
      <c r="E481" s="15">
        <v>2</v>
      </c>
      <c r="F481" s="16">
        <v>3</v>
      </c>
      <c r="G481" s="17">
        <v>1.5</v>
      </c>
      <c r="H481" s="16">
        <v>0</v>
      </c>
      <c r="I481" s="17">
        <v>0</v>
      </c>
      <c r="J481" s="15">
        <v>3</v>
      </c>
      <c r="K481" s="45">
        <f t="shared" si="198"/>
        <v>6</v>
      </c>
      <c r="L481" s="28">
        <v>0</v>
      </c>
      <c r="M481" s="33">
        <f t="shared" si="193"/>
        <v>0</v>
      </c>
      <c r="N481" s="1">
        <v>2414991100</v>
      </c>
    </row>
    <row r="482" spans="1:14" ht="18" customHeight="1" x14ac:dyDescent="0.45">
      <c r="A482" s="8">
        <v>476</v>
      </c>
      <c r="B482" s="34" t="s">
        <v>48</v>
      </c>
      <c r="C482" s="34" t="s">
        <v>53</v>
      </c>
      <c r="D482" s="9" t="s">
        <v>3</v>
      </c>
      <c r="E482" s="10">
        <v>1</v>
      </c>
      <c r="F482" s="11">
        <v>3</v>
      </c>
      <c r="G482" s="12">
        <v>3</v>
      </c>
      <c r="H482" s="11">
        <v>0</v>
      </c>
      <c r="I482" s="12">
        <v>0</v>
      </c>
      <c r="J482" s="10">
        <v>3</v>
      </c>
      <c r="K482" s="37">
        <f t="shared" ref="K482" si="205">SUM(M482:M486)</f>
        <v>2</v>
      </c>
      <c r="L482" s="28">
        <v>0</v>
      </c>
      <c r="M482" s="33">
        <f t="shared" si="193"/>
        <v>0</v>
      </c>
      <c r="N482" s="1">
        <v>2415001200</v>
      </c>
    </row>
    <row r="483" spans="1:14" ht="18" customHeight="1" x14ac:dyDescent="0.45">
      <c r="A483" s="8">
        <v>477</v>
      </c>
      <c r="B483" s="35" t="str">
        <f t="shared" ref="B483:C486" si="206">B482</f>
        <v>神奈川静岡本部</v>
      </c>
      <c r="C483" s="35" t="str">
        <f t="shared" si="206"/>
        <v>そんぽの家　御幸公園</v>
      </c>
      <c r="D483" s="9" t="s">
        <v>4</v>
      </c>
      <c r="E483" s="10">
        <v>1</v>
      </c>
      <c r="F483" s="11">
        <v>14</v>
      </c>
      <c r="G483" s="12">
        <v>14</v>
      </c>
      <c r="H483" s="11">
        <v>0</v>
      </c>
      <c r="I483" s="12">
        <v>0</v>
      </c>
      <c r="J483" s="10">
        <v>14</v>
      </c>
      <c r="K483" s="38">
        <f t="shared" si="198"/>
        <v>2</v>
      </c>
      <c r="L483" s="28">
        <v>2</v>
      </c>
      <c r="M483" s="33">
        <f t="shared" si="193"/>
        <v>2</v>
      </c>
      <c r="N483" s="1">
        <v>2415001200</v>
      </c>
    </row>
    <row r="484" spans="1:14" ht="18" customHeight="1" x14ac:dyDescent="0.45">
      <c r="A484" s="8">
        <v>478</v>
      </c>
      <c r="B484" s="35" t="str">
        <f t="shared" si="206"/>
        <v>神奈川静岡本部</v>
      </c>
      <c r="C484" s="35" t="str">
        <f t="shared" si="206"/>
        <v>そんぽの家　御幸公園</v>
      </c>
      <c r="D484" s="9" t="s">
        <v>5</v>
      </c>
      <c r="E484" s="10">
        <v>2</v>
      </c>
      <c r="F484" s="11">
        <v>3</v>
      </c>
      <c r="G484" s="12">
        <v>1.5</v>
      </c>
      <c r="H484" s="11">
        <v>0</v>
      </c>
      <c r="I484" s="12">
        <v>0</v>
      </c>
      <c r="J484" s="10">
        <v>3</v>
      </c>
      <c r="K484" s="38">
        <f t="shared" si="198"/>
        <v>2</v>
      </c>
      <c r="L484" s="28">
        <v>0</v>
      </c>
      <c r="M484" s="33">
        <f t="shared" si="193"/>
        <v>0</v>
      </c>
      <c r="N484" s="1">
        <v>2415001200</v>
      </c>
    </row>
    <row r="485" spans="1:14" ht="18" customHeight="1" x14ac:dyDescent="0.45">
      <c r="A485" s="8">
        <v>479</v>
      </c>
      <c r="B485" s="35" t="str">
        <f t="shared" si="206"/>
        <v>神奈川静岡本部</v>
      </c>
      <c r="C485" s="35" t="str">
        <f t="shared" si="206"/>
        <v>そんぽの家　御幸公園</v>
      </c>
      <c r="D485" s="9" t="s">
        <v>6</v>
      </c>
      <c r="E485" s="10">
        <v>6</v>
      </c>
      <c r="F485" s="11">
        <v>0</v>
      </c>
      <c r="G485" s="12">
        <v>0</v>
      </c>
      <c r="H485" s="11">
        <v>0</v>
      </c>
      <c r="I485" s="12">
        <v>0</v>
      </c>
      <c r="J485" s="10">
        <v>0</v>
      </c>
      <c r="K485" s="38">
        <f t="shared" si="198"/>
        <v>2</v>
      </c>
      <c r="L485" s="28">
        <v>0</v>
      </c>
      <c r="M485" s="33">
        <f t="shared" si="193"/>
        <v>0</v>
      </c>
      <c r="N485" s="1">
        <v>2415001200</v>
      </c>
    </row>
    <row r="486" spans="1:14" ht="18" customHeight="1" x14ac:dyDescent="0.45">
      <c r="A486" s="8">
        <v>480</v>
      </c>
      <c r="B486" s="36" t="str">
        <f t="shared" si="206"/>
        <v>神奈川静岡本部</v>
      </c>
      <c r="C486" s="36" t="str">
        <f t="shared" si="206"/>
        <v>そんぽの家　御幸公園</v>
      </c>
      <c r="D486" s="9" t="s">
        <v>2</v>
      </c>
      <c r="E486" s="10">
        <v>1</v>
      </c>
      <c r="F486" s="11">
        <v>0</v>
      </c>
      <c r="G486" s="12">
        <v>0</v>
      </c>
      <c r="H486" s="11">
        <v>0</v>
      </c>
      <c r="I486" s="12">
        <v>0</v>
      </c>
      <c r="J486" s="10">
        <v>0</v>
      </c>
      <c r="K486" s="39">
        <f t="shared" si="198"/>
        <v>2</v>
      </c>
      <c r="L486" s="28">
        <v>0</v>
      </c>
      <c r="M486" s="33">
        <f t="shared" si="193"/>
        <v>0</v>
      </c>
      <c r="N486" s="1">
        <v>2415001200</v>
      </c>
    </row>
    <row r="487" spans="1:14" ht="18" customHeight="1" x14ac:dyDescent="0.45">
      <c r="A487" s="13">
        <v>481</v>
      </c>
      <c r="B487" s="40" t="s">
        <v>48</v>
      </c>
      <c r="C487" s="40" t="s">
        <v>54</v>
      </c>
      <c r="D487" s="14" t="s">
        <v>3</v>
      </c>
      <c r="E487" s="15">
        <v>1</v>
      </c>
      <c r="F487" s="16">
        <v>19</v>
      </c>
      <c r="G487" s="17">
        <v>19</v>
      </c>
      <c r="H487" s="16">
        <v>19</v>
      </c>
      <c r="I487" s="17">
        <v>19</v>
      </c>
      <c r="J487" s="15">
        <v>38</v>
      </c>
      <c r="K487" s="43">
        <f t="shared" ref="K487" si="207">SUM(M487:M491)</f>
        <v>6</v>
      </c>
      <c r="L487" s="28">
        <v>2</v>
      </c>
      <c r="M487" s="33">
        <f t="shared" si="193"/>
        <v>2</v>
      </c>
      <c r="N487" s="1">
        <v>2415021200</v>
      </c>
    </row>
    <row r="488" spans="1:14" ht="18" customHeight="1" x14ac:dyDescent="0.45">
      <c r="A488" s="13">
        <v>482</v>
      </c>
      <c r="B488" s="41" t="str">
        <f t="shared" ref="B488:C491" si="208">B487</f>
        <v>神奈川静岡本部</v>
      </c>
      <c r="C488" s="41" t="str">
        <f t="shared" si="208"/>
        <v>そんぽの家　小倉</v>
      </c>
      <c r="D488" s="14" t="s">
        <v>4</v>
      </c>
      <c r="E488" s="15">
        <v>1</v>
      </c>
      <c r="F488" s="16">
        <v>3</v>
      </c>
      <c r="G488" s="17">
        <v>3</v>
      </c>
      <c r="H488" s="16">
        <v>2</v>
      </c>
      <c r="I488" s="17">
        <v>2</v>
      </c>
      <c r="J488" s="15">
        <v>5</v>
      </c>
      <c r="K488" s="44">
        <f t="shared" si="198"/>
        <v>6</v>
      </c>
      <c r="L488" s="28">
        <v>1</v>
      </c>
      <c r="M488" s="33">
        <f t="shared" si="193"/>
        <v>1</v>
      </c>
      <c r="N488" s="1">
        <v>2415021200</v>
      </c>
    </row>
    <row r="489" spans="1:14" ht="18" customHeight="1" x14ac:dyDescent="0.45">
      <c r="A489" s="13">
        <v>483</v>
      </c>
      <c r="B489" s="41" t="str">
        <f t="shared" si="208"/>
        <v>神奈川静岡本部</v>
      </c>
      <c r="C489" s="41" t="str">
        <f t="shared" si="208"/>
        <v>そんぽの家　小倉</v>
      </c>
      <c r="D489" s="14" t="s">
        <v>5</v>
      </c>
      <c r="E489" s="15">
        <v>1</v>
      </c>
      <c r="F489" s="16">
        <v>12</v>
      </c>
      <c r="G489" s="17">
        <v>12</v>
      </c>
      <c r="H489" s="16">
        <v>0</v>
      </c>
      <c r="I489" s="17">
        <v>0</v>
      </c>
      <c r="J489" s="15">
        <v>12</v>
      </c>
      <c r="K489" s="44">
        <f t="shared" si="198"/>
        <v>6</v>
      </c>
      <c r="L489" s="28">
        <v>2</v>
      </c>
      <c r="M489" s="33">
        <f t="shared" si="193"/>
        <v>2</v>
      </c>
      <c r="N489" s="1">
        <v>2415021200</v>
      </c>
    </row>
    <row r="490" spans="1:14" ht="18" customHeight="1" x14ac:dyDescent="0.45">
      <c r="A490" s="13">
        <v>484</v>
      </c>
      <c r="B490" s="41" t="str">
        <f t="shared" si="208"/>
        <v>神奈川静岡本部</v>
      </c>
      <c r="C490" s="41" t="str">
        <f t="shared" si="208"/>
        <v>そんぽの家　小倉</v>
      </c>
      <c r="D490" s="14" t="s">
        <v>6</v>
      </c>
      <c r="E490" s="15">
        <v>2</v>
      </c>
      <c r="F490" s="16">
        <v>0</v>
      </c>
      <c r="G490" s="17">
        <v>0</v>
      </c>
      <c r="H490" s="16">
        <v>0</v>
      </c>
      <c r="I490" s="17">
        <v>0</v>
      </c>
      <c r="J490" s="15">
        <v>0</v>
      </c>
      <c r="K490" s="44">
        <f t="shared" si="198"/>
        <v>6</v>
      </c>
      <c r="L490" s="28">
        <v>0</v>
      </c>
      <c r="M490" s="33">
        <f t="shared" si="193"/>
        <v>0</v>
      </c>
      <c r="N490" s="1">
        <v>2415021200</v>
      </c>
    </row>
    <row r="491" spans="1:14" ht="18" customHeight="1" x14ac:dyDescent="0.45">
      <c r="A491" s="13">
        <v>485</v>
      </c>
      <c r="B491" s="42" t="str">
        <f t="shared" si="208"/>
        <v>神奈川静岡本部</v>
      </c>
      <c r="C491" s="42" t="str">
        <f t="shared" si="208"/>
        <v>そんぽの家　小倉</v>
      </c>
      <c r="D491" s="14" t="s">
        <v>2</v>
      </c>
      <c r="E491" s="15">
        <v>1</v>
      </c>
      <c r="F491" s="16">
        <v>6</v>
      </c>
      <c r="G491" s="17">
        <v>6</v>
      </c>
      <c r="H491" s="16">
        <v>0</v>
      </c>
      <c r="I491" s="17">
        <v>0</v>
      </c>
      <c r="J491" s="15">
        <v>6</v>
      </c>
      <c r="K491" s="45">
        <f t="shared" si="198"/>
        <v>6</v>
      </c>
      <c r="L491" s="28">
        <v>1</v>
      </c>
      <c r="M491" s="33">
        <f t="shared" si="193"/>
        <v>1</v>
      </c>
      <c r="N491" s="1">
        <v>2415021200</v>
      </c>
    </row>
    <row r="492" spans="1:14" ht="18" customHeight="1" x14ac:dyDescent="0.45">
      <c r="A492" s="8">
        <v>486</v>
      </c>
      <c r="B492" s="34" t="s">
        <v>48</v>
      </c>
      <c r="C492" s="34" t="s">
        <v>55</v>
      </c>
      <c r="D492" s="9" t="s">
        <v>3</v>
      </c>
      <c r="E492" s="10">
        <v>1</v>
      </c>
      <c r="F492" s="11">
        <v>4</v>
      </c>
      <c r="G492" s="12">
        <v>4</v>
      </c>
      <c r="H492" s="11">
        <v>4</v>
      </c>
      <c r="I492" s="12">
        <v>4</v>
      </c>
      <c r="J492" s="10">
        <v>8</v>
      </c>
      <c r="K492" s="37">
        <f t="shared" ref="K492" si="209">SUM(M492:M496)</f>
        <v>2</v>
      </c>
      <c r="L492" s="28">
        <v>2</v>
      </c>
      <c r="M492" s="33">
        <f t="shared" si="193"/>
        <v>2</v>
      </c>
      <c r="N492" s="1">
        <v>2415031200</v>
      </c>
    </row>
    <row r="493" spans="1:14" ht="18" customHeight="1" x14ac:dyDescent="0.45">
      <c r="A493" s="8">
        <v>487</v>
      </c>
      <c r="B493" s="35" t="str">
        <f t="shared" ref="B493:C496" si="210">B492</f>
        <v>神奈川静岡本部</v>
      </c>
      <c r="C493" s="35" t="str">
        <f t="shared" si="210"/>
        <v>そんぽの家　新川崎</v>
      </c>
      <c r="D493" s="9" t="s">
        <v>4</v>
      </c>
      <c r="E493" s="10">
        <v>1</v>
      </c>
      <c r="F493" s="11">
        <v>2</v>
      </c>
      <c r="G493" s="12">
        <v>2</v>
      </c>
      <c r="H493" s="11">
        <v>0</v>
      </c>
      <c r="I493" s="12">
        <v>0</v>
      </c>
      <c r="J493" s="10">
        <v>2</v>
      </c>
      <c r="K493" s="38">
        <f t="shared" si="198"/>
        <v>2</v>
      </c>
      <c r="L493" s="28">
        <v>0</v>
      </c>
      <c r="M493" s="33">
        <f t="shared" si="193"/>
        <v>0</v>
      </c>
      <c r="N493" s="1">
        <v>2415031200</v>
      </c>
    </row>
    <row r="494" spans="1:14" ht="18" customHeight="1" x14ac:dyDescent="0.45">
      <c r="A494" s="8">
        <v>488</v>
      </c>
      <c r="B494" s="35" t="str">
        <f t="shared" si="210"/>
        <v>神奈川静岡本部</v>
      </c>
      <c r="C494" s="35" t="str">
        <f t="shared" si="210"/>
        <v>そんぽの家　新川崎</v>
      </c>
      <c r="D494" s="9" t="s">
        <v>5</v>
      </c>
      <c r="E494" s="10">
        <v>2</v>
      </c>
      <c r="F494" s="11">
        <v>1</v>
      </c>
      <c r="G494" s="12">
        <v>0.5</v>
      </c>
      <c r="H494" s="11">
        <v>0</v>
      </c>
      <c r="I494" s="12">
        <v>0</v>
      </c>
      <c r="J494" s="10">
        <v>1</v>
      </c>
      <c r="K494" s="38">
        <f t="shared" si="198"/>
        <v>2</v>
      </c>
      <c r="L494" s="28">
        <v>0</v>
      </c>
      <c r="M494" s="33">
        <f t="shared" si="193"/>
        <v>0</v>
      </c>
      <c r="N494" s="1">
        <v>2415031200</v>
      </c>
    </row>
    <row r="495" spans="1:14" ht="18" customHeight="1" x14ac:dyDescent="0.45">
      <c r="A495" s="8">
        <v>489</v>
      </c>
      <c r="B495" s="35" t="str">
        <f t="shared" si="210"/>
        <v>神奈川静岡本部</v>
      </c>
      <c r="C495" s="35" t="str">
        <f t="shared" si="210"/>
        <v>そんぽの家　新川崎</v>
      </c>
      <c r="D495" s="9" t="s">
        <v>6</v>
      </c>
      <c r="E495" s="10">
        <v>3</v>
      </c>
      <c r="F495" s="11">
        <v>0</v>
      </c>
      <c r="G495" s="12">
        <v>0</v>
      </c>
      <c r="H495" s="11">
        <v>0</v>
      </c>
      <c r="I495" s="12">
        <v>0</v>
      </c>
      <c r="J495" s="10">
        <v>0</v>
      </c>
      <c r="K495" s="38">
        <f t="shared" si="198"/>
        <v>2</v>
      </c>
      <c r="L495" s="28">
        <v>0</v>
      </c>
      <c r="M495" s="33">
        <f t="shared" si="193"/>
        <v>0</v>
      </c>
      <c r="N495" s="1">
        <v>2415031200</v>
      </c>
    </row>
    <row r="496" spans="1:14" ht="18" customHeight="1" x14ac:dyDescent="0.45">
      <c r="A496" s="8">
        <v>490</v>
      </c>
      <c r="B496" s="36" t="str">
        <f t="shared" si="210"/>
        <v>神奈川静岡本部</v>
      </c>
      <c r="C496" s="36" t="str">
        <f t="shared" si="210"/>
        <v>そんぽの家　新川崎</v>
      </c>
      <c r="D496" s="9" t="s">
        <v>2</v>
      </c>
      <c r="E496" s="10">
        <v>0</v>
      </c>
      <c r="F496" s="11">
        <v>0</v>
      </c>
      <c r="G496" s="12">
        <v>0</v>
      </c>
      <c r="H496" s="11">
        <v>0</v>
      </c>
      <c r="I496" s="12">
        <v>0</v>
      </c>
      <c r="J496" s="10">
        <v>0</v>
      </c>
      <c r="K496" s="39">
        <f t="shared" si="198"/>
        <v>2</v>
      </c>
      <c r="L496" s="28">
        <v>0</v>
      </c>
      <c r="M496" s="33">
        <f t="shared" si="193"/>
        <v>0</v>
      </c>
      <c r="N496" s="1">
        <v>2415031200</v>
      </c>
    </row>
    <row r="497" spans="1:14" ht="18" customHeight="1" x14ac:dyDescent="0.45">
      <c r="A497" s="13">
        <v>491</v>
      </c>
      <c r="B497" s="40" t="s">
        <v>48</v>
      </c>
      <c r="C497" s="40" t="s">
        <v>238</v>
      </c>
      <c r="D497" s="14" t="s">
        <v>3</v>
      </c>
      <c r="E497" s="15">
        <v>1</v>
      </c>
      <c r="F497" s="16">
        <v>7</v>
      </c>
      <c r="G497" s="17">
        <v>7</v>
      </c>
      <c r="H497" s="16">
        <v>1</v>
      </c>
      <c r="I497" s="17">
        <v>1</v>
      </c>
      <c r="J497" s="15">
        <v>8</v>
      </c>
      <c r="K497" s="43">
        <f t="shared" ref="K497" si="211">SUM(M497:M501)</f>
        <v>6</v>
      </c>
      <c r="L497" s="28">
        <v>2</v>
      </c>
      <c r="M497" s="33">
        <f t="shared" si="193"/>
        <v>2</v>
      </c>
      <c r="N497" s="1">
        <v>2415071100</v>
      </c>
    </row>
    <row r="498" spans="1:14" ht="18" customHeight="1" x14ac:dyDescent="0.45">
      <c r="A498" s="13">
        <v>492</v>
      </c>
      <c r="B498" s="41" t="str">
        <f t="shared" ref="B498:C501" si="212">B497</f>
        <v>神奈川静岡本部</v>
      </c>
      <c r="C498" s="41" t="str">
        <f t="shared" si="212"/>
        <v>ラヴィーレ溝の口弐番館</v>
      </c>
      <c r="D498" s="14" t="s">
        <v>4</v>
      </c>
      <c r="E498" s="15">
        <v>2</v>
      </c>
      <c r="F498" s="16">
        <v>23</v>
      </c>
      <c r="G498" s="17">
        <v>11.5</v>
      </c>
      <c r="H498" s="16">
        <v>2</v>
      </c>
      <c r="I498" s="17">
        <v>1</v>
      </c>
      <c r="J498" s="15">
        <v>25</v>
      </c>
      <c r="K498" s="44">
        <f t="shared" si="198"/>
        <v>6</v>
      </c>
      <c r="L498" s="28">
        <v>2</v>
      </c>
      <c r="M498" s="33">
        <f t="shared" si="193"/>
        <v>2</v>
      </c>
      <c r="N498" s="1">
        <v>2415071100</v>
      </c>
    </row>
    <row r="499" spans="1:14" ht="18" customHeight="1" x14ac:dyDescent="0.45">
      <c r="A499" s="13">
        <v>493</v>
      </c>
      <c r="B499" s="41" t="str">
        <f t="shared" si="212"/>
        <v>神奈川静岡本部</v>
      </c>
      <c r="C499" s="41" t="str">
        <f t="shared" si="212"/>
        <v>ラヴィーレ溝の口弐番館</v>
      </c>
      <c r="D499" s="14" t="s">
        <v>5</v>
      </c>
      <c r="E499" s="15">
        <v>1</v>
      </c>
      <c r="F499" s="16">
        <v>20</v>
      </c>
      <c r="G499" s="17">
        <v>20</v>
      </c>
      <c r="H499" s="16">
        <v>0</v>
      </c>
      <c r="I499" s="17">
        <v>0</v>
      </c>
      <c r="J499" s="15">
        <v>20</v>
      </c>
      <c r="K499" s="44">
        <f t="shared" si="198"/>
        <v>6</v>
      </c>
      <c r="L499" s="28">
        <v>2</v>
      </c>
      <c r="M499" s="33">
        <f t="shared" si="193"/>
        <v>2</v>
      </c>
      <c r="N499" s="1">
        <v>2415071100</v>
      </c>
    </row>
    <row r="500" spans="1:14" ht="18" customHeight="1" x14ac:dyDescent="0.45">
      <c r="A500" s="13">
        <v>494</v>
      </c>
      <c r="B500" s="41" t="str">
        <f t="shared" si="212"/>
        <v>神奈川静岡本部</v>
      </c>
      <c r="C500" s="41" t="str">
        <f t="shared" si="212"/>
        <v>ラヴィーレ溝の口弐番館</v>
      </c>
      <c r="D500" s="14" t="s">
        <v>6</v>
      </c>
      <c r="E500" s="15">
        <v>3</v>
      </c>
      <c r="F500" s="16">
        <v>0</v>
      </c>
      <c r="G500" s="17">
        <v>0</v>
      </c>
      <c r="H500" s="16">
        <v>0</v>
      </c>
      <c r="I500" s="17">
        <v>0</v>
      </c>
      <c r="J500" s="15">
        <v>0</v>
      </c>
      <c r="K500" s="44">
        <f t="shared" si="198"/>
        <v>6</v>
      </c>
      <c r="L500" s="28">
        <v>0</v>
      </c>
      <c r="M500" s="33">
        <f t="shared" si="193"/>
        <v>0</v>
      </c>
      <c r="N500" s="1">
        <v>2415071100</v>
      </c>
    </row>
    <row r="501" spans="1:14" ht="18" customHeight="1" x14ac:dyDescent="0.45">
      <c r="A501" s="13">
        <v>495</v>
      </c>
      <c r="B501" s="42" t="str">
        <f t="shared" si="212"/>
        <v>神奈川静岡本部</v>
      </c>
      <c r="C501" s="42" t="str">
        <f t="shared" si="212"/>
        <v>ラヴィーレ溝の口弐番館</v>
      </c>
      <c r="D501" s="14" t="s">
        <v>2</v>
      </c>
      <c r="E501" s="15">
        <v>1</v>
      </c>
      <c r="F501" s="16">
        <v>1</v>
      </c>
      <c r="G501" s="17">
        <v>1</v>
      </c>
      <c r="H501" s="16">
        <v>0</v>
      </c>
      <c r="I501" s="17">
        <v>0</v>
      </c>
      <c r="J501" s="15">
        <v>1</v>
      </c>
      <c r="K501" s="45">
        <f t="shared" si="198"/>
        <v>6</v>
      </c>
      <c r="L501" s="28">
        <v>0</v>
      </c>
      <c r="M501" s="33">
        <f t="shared" si="193"/>
        <v>0</v>
      </c>
      <c r="N501" s="1">
        <v>2415071100</v>
      </c>
    </row>
    <row r="502" spans="1:14" ht="18" customHeight="1" x14ac:dyDescent="0.45">
      <c r="A502" s="8">
        <v>496</v>
      </c>
      <c r="B502" s="34" t="s">
        <v>48</v>
      </c>
      <c r="C502" s="34" t="s">
        <v>239</v>
      </c>
      <c r="D502" s="9" t="s">
        <v>3</v>
      </c>
      <c r="E502" s="10">
        <v>1</v>
      </c>
      <c r="F502" s="11">
        <v>10</v>
      </c>
      <c r="G502" s="12">
        <v>10</v>
      </c>
      <c r="H502" s="11">
        <v>2</v>
      </c>
      <c r="I502" s="12">
        <v>2</v>
      </c>
      <c r="J502" s="10">
        <v>12</v>
      </c>
      <c r="K502" s="37">
        <f t="shared" ref="K502" si="213">SUM(M502:M506)</f>
        <v>6</v>
      </c>
      <c r="L502" s="28">
        <v>2</v>
      </c>
      <c r="M502" s="33">
        <f t="shared" si="193"/>
        <v>2</v>
      </c>
      <c r="N502" s="1">
        <v>2415081100</v>
      </c>
    </row>
    <row r="503" spans="1:14" ht="18" customHeight="1" x14ac:dyDescent="0.45">
      <c r="A503" s="8">
        <v>497</v>
      </c>
      <c r="B503" s="35" t="str">
        <f t="shared" ref="B503:C506" si="214">B502</f>
        <v>神奈川静岡本部</v>
      </c>
      <c r="C503" s="35" t="str">
        <f t="shared" si="214"/>
        <v>ラヴィーレ溝の口</v>
      </c>
      <c r="D503" s="9" t="s">
        <v>4</v>
      </c>
      <c r="E503" s="10">
        <v>1</v>
      </c>
      <c r="F503" s="11">
        <v>15</v>
      </c>
      <c r="G503" s="12">
        <v>15</v>
      </c>
      <c r="H503" s="11">
        <v>0</v>
      </c>
      <c r="I503" s="12">
        <v>0</v>
      </c>
      <c r="J503" s="10">
        <v>15</v>
      </c>
      <c r="K503" s="38">
        <f t="shared" si="198"/>
        <v>6</v>
      </c>
      <c r="L503" s="28">
        <v>2</v>
      </c>
      <c r="M503" s="33">
        <f t="shared" si="193"/>
        <v>2</v>
      </c>
      <c r="N503" s="1">
        <v>2415081100</v>
      </c>
    </row>
    <row r="504" spans="1:14" ht="18" customHeight="1" x14ac:dyDescent="0.45">
      <c r="A504" s="8">
        <v>498</v>
      </c>
      <c r="B504" s="35" t="str">
        <f t="shared" si="214"/>
        <v>神奈川静岡本部</v>
      </c>
      <c r="C504" s="35" t="str">
        <f t="shared" si="214"/>
        <v>ラヴィーレ溝の口</v>
      </c>
      <c r="D504" s="9" t="s">
        <v>5</v>
      </c>
      <c r="E504" s="10">
        <v>1</v>
      </c>
      <c r="F504" s="11">
        <v>11</v>
      </c>
      <c r="G504" s="12">
        <v>11</v>
      </c>
      <c r="H504" s="11">
        <v>0</v>
      </c>
      <c r="I504" s="12">
        <v>0</v>
      </c>
      <c r="J504" s="10">
        <v>11</v>
      </c>
      <c r="K504" s="38">
        <f t="shared" si="198"/>
        <v>6</v>
      </c>
      <c r="L504" s="28">
        <v>2</v>
      </c>
      <c r="M504" s="33">
        <f t="shared" si="193"/>
        <v>2</v>
      </c>
      <c r="N504" s="1">
        <v>2415081100</v>
      </c>
    </row>
    <row r="505" spans="1:14" ht="18" customHeight="1" x14ac:dyDescent="0.45">
      <c r="A505" s="8">
        <v>499</v>
      </c>
      <c r="B505" s="35" t="str">
        <f t="shared" si="214"/>
        <v>神奈川静岡本部</v>
      </c>
      <c r="C505" s="35" t="str">
        <f t="shared" si="214"/>
        <v>ラヴィーレ溝の口</v>
      </c>
      <c r="D505" s="9" t="s">
        <v>6</v>
      </c>
      <c r="E505" s="10">
        <v>8</v>
      </c>
      <c r="F505" s="11">
        <v>2</v>
      </c>
      <c r="G505" s="12">
        <v>0.3</v>
      </c>
      <c r="H505" s="11">
        <v>0</v>
      </c>
      <c r="I505" s="12">
        <v>0</v>
      </c>
      <c r="J505" s="10">
        <v>2</v>
      </c>
      <c r="K505" s="38">
        <f t="shared" si="198"/>
        <v>6</v>
      </c>
      <c r="L505" s="28">
        <v>0</v>
      </c>
      <c r="M505" s="33">
        <f t="shared" si="193"/>
        <v>0</v>
      </c>
      <c r="N505" s="1">
        <v>2415081100</v>
      </c>
    </row>
    <row r="506" spans="1:14" ht="18" customHeight="1" x14ac:dyDescent="0.45">
      <c r="A506" s="8">
        <v>500</v>
      </c>
      <c r="B506" s="36" t="str">
        <f t="shared" si="214"/>
        <v>神奈川静岡本部</v>
      </c>
      <c r="C506" s="36" t="str">
        <f t="shared" si="214"/>
        <v>ラヴィーレ溝の口</v>
      </c>
      <c r="D506" s="9" t="s">
        <v>2</v>
      </c>
      <c r="E506" s="10">
        <v>3</v>
      </c>
      <c r="F506" s="11">
        <v>2</v>
      </c>
      <c r="G506" s="12">
        <v>0.7</v>
      </c>
      <c r="H506" s="11">
        <v>0</v>
      </c>
      <c r="I506" s="12">
        <v>0</v>
      </c>
      <c r="J506" s="10">
        <v>2</v>
      </c>
      <c r="K506" s="39">
        <f t="shared" si="198"/>
        <v>6</v>
      </c>
      <c r="L506" s="28">
        <v>0</v>
      </c>
      <c r="M506" s="33">
        <f t="shared" si="193"/>
        <v>0</v>
      </c>
      <c r="N506" s="1">
        <v>2415081100</v>
      </c>
    </row>
    <row r="507" spans="1:14" ht="18" customHeight="1" x14ac:dyDescent="0.45">
      <c r="A507" s="13">
        <v>501</v>
      </c>
      <c r="B507" s="40" t="s">
        <v>48</v>
      </c>
      <c r="C507" s="40" t="s">
        <v>56</v>
      </c>
      <c r="D507" s="14" t="s">
        <v>3</v>
      </c>
      <c r="E507" s="15">
        <v>1</v>
      </c>
      <c r="F507" s="16">
        <v>8</v>
      </c>
      <c r="G507" s="17">
        <v>8</v>
      </c>
      <c r="H507" s="16">
        <v>5</v>
      </c>
      <c r="I507" s="17">
        <v>5</v>
      </c>
      <c r="J507" s="15">
        <v>13</v>
      </c>
      <c r="K507" s="43">
        <f t="shared" ref="K507" si="215">SUM(M507:M511)</f>
        <v>6</v>
      </c>
      <c r="L507" s="28">
        <v>2</v>
      </c>
      <c r="M507" s="33">
        <f t="shared" si="193"/>
        <v>2</v>
      </c>
      <c r="N507" s="1">
        <v>2415111200</v>
      </c>
    </row>
    <row r="508" spans="1:14" ht="18" customHeight="1" x14ac:dyDescent="0.45">
      <c r="A508" s="13">
        <v>502</v>
      </c>
      <c r="B508" s="41" t="str">
        <f t="shared" ref="B508:C511" si="216">B507</f>
        <v>神奈川静岡本部</v>
      </c>
      <c r="C508" s="41" t="str">
        <f t="shared" si="216"/>
        <v>そんぽの家　溝の口</v>
      </c>
      <c r="D508" s="14" t="s">
        <v>4</v>
      </c>
      <c r="E508" s="15">
        <v>1</v>
      </c>
      <c r="F508" s="16">
        <v>4</v>
      </c>
      <c r="G508" s="17">
        <v>4</v>
      </c>
      <c r="H508" s="16">
        <v>0</v>
      </c>
      <c r="I508" s="17">
        <v>0</v>
      </c>
      <c r="J508" s="15">
        <v>4</v>
      </c>
      <c r="K508" s="44">
        <f t="shared" si="198"/>
        <v>6</v>
      </c>
      <c r="L508" s="28">
        <v>1</v>
      </c>
      <c r="M508" s="33">
        <f t="shared" si="193"/>
        <v>1</v>
      </c>
      <c r="N508" s="1">
        <v>2415111200</v>
      </c>
    </row>
    <row r="509" spans="1:14" ht="18" customHeight="1" x14ac:dyDescent="0.45">
      <c r="A509" s="13">
        <v>503</v>
      </c>
      <c r="B509" s="41" t="str">
        <f t="shared" si="216"/>
        <v>神奈川静岡本部</v>
      </c>
      <c r="C509" s="41" t="str">
        <f t="shared" si="216"/>
        <v>そんぽの家　溝の口</v>
      </c>
      <c r="D509" s="14" t="s">
        <v>5</v>
      </c>
      <c r="E509" s="15">
        <v>1</v>
      </c>
      <c r="F509" s="16">
        <v>11</v>
      </c>
      <c r="G509" s="17">
        <v>11</v>
      </c>
      <c r="H509" s="16">
        <v>0</v>
      </c>
      <c r="I509" s="17">
        <v>0</v>
      </c>
      <c r="J509" s="15">
        <v>11</v>
      </c>
      <c r="K509" s="44">
        <f t="shared" si="198"/>
        <v>6</v>
      </c>
      <c r="L509" s="28">
        <v>2</v>
      </c>
      <c r="M509" s="33">
        <f t="shared" si="193"/>
        <v>2</v>
      </c>
      <c r="N509" s="1">
        <v>2415111200</v>
      </c>
    </row>
    <row r="510" spans="1:14" ht="18" customHeight="1" x14ac:dyDescent="0.45">
      <c r="A510" s="13">
        <v>504</v>
      </c>
      <c r="B510" s="41" t="str">
        <f t="shared" si="216"/>
        <v>神奈川静岡本部</v>
      </c>
      <c r="C510" s="41" t="str">
        <f t="shared" si="216"/>
        <v>そんぽの家　溝の口</v>
      </c>
      <c r="D510" s="14" t="s">
        <v>6</v>
      </c>
      <c r="E510" s="15">
        <v>4</v>
      </c>
      <c r="F510" s="16">
        <v>1</v>
      </c>
      <c r="G510" s="17">
        <v>0.3</v>
      </c>
      <c r="H510" s="16">
        <v>0</v>
      </c>
      <c r="I510" s="17">
        <v>0</v>
      </c>
      <c r="J510" s="15">
        <v>1</v>
      </c>
      <c r="K510" s="44">
        <f t="shared" si="198"/>
        <v>6</v>
      </c>
      <c r="L510" s="28">
        <v>0</v>
      </c>
      <c r="M510" s="33">
        <f t="shared" si="193"/>
        <v>0</v>
      </c>
      <c r="N510" s="1">
        <v>2415111200</v>
      </c>
    </row>
    <row r="511" spans="1:14" ht="18" customHeight="1" x14ac:dyDescent="0.45">
      <c r="A511" s="13">
        <v>505</v>
      </c>
      <c r="B511" s="42" t="str">
        <f t="shared" si="216"/>
        <v>神奈川静岡本部</v>
      </c>
      <c r="C511" s="42" t="str">
        <f t="shared" si="216"/>
        <v>そんぽの家　溝の口</v>
      </c>
      <c r="D511" s="14" t="s">
        <v>2</v>
      </c>
      <c r="E511" s="15">
        <v>1</v>
      </c>
      <c r="F511" s="16">
        <v>6</v>
      </c>
      <c r="G511" s="17">
        <v>6</v>
      </c>
      <c r="H511" s="16">
        <v>0</v>
      </c>
      <c r="I511" s="17">
        <v>0</v>
      </c>
      <c r="J511" s="15">
        <v>6</v>
      </c>
      <c r="K511" s="45">
        <f t="shared" si="198"/>
        <v>6</v>
      </c>
      <c r="L511" s="28">
        <v>1</v>
      </c>
      <c r="M511" s="33">
        <f t="shared" si="193"/>
        <v>1</v>
      </c>
      <c r="N511" s="1">
        <v>2415111200</v>
      </c>
    </row>
    <row r="512" spans="1:14" ht="18" customHeight="1" x14ac:dyDescent="0.45">
      <c r="A512" s="8">
        <v>506</v>
      </c>
      <c r="B512" s="34" t="s">
        <v>48</v>
      </c>
      <c r="C512" s="34" t="s">
        <v>240</v>
      </c>
      <c r="D512" s="9" t="s">
        <v>3</v>
      </c>
      <c r="E512" s="10">
        <v>1</v>
      </c>
      <c r="F512" s="11">
        <v>17</v>
      </c>
      <c r="G512" s="12">
        <v>17</v>
      </c>
      <c r="H512" s="11">
        <v>0</v>
      </c>
      <c r="I512" s="12">
        <v>0</v>
      </c>
      <c r="J512" s="10">
        <v>17</v>
      </c>
      <c r="K512" s="37">
        <f t="shared" ref="K512" si="217">SUM(M512:M516)</f>
        <v>5</v>
      </c>
      <c r="L512" s="28">
        <v>2</v>
      </c>
      <c r="M512" s="33">
        <f t="shared" si="193"/>
        <v>2</v>
      </c>
      <c r="N512" s="1">
        <v>2415151100</v>
      </c>
    </row>
    <row r="513" spans="1:14" ht="18" customHeight="1" x14ac:dyDescent="0.45">
      <c r="A513" s="8">
        <v>507</v>
      </c>
      <c r="B513" s="35" t="str">
        <f t="shared" ref="B513:C516" si="218">B512</f>
        <v>神奈川静岡本部</v>
      </c>
      <c r="C513" s="35" t="str">
        <f t="shared" si="218"/>
        <v>ラヴィーレ高津</v>
      </c>
      <c r="D513" s="9" t="s">
        <v>4</v>
      </c>
      <c r="E513" s="10">
        <v>0</v>
      </c>
      <c r="F513" s="11">
        <v>0</v>
      </c>
      <c r="G513" s="12">
        <v>0</v>
      </c>
      <c r="H513" s="11">
        <v>0</v>
      </c>
      <c r="I513" s="12">
        <v>0</v>
      </c>
      <c r="J513" s="10">
        <v>0</v>
      </c>
      <c r="K513" s="38">
        <f t="shared" si="198"/>
        <v>5</v>
      </c>
      <c r="L513" s="28">
        <v>0</v>
      </c>
      <c r="M513" s="33">
        <f t="shared" si="193"/>
        <v>0</v>
      </c>
      <c r="N513" s="1">
        <v>2415151100</v>
      </c>
    </row>
    <row r="514" spans="1:14" ht="18" customHeight="1" x14ac:dyDescent="0.45">
      <c r="A514" s="8">
        <v>508</v>
      </c>
      <c r="B514" s="35" t="str">
        <f t="shared" si="218"/>
        <v>神奈川静岡本部</v>
      </c>
      <c r="C514" s="35" t="str">
        <f t="shared" si="218"/>
        <v>ラヴィーレ高津</v>
      </c>
      <c r="D514" s="9" t="s">
        <v>5</v>
      </c>
      <c r="E514" s="10">
        <v>2</v>
      </c>
      <c r="F514" s="11">
        <v>22</v>
      </c>
      <c r="G514" s="12">
        <v>11</v>
      </c>
      <c r="H514" s="11">
        <v>0</v>
      </c>
      <c r="I514" s="12">
        <v>0</v>
      </c>
      <c r="J514" s="10">
        <v>22</v>
      </c>
      <c r="K514" s="38">
        <f t="shared" si="198"/>
        <v>5</v>
      </c>
      <c r="L514" s="28">
        <v>2</v>
      </c>
      <c r="M514" s="33">
        <f t="shared" si="193"/>
        <v>2</v>
      </c>
      <c r="N514" s="1">
        <v>2415151100</v>
      </c>
    </row>
    <row r="515" spans="1:14" ht="18" customHeight="1" x14ac:dyDescent="0.45">
      <c r="A515" s="8">
        <v>509</v>
      </c>
      <c r="B515" s="35" t="str">
        <f t="shared" si="218"/>
        <v>神奈川静岡本部</v>
      </c>
      <c r="C515" s="35" t="str">
        <f t="shared" si="218"/>
        <v>ラヴィーレ高津</v>
      </c>
      <c r="D515" s="9" t="s">
        <v>6</v>
      </c>
      <c r="E515" s="10">
        <v>4</v>
      </c>
      <c r="F515" s="11">
        <v>6</v>
      </c>
      <c r="G515" s="12">
        <v>1.5</v>
      </c>
      <c r="H515" s="11">
        <v>0</v>
      </c>
      <c r="I515" s="12">
        <v>0</v>
      </c>
      <c r="J515" s="10">
        <v>6</v>
      </c>
      <c r="K515" s="38">
        <f t="shared" si="198"/>
        <v>5</v>
      </c>
      <c r="L515" s="28">
        <v>1</v>
      </c>
      <c r="M515" s="33">
        <f t="shared" si="193"/>
        <v>1</v>
      </c>
      <c r="N515" s="1">
        <v>2415151100</v>
      </c>
    </row>
    <row r="516" spans="1:14" ht="18" customHeight="1" x14ac:dyDescent="0.45">
      <c r="A516" s="8">
        <v>510</v>
      </c>
      <c r="B516" s="36" t="str">
        <f t="shared" si="218"/>
        <v>神奈川静岡本部</v>
      </c>
      <c r="C516" s="36" t="str">
        <f t="shared" si="218"/>
        <v>ラヴィーレ高津</v>
      </c>
      <c r="D516" s="9" t="s">
        <v>2</v>
      </c>
      <c r="E516" s="10">
        <v>1</v>
      </c>
      <c r="F516" s="11">
        <v>0</v>
      </c>
      <c r="G516" s="12">
        <v>0</v>
      </c>
      <c r="H516" s="11">
        <v>0</v>
      </c>
      <c r="I516" s="12">
        <v>0</v>
      </c>
      <c r="J516" s="10">
        <v>0</v>
      </c>
      <c r="K516" s="39">
        <f t="shared" si="198"/>
        <v>5</v>
      </c>
      <c r="L516" s="28">
        <v>0</v>
      </c>
      <c r="M516" s="33">
        <f t="shared" si="193"/>
        <v>0</v>
      </c>
      <c r="N516" s="1">
        <v>2415151100</v>
      </c>
    </row>
    <row r="517" spans="1:14" ht="18" customHeight="1" x14ac:dyDescent="0.45">
      <c r="A517" s="13">
        <v>511</v>
      </c>
      <c r="B517" s="40" t="s">
        <v>48</v>
      </c>
      <c r="C517" s="40" t="s">
        <v>241</v>
      </c>
      <c r="D517" s="14" t="s">
        <v>3</v>
      </c>
      <c r="E517" s="15">
        <v>1</v>
      </c>
      <c r="F517" s="16">
        <v>22</v>
      </c>
      <c r="G517" s="17">
        <v>22</v>
      </c>
      <c r="H517" s="16">
        <v>17</v>
      </c>
      <c r="I517" s="17">
        <v>17</v>
      </c>
      <c r="J517" s="15">
        <v>39</v>
      </c>
      <c r="K517" s="43">
        <f t="shared" ref="K517" si="219">SUM(M517:M521)</f>
        <v>9</v>
      </c>
      <c r="L517" s="28">
        <v>2</v>
      </c>
      <c r="M517" s="33">
        <f t="shared" si="193"/>
        <v>2</v>
      </c>
      <c r="N517" s="1">
        <v>2415161100</v>
      </c>
    </row>
    <row r="518" spans="1:14" ht="18" customHeight="1" x14ac:dyDescent="0.45">
      <c r="A518" s="13">
        <v>512</v>
      </c>
      <c r="B518" s="41" t="str">
        <f t="shared" ref="B518:C521" si="220">B517</f>
        <v>神奈川静岡本部</v>
      </c>
      <c r="C518" s="41" t="str">
        <f t="shared" si="220"/>
        <v>ラヴィーレ元住吉</v>
      </c>
      <c r="D518" s="14" t="s">
        <v>4</v>
      </c>
      <c r="E518" s="15">
        <v>1</v>
      </c>
      <c r="F518" s="16">
        <v>11</v>
      </c>
      <c r="G518" s="17">
        <v>11</v>
      </c>
      <c r="H518" s="16">
        <v>9</v>
      </c>
      <c r="I518" s="17">
        <v>9</v>
      </c>
      <c r="J518" s="15">
        <v>20</v>
      </c>
      <c r="K518" s="44">
        <f t="shared" si="198"/>
        <v>9</v>
      </c>
      <c r="L518" s="28">
        <v>2</v>
      </c>
      <c r="M518" s="33">
        <f t="shared" si="193"/>
        <v>2</v>
      </c>
      <c r="N518" s="1">
        <v>2415161100</v>
      </c>
    </row>
    <row r="519" spans="1:14" ht="18" customHeight="1" x14ac:dyDescent="0.45">
      <c r="A519" s="13">
        <v>513</v>
      </c>
      <c r="B519" s="41" t="str">
        <f t="shared" si="220"/>
        <v>神奈川静岡本部</v>
      </c>
      <c r="C519" s="41" t="str">
        <f t="shared" si="220"/>
        <v>ラヴィーレ元住吉</v>
      </c>
      <c r="D519" s="14" t="s">
        <v>5</v>
      </c>
      <c r="E519" s="15">
        <v>2</v>
      </c>
      <c r="F519" s="16">
        <v>43</v>
      </c>
      <c r="G519" s="17">
        <v>21.5</v>
      </c>
      <c r="H519" s="16">
        <v>0</v>
      </c>
      <c r="I519" s="17">
        <v>0</v>
      </c>
      <c r="J519" s="15">
        <v>43</v>
      </c>
      <c r="K519" s="44">
        <f t="shared" si="198"/>
        <v>9</v>
      </c>
      <c r="L519" s="28">
        <v>2</v>
      </c>
      <c r="M519" s="33">
        <f t="shared" si="193"/>
        <v>2</v>
      </c>
      <c r="N519" s="1">
        <v>2415161100</v>
      </c>
    </row>
    <row r="520" spans="1:14" ht="18" customHeight="1" x14ac:dyDescent="0.45">
      <c r="A520" s="13">
        <v>514</v>
      </c>
      <c r="B520" s="41" t="str">
        <f t="shared" si="220"/>
        <v>神奈川静岡本部</v>
      </c>
      <c r="C520" s="41" t="str">
        <f t="shared" si="220"/>
        <v>ラヴィーレ元住吉</v>
      </c>
      <c r="D520" s="14" t="s">
        <v>6</v>
      </c>
      <c r="E520" s="15">
        <v>5</v>
      </c>
      <c r="F520" s="16">
        <v>31</v>
      </c>
      <c r="G520" s="17">
        <v>6.2</v>
      </c>
      <c r="H520" s="16">
        <v>0</v>
      </c>
      <c r="I520" s="17">
        <v>0</v>
      </c>
      <c r="J520" s="15">
        <v>31</v>
      </c>
      <c r="K520" s="44">
        <f t="shared" si="198"/>
        <v>9</v>
      </c>
      <c r="L520" s="28">
        <v>2</v>
      </c>
      <c r="M520" s="33">
        <f t="shared" ref="M520:M583" si="221">L520</f>
        <v>2</v>
      </c>
      <c r="N520" s="1">
        <v>2415161100</v>
      </c>
    </row>
    <row r="521" spans="1:14" ht="18" customHeight="1" x14ac:dyDescent="0.45">
      <c r="A521" s="13">
        <v>515</v>
      </c>
      <c r="B521" s="42" t="str">
        <f t="shared" si="220"/>
        <v>神奈川静岡本部</v>
      </c>
      <c r="C521" s="42" t="str">
        <f t="shared" si="220"/>
        <v>ラヴィーレ元住吉</v>
      </c>
      <c r="D521" s="14" t="s">
        <v>2</v>
      </c>
      <c r="E521" s="15">
        <v>1</v>
      </c>
      <c r="F521" s="16">
        <v>5</v>
      </c>
      <c r="G521" s="17">
        <v>5</v>
      </c>
      <c r="H521" s="16">
        <v>0</v>
      </c>
      <c r="I521" s="17">
        <v>0</v>
      </c>
      <c r="J521" s="15">
        <v>5</v>
      </c>
      <c r="K521" s="45">
        <f t="shared" si="198"/>
        <v>9</v>
      </c>
      <c r="L521" s="28">
        <v>1</v>
      </c>
      <c r="M521" s="33">
        <f t="shared" si="221"/>
        <v>1</v>
      </c>
      <c r="N521" s="1">
        <v>2415161100</v>
      </c>
    </row>
    <row r="522" spans="1:14" ht="18" customHeight="1" x14ac:dyDescent="0.45">
      <c r="A522" s="8">
        <v>516</v>
      </c>
      <c r="B522" s="34" t="s">
        <v>48</v>
      </c>
      <c r="C522" s="34" t="s">
        <v>57</v>
      </c>
      <c r="D522" s="9" t="s">
        <v>3</v>
      </c>
      <c r="E522" s="10">
        <v>1</v>
      </c>
      <c r="F522" s="11">
        <v>17</v>
      </c>
      <c r="G522" s="12">
        <v>17</v>
      </c>
      <c r="H522" s="11">
        <v>0</v>
      </c>
      <c r="I522" s="12">
        <v>0</v>
      </c>
      <c r="J522" s="10">
        <v>17</v>
      </c>
      <c r="K522" s="37">
        <f t="shared" ref="K522" si="222">SUM(M522:M526)</f>
        <v>8</v>
      </c>
      <c r="L522" s="28">
        <v>2</v>
      </c>
      <c r="M522" s="33">
        <f t="shared" si="221"/>
        <v>2</v>
      </c>
      <c r="N522" s="1">
        <v>2415181100</v>
      </c>
    </row>
    <row r="523" spans="1:14" ht="18" customHeight="1" x14ac:dyDescent="0.45">
      <c r="A523" s="8">
        <v>517</v>
      </c>
      <c r="B523" s="35" t="str">
        <f t="shared" ref="B523:C526" si="223">B522</f>
        <v>神奈川静岡本部</v>
      </c>
      <c r="C523" s="35" t="str">
        <f t="shared" si="223"/>
        <v>そんぽの家　川崎宮前</v>
      </c>
      <c r="D523" s="9" t="s">
        <v>4</v>
      </c>
      <c r="E523" s="10">
        <v>2</v>
      </c>
      <c r="F523" s="11">
        <v>5</v>
      </c>
      <c r="G523" s="12">
        <v>2.5</v>
      </c>
      <c r="H523" s="11">
        <v>0</v>
      </c>
      <c r="I523" s="12">
        <v>0</v>
      </c>
      <c r="J523" s="10">
        <v>5</v>
      </c>
      <c r="K523" s="38">
        <f t="shared" si="198"/>
        <v>8</v>
      </c>
      <c r="L523" s="28">
        <v>1</v>
      </c>
      <c r="M523" s="33">
        <f t="shared" si="221"/>
        <v>1</v>
      </c>
      <c r="N523" s="1">
        <v>2415181100</v>
      </c>
    </row>
    <row r="524" spans="1:14" ht="18" customHeight="1" x14ac:dyDescent="0.45">
      <c r="A524" s="8">
        <v>518</v>
      </c>
      <c r="B524" s="35" t="str">
        <f t="shared" si="223"/>
        <v>神奈川静岡本部</v>
      </c>
      <c r="C524" s="35" t="str">
        <f t="shared" si="223"/>
        <v>そんぽの家　川崎宮前</v>
      </c>
      <c r="D524" s="9" t="s">
        <v>5</v>
      </c>
      <c r="E524" s="10">
        <v>3</v>
      </c>
      <c r="F524" s="11">
        <v>27</v>
      </c>
      <c r="G524" s="12">
        <v>9</v>
      </c>
      <c r="H524" s="11">
        <v>0</v>
      </c>
      <c r="I524" s="12">
        <v>0</v>
      </c>
      <c r="J524" s="10">
        <v>27</v>
      </c>
      <c r="K524" s="38">
        <f t="shared" si="198"/>
        <v>8</v>
      </c>
      <c r="L524" s="28">
        <v>2</v>
      </c>
      <c r="M524" s="33">
        <f t="shared" si="221"/>
        <v>2</v>
      </c>
      <c r="N524" s="1">
        <v>2415181100</v>
      </c>
    </row>
    <row r="525" spans="1:14" ht="18" customHeight="1" x14ac:dyDescent="0.45">
      <c r="A525" s="8">
        <v>519</v>
      </c>
      <c r="B525" s="35" t="str">
        <f t="shared" si="223"/>
        <v>神奈川静岡本部</v>
      </c>
      <c r="C525" s="35" t="str">
        <f t="shared" si="223"/>
        <v>そんぽの家　川崎宮前</v>
      </c>
      <c r="D525" s="9" t="s">
        <v>6</v>
      </c>
      <c r="E525" s="10">
        <v>2</v>
      </c>
      <c r="F525" s="11">
        <v>5</v>
      </c>
      <c r="G525" s="12">
        <v>2.5</v>
      </c>
      <c r="H525" s="11">
        <v>0</v>
      </c>
      <c r="I525" s="12">
        <v>0</v>
      </c>
      <c r="J525" s="10">
        <v>5</v>
      </c>
      <c r="K525" s="38">
        <f t="shared" si="198"/>
        <v>8</v>
      </c>
      <c r="L525" s="28">
        <v>1</v>
      </c>
      <c r="M525" s="33">
        <f t="shared" si="221"/>
        <v>1</v>
      </c>
      <c r="N525" s="1">
        <v>2415181100</v>
      </c>
    </row>
    <row r="526" spans="1:14" ht="18" customHeight="1" x14ac:dyDescent="0.45">
      <c r="A526" s="8">
        <v>520</v>
      </c>
      <c r="B526" s="36" t="str">
        <f t="shared" si="223"/>
        <v>神奈川静岡本部</v>
      </c>
      <c r="C526" s="36" t="str">
        <f t="shared" si="223"/>
        <v>そんぽの家　川崎宮前</v>
      </c>
      <c r="D526" s="9" t="s">
        <v>2</v>
      </c>
      <c r="E526" s="10">
        <v>3</v>
      </c>
      <c r="F526" s="11">
        <v>14</v>
      </c>
      <c r="G526" s="12">
        <v>4.7</v>
      </c>
      <c r="H526" s="11">
        <v>0</v>
      </c>
      <c r="I526" s="12">
        <v>0</v>
      </c>
      <c r="J526" s="10">
        <v>14</v>
      </c>
      <c r="K526" s="39">
        <f t="shared" si="198"/>
        <v>8</v>
      </c>
      <c r="L526" s="28">
        <v>2</v>
      </c>
      <c r="M526" s="33">
        <f t="shared" si="221"/>
        <v>2</v>
      </c>
      <c r="N526" s="1">
        <v>2415181100</v>
      </c>
    </row>
    <row r="527" spans="1:14" ht="18" customHeight="1" x14ac:dyDescent="0.45">
      <c r="A527" s="13">
        <v>521</v>
      </c>
      <c r="B527" s="40" t="s">
        <v>48</v>
      </c>
      <c r="C527" s="40" t="s">
        <v>242</v>
      </c>
      <c r="D527" s="14" t="s">
        <v>3</v>
      </c>
      <c r="E527" s="15">
        <v>1</v>
      </c>
      <c r="F527" s="16">
        <v>5</v>
      </c>
      <c r="G527" s="17">
        <v>5</v>
      </c>
      <c r="H527" s="16">
        <v>0</v>
      </c>
      <c r="I527" s="17">
        <v>0</v>
      </c>
      <c r="J527" s="15">
        <v>5</v>
      </c>
      <c r="K527" s="43">
        <f t="shared" ref="K527" si="224">SUM(M527:M531)</f>
        <v>7</v>
      </c>
      <c r="L527" s="28">
        <v>1</v>
      </c>
      <c r="M527" s="33">
        <f t="shared" si="221"/>
        <v>1</v>
      </c>
      <c r="N527" s="1">
        <v>2415201100</v>
      </c>
    </row>
    <row r="528" spans="1:14" ht="18" customHeight="1" x14ac:dyDescent="0.45">
      <c r="A528" s="13">
        <v>522</v>
      </c>
      <c r="B528" s="41" t="str">
        <f t="shared" ref="B528:C531" si="225">B527</f>
        <v>神奈川静岡本部</v>
      </c>
      <c r="C528" s="41" t="str">
        <f t="shared" si="225"/>
        <v>ラヴィーレ川崎宮前</v>
      </c>
      <c r="D528" s="14" t="s">
        <v>4</v>
      </c>
      <c r="E528" s="15">
        <v>1</v>
      </c>
      <c r="F528" s="16">
        <v>2</v>
      </c>
      <c r="G528" s="17">
        <v>2</v>
      </c>
      <c r="H528" s="16">
        <v>0</v>
      </c>
      <c r="I528" s="17">
        <v>0</v>
      </c>
      <c r="J528" s="15">
        <v>2</v>
      </c>
      <c r="K528" s="44">
        <f t="shared" ref="K528:K591" si="226">K527</f>
        <v>7</v>
      </c>
      <c r="L528" s="28">
        <v>0</v>
      </c>
      <c r="M528" s="33">
        <f t="shared" si="221"/>
        <v>0</v>
      </c>
      <c r="N528" s="1">
        <v>2415201100</v>
      </c>
    </row>
    <row r="529" spans="1:14" ht="18" customHeight="1" x14ac:dyDescent="0.45">
      <c r="A529" s="13">
        <v>523</v>
      </c>
      <c r="B529" s="41" t="str">
        <f t="shared" si="225"/>
        <v>神奈川静岡本部</v>
      </c>
      <c r="C529" s="41" t="str">
        <f t="shared" si="225"/>
        <v>ラヴィーレ川崎宮前</v>
      </c>
      <c r="D529" s="14" t="s">
        <v>5</v>
      </c>
      <c r="E529" s="15">
        <v>2</v>
      </c>
      <c r="F529" s="16">
        <v>42</v>
      </c>
      <c r="G529" s="17">
        <v>21</v>
      </c>
      <c r="H529" s="16">
        <v>0</v>
      </c>
      <c r="I529" s="17">
        <v>0</v>
      </c>
      <c r="J529" s="15">
        <v>42</v>
      </c>
      <c r="K529" s="44">
        <f t="shared" si="226"/>
        <v>7</v>
      </c>
      <c r="L529" s="28">
        <v>2</v>
      </c>
      <c r="M529" s="33">
        <f t="shared" si="221"/>
        <v>2</v>
      </c>
      <c r="N529" s="1">
        <v>2415201100</v>
      </c>
    </row>
    <row r="530" spans="1:14" ht="18" customHeight="1" x14ac:dyDescent="0.45">
      <c r="A530" s="13">
        <v>524</v>
      </c>
      <c r="B530" s="41" t="str">
        <f t="shared" si="225"/>
        <v>神奈川静岡本部</v>
      </c>
      <c r="C530" s="41" t="str">
        <f t="shared" si="225"/>
        <v>ラヴィーレ川崎宮前</v>
      </c>
      <c r="D530" s="14" t="s">
        <v>6</v>
      </c>
      <c r="E530" s="15">
        <v>4</v>
      </c>
      <c r="F530" s="16">
        <v>19</v>
      </c>
      <c r="G530" s="17">
        <v>4.8</v>
      </c>
      <c r="H530" s="16">
        <v>0</v>
      </c>
      <c r="I530" s="17">
        <v>0</v>
      </c>
      <c r="J530" s="15">
        <v>19</v>
      </c>
      <c r="K530" s="44">
        <f t="shared" si="226"/>
        <v>7</v>
      </c>
      <c r="L530" s="28">
        <v>2</v>
      </c>
      <c r="M530" s="33">
        <f t="shared" si="221"/>
        <v>2</v>
      </c>
      <c r="N530" s="1">
        <v>2415201100</v>
      </c>
    </row>
    <row r="531" spans="1:14" ht="18" customHeight="1" x14ac:dyDescent="0.45">
      <c r="A531" s="13">
        <v>525</v>
      </c>
      <c r="B531" s="42" t="str">
        <f t="shared" si="225"/>
        <v>神奈川静岡本部</v>
      </c>
      <c r="C531" s="42" t="str">
        <f t="shared" si="225"/>
        <v>ラヴィーレ川崎宮前</v>
      </c>
      <c r="D531" s="14" t="s">
        <v>2</v>
      </c>
      <c r="E531" s="15">
        <v>2</v>
      </c>
      <c r="F531" s="16">
        <v>11</v>
      </c>
      <c r="G531" s="17">
        <v>5.5</v>
      </c>
      <c r="H531" s="16">
        <v>0</v>
      </c>
      <c r="I531" s="17">
        <v>0</v>
      </c>
      <c r="J531" s="15">
        <v>11</v>
      </c>
      <c r="K531" s="45">
        <f t="shared" si="226"/>
        <v>7</v>
      </c>
      <c r="L531" s="28">
        <v>2</v>
      </c>
      <c r="M531" s="33">
        <f t="shared" si="221"/>
        <v>2</v>
      </c>
      <c r="N531" s="1">
        <v>2415201100</v>
      </c>
    </row>
    <row r="532" spans="1:14" ht="18" customHeight="1" x14ac:dyDescent="0.45">
      <c r="A532" s="8">
        <v>526</v>
      </c>
      <c r="B532" s="34" t="s">
        <v>48</v>
      </c>
      <c r="C532" s="34" t="s">
        <v>58</v>
      </c>
      <c r="D532" s="9" t="s">
        <v>3</v>
      </c>
      <c r="E532" s="10">
        <v>1</v>
      </c>
      <c r="F532" s="11">
        <v>23</v>
      </c>
      <c r="G532" s="12">
        <v>23</v>
      </c>
      <c r="H532" s="11">
        <v>14</v>
      </c>
      <c r="I532" s="12">
        <v>14</v>
      </c>
      <c r="J532" s="10">
        <v>37</v>
      </c>
      <c r="K532" s="37">
        <f t="shared" ref="K532" si="227">SUM(M532:M536)</f>
        <v>10</v>
      </c>
      <c r="L532" s="28">
        <v>2</v>
      </c>
      <c r="M532" s="33">
        <f t="shared" si="221"/>
        <v>2</v>
      </c>
      <c r="N532" s="1">
        <v>2415211100</v>
      </c>
    </row>
    <row r="533" spans="1:14" ht="18" customHeight="1" x14ac:dyDescent="0.45">
      <c r="A533" s="8">
        <v>527</v>
      </c>
      <c r="B533" s="35" t="str">
        <f t="shared" ref="B533:C536" si="228">B532</f>
        <v>神奈川静岡本部</v>
      </c>
      <c r="C533" s="35" t="str">
        <f t="shared" si="228"/>
        <v>そんぽの家　中野島ガーデン</v>
      </c>
      <c r="D533" s="9" t="s">
        <v>4</v>
      </c>
      <c r="E533" s="10">
        <v>1</v>
      </c>
      <c r="F533" s="11">
        <v>14</v>
      </c>
      <c r="G533" s="12">
        <v>14</v>
      </c>
      <c r="H533" s="11">
        <v>1</v>
      </c>
      <c r="I533" s="12">
        <v>1</v>
      </c>
      <c r="J533" s="10">
        <v>15</v>
      </c>
      <c r="K533" s="38">
        <f t="shared" si="226"/>
        <v>10</v>
      </c>
      <c r="L533" s="28">
        <v>2</v>
      </c>
      <c r="M533" s="33">
        <f t="shared" si="221"/>
        <v>2</v>
      </c>
      <c r="N533" s="1">
        <v>2415211100</v>
      </c>
    </row>
    <row r="534" spans="1:14" ht="18" customHeight="1" x14ac:dyDescent="0.45">
      <c r="A534" s="8">
        <v>528</v>
      </c>
      <c r="B534" s="35" t="str">
        <f t="shared" si="228"/>
        <v>神奈川静岡本部</v>
      </c>
      <c r="C534" s="35" t="str">
        <f t="shared" si="228"/>
        <v>そんぽの家　中野島ガーデン</v>
      </c>
      <c r="D534" s="9" t="s">
        <v>5</v>
      </c>
      <c r="E534" s="10">
        <v>1</v>
      </c>
      <c r="F534" s="11">
        <v>21</v>
      </c>
      <c r="G534" s="12">
        <v>21</v>
      </c>
      <c r="H534" s="11">
        <v>0</v>
      </c>
      <c r="I534" s="12">
        <v>0</v>
      </c>
      <c r="J534" s="10">
        <v>21</v>
      </c>
      <c r="K534" s="38">
        <f t="shared" si="226"/>
        <v>10</v>
      </c>
      <c r="L534" s="28">
        <v>2</v>
      </c>
      <c r="M534" s="33">
        <f t="shared" si="221"/>
        <v>2</v>
      </c>
      <c r="N534" s="1">
        <v>2415211100</v>
      </c>
    </row>
    <row r="535" spans="1:14" ht="18" customHeight="1" x14ac:dyDescent="0.45">
      <c r="A535" s="8">
        <v>529</v>
      </c>
      <c r="B535" s="35" t="str">
        <f t="shared" si="228"/>
        <v>神奈川静岡本部</v>
      </c>
      <c r="C535" s="35" t="str">
        <f t="shared" si="228"/>
        <v>そんぽの家　中野島ガーデン</v>
      </c>
      <c r="D535" s="9" t="s">
        <v>6</v>
      </c>
      <c r="E535" s="10">
        <v>3</v>
      </c>
      <c r="F535" s="11">
        <v>93</v>
      </c>
      <c r="G535" s="12">
        <v>31</v>
      </c>
      <c r="H535" s="11">
        <v>0</v>
      </c>
      <c r="I535" s="12">
        <v>0</v>
      </c>
      <c r="J535" s="10">
        <v>93</v>
      </c>
      <c r="K535" s="38">
        <f t="shared" si="226"/>
        <v>10</v>
      </c>
      <c r="L535" s="28">
        <v>2</v>
      </c>
      <c r="M535" s="33">
        <f t="shared" si="221"/>
        <v>2</v>
      </c>
      <c r="N535" s="1">
        <v>2415211100</v>
      </c>
    </row>
    <row r="536" spans="1:14" ht="18" customHeight="1" x14ac:dyDescent="0.45">
      <c r="A536" s="8">
        <v>530</v>
      </c>
      <c r="B536" s="36" t="str">
        <f t="shared" si="228"/>
        <v>神奈川静岡本部</v>
      </c>
      <c r="C536" s="36" t="str">
        <f t="shared" si="228"/>
        <v>そんぽの家　中野島ガーデン</v>
      </c>
      <c r="D536" s="9" t="s">
        <v>2</v>
      </c>
      <c r="E536" s="10">
        <v>1</v>
      </c>
      <c r="F536" s="11">
        <v>13</v>
      </c>
      <c r="G536" s="12">
        <v>13</v>
      </c>
      <c r="H536" s="11">
        <v>0</v>
      </c>
      <c r="I536" s="12">
        <v>0</v>
      </c>
      <c r="J536" s="10">
        <v>13</v>
      </c>
      <c r="K536" s="39">
        <f t="shared" si="226"/>
        <v>10</v>
      </c>
      <c r="L536" s="28">
        <v>2</v>
      </c>
      <c r="M536" s="33">
        <f t="shared" si="221"/>
        <v>2</v>
      </c>
      <c r="N536" s="1">
        <v>2415211100</v>
      </c>
    </row>
    <row r="537" spans="1:14" ht="18" customHeight="1" x14ac:dyDescent="0.45">
      <c r="A537" s="13">
        <v>531</v>
      </c>
      <c r="B537" s="40" t="s">
        <v>48</v>
      </c>
      <c r="C537" s="40" t="s">
        <v>59</v>
      </c>
      <c r="D537" s="14" t="s">
        <v>3</v>
      </c>
      <c r="E537" s="15">
        <v>1</v>
      </c>
      <c r="F537" s="16">
        <v>10</v>
      </c>
      <c r="G537" s="17">
        <v>10</v>
      </c>
      <c r="H537" s="16">
        <v>1</v>
      </c>
      <c r="I537" s="17">
        <v>1</v>
      </c>
      <c r="J537" s="15">
        <v>11</v>
      </c>
      <c r="K537" s="43">
        <f t="shared" ref="K537" si="229">SUM(M537:M541)</f>
        <v>9</v>
      </c>
      <c r="L537" s="28">
        <v>2</v>
      </c>
      <c r="M537" s="33">
        <f t="shared" si="221"/>
        <v>2</v>
      </c>
      <c r="N537" s="1">
        <v>2415221200</v>
      </c>
    </row>
    <row r="538" spans="1:14" ht="18" customHeight="1" x14ac:dyDescent="0.45">
      <c r="A538" s="13">
        <v>532</v>
      </c>
      <c r="B538" s="41" t="str">
        <f t="shared" ref="B538:C541" si="230">B537</f>
        <v>神奈川静岡本部</v>
      </c>
      <c r="C538" s="41" t="str">
        <f t="shared" si="230"/>
        <v>そんぽの家　生田</v>
      </c>
      <c r="D538" s="14" t="s">
        <v>4</v>
      </c>
      <c r="E538" s="15">
        <v>1</v>
      </c>
      <c r="F538" s="16">
        <v>2</v>
      </c>
      <c r="G538" s="17">
        <v>2</v>
      </c>
      <c r="H538" s="16">
        <v>2</v>
      </c>
      <c r="I538" s="17">
        <v>2</v>
      </c>
      <c r="J538" s="15">
        <v>4</v>
      </c>
      <c r="K538" s="44">
        <f t="shared" si="226"/>
        <v>9</v>
      </c>
      <c r="L538" s="28">
        <v>1</v>
      </c>
      <c r="M538" s="33">
        <f t="shared" si="221"/>
        <v>1</v>
      </c>
      <c r="N538" s="1">
        <v>2415221200</v>
      </c>
    </row>
    <row r="539" spans="1:14" ht="18" customHeight="1" x14ac:dyDescent="0.45">
      <c r="A539" s="13">
        <v>533</v>
      </c>
      <c r="B539" s="41" t="str">
        <f t="shared" si="230"/>
        <v>神奈川静岡本部</v>
      </c>
      <c r="C539" s="41" t="str">
        <f t="shared" si="230"/>
        <v>そんぽの家　生田</v>
      </c>
      <c r="D539" s="14" t="s">
        <v>5</v>
      </c>
      <c r="E539" s="15">
        <v>1</v>
      </c>
      <c r="F539" s="16">
        <v>29</v>
      </c>
      <c r="G539" s="17">
        <v>29</v>
      </c>
      <c r="H539" s="16">
        <v>0</v>
      </c>
      <c r="I539" s="17">
        <v>0</v>
      </c>
      <c r="J539" s="15">
        <v>29</v>
      </c>
      <c r="K539" s="44">
        <f t="shared" si="226"/>
        <v>9</v>
      </c>
      <c r="L539" s="28">
        <v>2</v>
      </c>
      <c r="M539" s="33">
        <f t="shared" si="221"/>
        <v>2</v>
      </c>
      <c r="N539" s="1">
        <v>2415221200</v>
      </c>
    </row>
    <row r="540" spans="1:14" ht="18" customHeight="1" x14ac:dyDescent="0.45">
      <c r="A540" s="13">
        <v>534</v>
      </c>
      <c r="B540" s="41" t="str">
        <f t="shared" si="230"/>
        <v>神奈川静岡本部</v>
      </c>
      <c r="C540" s="41" t="str">
        <f t="shared" si="230"/>
        <v>そんぽの家　生田</v>
      </c>
      <c r="D540" s="14" t="s">
        <v>6</v>
      </c>
      <c r="E540" s="15">
        <v>2</v>
      </c>
      <c r="F540" s="16">
        <v>18</v>
      </c>
      <c r="G540" s="17">
        <v>9</v>
      </c>
      <c r="H540" s="16">
        <v>0</v>
      </c>
      <c r="I540" s="17">
        <v>0</v>
      </c>
      <c r="J540" s="15">
        <v>18</v>
      </c>
      <c r="K540" s="44">
        <f t="shared" si="226"/>
        <v>9</v>
      </c>
      <c r="L540" s="28">
        <v>2</v>
      </c>
      <c r="M540" s="33">
        <f t="shared" si="221"/>
        <v>2</v>
      </c>
      <c r="N540" s="1">
        <v>2415221200</v>
      </c>
    </row>
    <row r="541" spans="1:14" ht="18" customHeight="1" x14ac:dyDescent="0.45">
      <c r="A541" s="13">
        <v>535</v>
      </c>
      <c r="B541" s="42" t="str">
        <f t="shared" si="230"/>
        <v>神奈川静岡本部</v>
      </c>
      <c r="C541" s="42" t="str">
        <f t="shared" si="230"/>
        <v>そんぽの家　生田</v>
      </c>
      <c r="D541" s="14" t="s">
        <v>2</v>
      </c>
      <c r="E541" s="15">
        <v>1</v>
      </c>
      <c r="F541" s="16">
        <v>8</v>
      </c>
      <c r="G541" s="17">
        <v>8</v>
      </c>
      <c r="H541" s="16">
        <v>0</v>
      </c>
      <c r="I541" s="17">
        <v>0</v>
      </c>
      <c r="J541" s="15">
        <v>8</v>
      </c>
      <c r="K541" s="45">
        <f t="shared" si="226"/>
        <v>9</v>
      </c>
      <c r="L541" s="28">
        <v>2</v>
      </c>
      <c r="M541" s="33">
        <f t="shared" si="221"/>
        <v>2</v>
      </c>
      <c r="N541" s="1">
        <v>2415221200</v>
      </c>
    </row>
    <row r="542" spans="1:14" ht="18" customHeight="1" x14ac:dyDescent="0.45">
      <c r="A542" s="8">
        <v>536</v>
      </c>
      <c r="B542" s="34" t="s">
        <v>48</v>
      </c>
      <c r="C542" s="34" t="s">
        <v>60</v>
      </c>
      <c r="D542" s="9" t="s">
        <v>3</v>
      </c>
      <c r="E542" s="10">
        <v>1</v>
      </c>
      <c r="F542" s="11">
        <v>7</v>
      </c>
      <c r="G542" s="12">
        <v>7</v>
      </c>
      <c r="H542" s="11">
        <v>5</v>
      </c>
      <c r="I542" s="12">
        <v>5</v>
      </c>
      <c r="J542" s="10">
        <v>12</v>
      </c>
      <c r="K542" s="37">
        <f t="shared" ref="K542" si="231">SUM(M542:M546)</f>
        <v>5</v>
      </c>
      <c r="L542" s="28">
        <v>2</v>
      </c>
      <c r="M542" s="33">
        <f t="shared" si="221"/>
        <v>2</v>
      </c>
      <c r="N542" s="1">
        <v>2415261200</v>
      </c>
    </row>
    <row r="543" spans="1:14" ht="18" customHeight="1" x14ac:dyDescent="0.45">
      <c r="A543" s="8">
        <v>537</v>
      </c>
      <c r="B543" s="35" t="str">
        <f t="shared" ref="B543:C546" si="232">B542</f>
        <v>神奈川静岡本部</v>
      </c>
      <c r="C543" s="35" t="str">
        <f t="shared" si="232"/>
        <v>そんぽの家　新百合ヶ丘</v>
      </c>
      <c r="D543" s="9" t="s">
        <v>4</v>
      </c>
      <c r="E543" s="10">
        <v>1</v>
      </c>
      <c r="F543" s="11">
        <v>6</v>
      </c>
      <c r="G543" s="12">
        <v>6</v>
      </c>
      <c r="H543" s="11">
        <v>1</v>
      </c>
      <c r="I543" s="12">
        <v>1</v>
      </c>
      <c r="J543" s="10">
        <v>7</v>
      </c>
      <c r="K543" s="38">
        <f t="shared" si="226"/>
        <v>5</v>
      </c>
      <c r="L543" s="28">
        <v>1</v>
      </c>
      <c r="M543" s="33">
        <f t="shared" si="221"/>
        <v>1</v>
      </c>
      <c r="N543" s="1">
        <v>2415261200</v>
      </c>
    </row>
    <row r="544" spans="1:14" ht="18" customHeight="1" x14ac:dyDescent="0.45">
      <c r="A544" s="8">
        <v>538</v>
      </c>
      <c r="B544" s="35" t="str">
        <f t="shared" si="232"/>
        <v>神奈川静岡本部</v>
      </c>
      <c r="C544" s="35" t="str">
        <f t="shared" si="232"/>
        <v>そんぽの家　新百合ヶ丘</v>
      </c>
      <c r="D544" s="9" t="s">
        <v>5</v>
      </c>
      <c r="E544" s="10">
        <v>1</v>
      </c>
      <c r="F544" s="11">
        <v>17</v>
      </c>
      <c r="G544" s="12">
        <v>17</v>
      </c>
      <c r="H544" s="11">
        <v>0</v>
      </c>
      <c r="I544" s="12">
        <v>0</v>
      </c>
      <c r="J544" s="10">
        <v>17</v>
      </c>
      <c r="K544" s="38">
        <f t="shared" si="226"/>
        <v>5</v>
      </c>
      <c r="L544" s="28">
        <v>2</v>
      </c>
      <c r="M544" s="33">
        <f t="shared" si="221"/>
        <v>2</v>
      </c>
      <c r="N544" s="1">
        <v>2415261200</v>
      </c>
    </row>
    <row r="545" spans="1:14" ht="18" customHeight="1" x14ac:dyDescent="0.45">
      <c r="A545" s="8">
        <v>539</v>
      </c>
      <c r="B545" s="35" t="str">
        <f t="shared" si="232"/>
        <v>神奈川静岡本部</v>
      </c>
      <c r="C545" s="35" t="str">
        <f t="shared" si="232"/>
        <v>そんぽの家　新百合ヶ丘</v>
      </c>
      <c r="D545" s="9" t="s">
        <v>6</v>
      </c>
      <c r="E545" s="10">
        <v>3</v>
      </c>
      <c r="F545" s="11">
        <v>0</v>
      </c>
      <c r="G545" s="12">
        <v>0</v>
      </c>
      <c r="H545" s="11">
        <v>0</v>
      </c>
      <c r="I545" s="12">
        <v>0</v>
      </c>
      <c r="J545" s="10">
        <v>0</v>
      </c>
      <c r="K545" s="38">
        <f t="shared" si="226"/>
        <v>5</v>
      </c>
      <c r="L545" s="28">
        <v>0</v>
      </c>
      <c r="M545" s="33">
        <f t="shared" si="221"/>
        <v>0</v>
      </c>
      <c r="N545" s="1">
        <v>2415261200</v>
      </c>
    </row>
    <row r="546" spans="1:14" ht="18" customHeight="1" x14ac:dyDescent="0.45">
      <c r="A546" s="8">
        <v>540</v>
      </c>
      <c r="B546" s="36" t="str">
        <f t="shared" si="232"/>
        <v>神奈川静岡本部</v>
      </c>
      <c r="C546" s="36" t="str">
        <f t="shared" si="232"/>
        <v>そんぽの家　新百合ヶ丘</v>
      </c>
      <c r="D546" s="9" t="s">
        <v>2</v>
      </c>
      <c r="E546" s="10">
        <v>0</v>
      </c>
      <c r="F546" s="11">
        <v>0</v>
      </c>
      <c r="G546" s="12">
        <v>0</v>
      </c>
      <c r="H546" s="11">
        <v>0</v>
      </c>
      <c r="I546" s="12">
        <v>0</v>
      </c>
      <c r="J546" s="10">
        <v>0</v>
      </c>
      <c r="K546" s="39">
        <f t="shared" si="226"/>
        <v>5</v>
      </c>
      <c r="L546" s="28">
        <v>0</v>
      </c>
      <c r="M546" s="33">
        <f t="shared" si="221"/>
        <v>0</v>
      </c>
      <c r="N546" s="1">
        <v>2415261200</v>
      </c>
    </row>
    <row r="547" spans="1:14" ht="18" customHeight="1" x14ac:dyDescent="0.45">
      <c r="A547" s="13">
        <v>541</v>
      </c>
      <c r="B547" s="40" t="s">
        <v>48</v>
      </c>
      <c r="C547" s="40" t="s">
        <v>243</v>
      </c>
      <c r="D547" s="14" t="s">
        <v>3</v>
      </c>
      <c r="E547" s="15">
        <v>1</v>
      </c>
      <c r="F547" s="16">
        <v>13</v>
      </c>
      <c r="G547" s="17">
        <v>13</v>
      </c>
      <c r="H547" s="16">
        <v>13</v>
      </c>
      <c r="I547" s="17">
        <v>13</v>
      </c>
      <c r="J547" s="15">
        <v>26</v>
      </c>
      <c r="K547" s="43">
        <f t="shared" ref="K547" si="233">SUM(M547:M551)</f>
        <v>5</v>
      </c>
      <c r="L547" s="28">
        <v>2</v>
      </c>
      <c r="M547" s="33">
        <f t="shared" si="221"/>
        <v>2</v>
      </c>
      <c r="N547" s="1">
        <v>2415271100</v>
      </c>
    </row>
    <row r="548" spans="1:14" ht="18" customHeight="1" x14ac:dyDescent="0.45">
      <c r="A548" s="13">
        <v>542</v>
      </c>
      <c r="B548" s="41" t="str">
        <f t="shared" ref="B548:C551" si="234">B547</f>
        <v>神奈川静岡本部</v>
      </c>
      <c r="C548" s="41" t="str">
        <f t="shared" si="234"/>
        <v>ラヴィーレ王禅寺</v>
      </c>
      <c r="D548" s="14" t="s">
        <v>4</v>
      </c>
      <c r="E548" s="15">
        <v>1</v>
      </c>
      <c r="F548" s="16">
        <v>6</v>
      </c>
      <c r="G548" s="17">
        <v>6</v>
      </c>
      <c r="H548" s="16">
        <v>1</v>
      </c>
      <c r="I548" s="17">
        <v>1</v>
      </c>
      <c r="J548" s="15">
        <v>7</v>
      </c>
      <c r="K548" s="44">
        <f t="shared" si="226"/>
        <v>5</v>
      </c>
      <c r="L548" s="28">
        <v>1</v>
      </c>
      <c r="M548" s="33">
        <f t="shared" si="221"/>
        <v>1</v>
      </c>
      <c r="N548" s="1">
        <v>2415271100</v>
      </c>
    </row>
    <row r="549" spans="1:14" ht="18" customHeight="1" x14ac:dyDescent="0.45">
      <c r="A549" s="13">
        <v>543</v>
      </c>
      <c r="B549" s="41" t="str">
        <f t="shared" si="234"/>
        <v>神奈川静岡本部</v>
      </c>
      <c r="C549" s="41" t="str">
        <f t="shared" si="234"/>
        <v>ラヴィーレ王禅寺</v>
      </c>
      <c r="D549" s="14" t="s">
        <v>5</v>
      </c>
      <c r="E549" s="15">
        <v>2</v>
      </c>
      <c r="F549" s="16">
        <v>35</v>
      </c>
      <c r="G549" s="17">
        <v>17.5</v>
      </c>
      <c r="H549" s="16">
        <v>0</v>
      </c>
      <c r="I549" s="17">
        <v>0</v>
      </c>
      <c r="J549" s="15">
        <v>35</v>
      </c>
      <c r="K549" s="44">
        <f t="shared" si="226"/>
        <v>5</v>
      </c>
      <c r="L549" s="28">
        <v>2</v>
      </c>
      <c r="M549" s="33">
        <f t="shared" si="221"/>
        <v>2</v>
      </c>
      <c r="N549" s="1">
        <v>2415271100</v>
      </c>
    </row>
    <row r="550" spans="1:14" ht="18" customHeight="1" x14ac:dyDescent="0.45">
      <c r="A550" s="13">
        <v>544</v>
      </c>
      <c r="B550" s="41" t="str">
        <f t="shared" si="234"/>
        <v>神奈川静岡本部</v>
      </c>
      <c r="C550" s="41" t="str">
        <f t="shared" si="234"/>
        <v>ラヴィーレ王禅寺</v>
      </c>
      <c r="D550" s="14" t="s">
        <v>6</v>
      </c>
      <c r="E550" s="15">
        <v>4</v>
      </c>
      <c r="F550" s="16">
        <v>0</v>
      </c>
      <c r="G550" s="17">
        <v>0</v>
      </c>
      <c r="H550" s="16">
        <v>0</v>
      </c>
      <c r="I550" s="17">
        <v>0</v>
      </c>
      <c r="J550" s="15">
        <v>0</v>
      </c>
      <c r="K550" s="44">
        <f t="shared" si="226"/>
        <v>5</v>
      </c>
      <c r="L550" s="28">
        <v>0</v>
      </c>
      <c r="M550" s="33">
        <f t="shared" si="221"/>
        <v>0</v>
      </c>
      <c r="N550" s="1">
        <v>2415271100</v>
      </c>
    </row>
    <row r="551" spans="1:14" ht="18" customHeight="1" x14ac:dyDescent="0.45">
      <c r="A551" s="13">
        <v>545</v>
      </c>
      <c r="B551" s="42" t="str">
        <f t="shared" si="234"/>
        <v>神奈川静岡本部</v>
      </c>
      <c r="C551" s="42" t="str">
        <f t="shared" si="234"/>
        <v>ラヴィーレ王禅寺</v>
      </c>
      <c r="D551" s="14" t="s">
        <v>2</v>
      </c>
      <c r="E551" s="15">
        <v>1</v>
      </c>
      <c r="F551" s="16">
        <v>0</v>
      </c>
      <c r="G551" s="17">
        <v>0</v>
      </c>
      <c r="H551" s="16">
        <v>0</v>
      </c>
      <c r="I551" s="17">
        <v>0</v>
      </c>
      <c r="J551" s="15">
        <v>0</v>
      </c>
      <c r="K551" s="45">
        <f t="shared" si="226"/>
        <v>5</v>
      </c>
      <c r="L551" s="28">
        <v>0</v>
      </c>
      <c r="M551" s="33">
        <f t="shared" si="221"/>
        <v>0</v>
      </c>
      <c r="N551" s="1">
        <v>2415271100</v>
      </c>
    </row>
    <row r="552" spans="1:14" ht="18" customHeight="1" x14ac:dyDescent="0.45">
      <c r="A552" s="8">
        <v>546</v>
      </c>
      <c r="B552" s="34" t="s">
        <v>48</v>
      </c>
      <c r="C552" s="34" t="s">
        <v>244</v>
      </c>
      <c r="D552" s="9" t="s">
        <v>3</v>
      </c>
      <c r="E552" s="10">
        <v>1</v>
      </c>
      <c r="F552" s="11">
        <v>19</v>
      </c>
      <c r="G552" s="12">
        <v>19</v>
      </c>
      <c r="H552" s="11">
        <v>0</v>
      </c>
      <c r="I552" s="12">
        <v>0</v>
      </c>
      <c r="J552" s="10">
        <v>19</v>
      </c>
      <c r="K552" s="37">
        <f t="shared" ref="K552" si="235">SUM(M552:M556)</f>
        <v>4</v>
      </c>
      <c r="L552" s="28">
        <v>2</v>
      </c>
      <c r="M552" s="33">
        <f t="shared" si="221"/>
        <v>2</v>
      </c>
      <c r="N552" s="1">
        <v>2415281100</v>
      </c>
    </row>
    <row r="553" spans="1:14" ht="18" customHeight="1" x14ac:dyDescent="0.45">
      <c r="A553" s="8">
        <v>547</v>
      </c>
      <c r="B553" s="35" t="str">
        <f t="shared" ref="B553:C556" si="236">B552</f>
        <v>神奈川静岡本部</v>
      </c>
      <c r="C553" s="35" t="str">
        <f t="shared" si="236"/>
        <v>ラヴィーレ若葉台</v>
      </c>
      <c r="D553" s="9" t="s">
        <v>4</v>
      </c>
      <c r="E553" s="10">
        <v>1</v>
      </c>
      <c r="F553" s="11">
        <v>4</v>
      </c>
      <c r="G553" s="12">
        <v>4</v>
      </c>
      <c r="H553" s="11">
        <v>0</v>
      </c>
      <c r="I553" s="12">
        <v>0</v>
      </c>
      <c r="J553" s="10">
        <v>4</v>
      </c>
      <c r="K553" s="38">
        <f t="shared" si="226"/>
        <v>4</v>
      </c>
      <c r="L553" s="28">
        <v>1</v>
      </c>
      <c r="M553" s="33">
        <f t="shared" si="221"/>
        <v>1</v>
      </c>
      <c r="N553" s="1">
        <v>2415281100</v>
      </c>
    </row>
    <row r="554" spans="1:14" ht="18" customHeight="1" x14ac:dyDescent="0.45">
      <c r="A554" s="8">
        <v>548</v>
      </c>
      <c r="B554" s="35" t="str">
        <f t="shared" si="236"/>
        <v>神奈川静岡本部</v>
      </c>
      <c r="C554" s="35" t="str">
        <f t="shared" si="236"/>
        <v>ラヴィーレ若葉台</v>
      </c>
      <c r="D554" s="9" t="s">
        <v>5</v>
      </c>
      <c r="E554" s="10">
        <v>2</v>
      </c>
      <c r="F554" s="11">
        <v>1</v>
      </c>
      <c r="G554" s="12">
        <v>0.5</v>
      </c>
      <c r="H554" s="11">
        <v>0</v>
      </c>
      <c r="I554" s="12">
        <v>0</v>
      </c>
      <c r="J554" s="10">
        <v>1</v>
      </c>
      <c r="K554" s="38">
        <f t="shared" si="226"/>
        <v>4</v>
      </c>
      <c r="L554" s="28">
        <v>0</v>
      </c>
      <c r="M554" s="33">
        <f t="shared" si="221"/>
        <v>0</v>
      </c>
      <c r="N554" s="1">
        <v>2415281100</v>
      </c>
    </row>
    <row r="555" spans="1:14" ht="18" customHeight="1" x14ac:dyDescent="0.45">
      <c r="A555" s="8">
        <v>549</v>
      </c>
      <c r="B555" s="35" t="str">
        <f t="shared" si="236"/>
        <v>神奈川静岡本部</v>
      </c>
      <c r="C555" s="35" t="str">
        <f t="shared" si="236"/>
        <v>ラヴィーレ若葉台</v>
      </c>
      <c r="D555" s="9" t="s">
        <v>6</v>
      </c>
      <c r="E555" s="10">
        <v>6</v>
      </c>
      <c r="F555" s="11">
        <v>4</v>
      </c>
      <c r="G555" s="12">
        <v>0.7</v>
      </c>
      <c r="H555" s="11">
        <v>0</v>
      </c>
      <c r="I555" s="12">
        <v>0</v>
      </c>
      <c r="J555" s="10">
        <v>4</v>
      </c>
      <c r="K555" s="38">
        <f t="shared" si="226"/>
        <v>4</v>
      </c>
      <c r="L555" s="28">
        <v>1</v>
      </c>
      <c r="M555" s="33">
        <f t="shared" si="221"/>
        <v>1</v>
      </c>
      <c r="N555" s="1">
        <v>2415281100</v>
      </c>
    </row>
    <row r="556" spans="1:14" ht="18" customHeight="1" x14ac:dyDescent="0.45">
      <c r="A556" s="8">
        <v>550</v>
      </c>
      <c r="B556" s="36" t="str">
        <f t="shared" si="236"/>
        <v>神奈川静岡本部</v>
      </c>
      <c r="C556" s="36" t="str">
        <f t="shared" si="236"/>
        <v>ラヴィーレ若葉台</v>
      </c>
      <c r="D556" s="9" t="s">
        <v>2</v>
      </c>
      <c r="E556" s="10">
        <v>1</v>
      </c>
      <c r="F556" s="11">
        <v>0</v>
      </c>
      <c r="G556" s="12">
        <v>0</v>
      </c>
      <c r="H556" s="11">
        <v>0</v>
      </c>
      <c r="I556" s="12">
        <v>0</v>
      </c>
      <c r="J556" s="10">
        <v>0</v>
      </c>
      <c r="K556" s="39">
        <f t="shared" si="226"/>
        <v>4</v>
      </c>
      <c r="L556" s="28">
        <v>0</v>
      </c>
      <c r="M556" s="33">
        <f t="shared" si="221"/>
        <v>0</v>
      </c>
      <c r="N556" s="1">
        <v>2415281100</v>
      </c>
    </row>
    <row r="557" spans="1:14" ht="18" customHeight="1" x14ac:dyDescent="0.45">
      <c r="A557" s="13">
        <v>551</v>
      </c>
      <c r="B557" s="40" t="s">
        <v>48</v>
      </c>
      <c r="C557" s="40" t="s">
        <v>61</v>
      </c>
      <c r="D557" s="14" t="s">
        <v>3</v>
      </c>
      <c r="E557" s="15">
        <v>1</v>
      </c>
      <c r="F557" s="16">
        <v>6</v>
      </c>
      <c r="G557" s="17">
        <v>6</v>
      </c>
      <c r="H557" s="16">
        <v>3</v>
      </c>
      <c r="I557" s="17">
        <v>3</v>
      </c>
      <c r="J557" s="15">
        <v>9</v>
      </c>
      <c r="K557" s="43">
        <f t="shared" ref="K557" si="237">SUM(M557:M561)</f>
        <v>5</v>
      </c>
      <c r="L557" s="28">
        <v>2</v>
      </c>
      <c r="M557" s="33">
        <f t="shared" si="221"/>
        <v>2</v>
      </c>
      <c r="N557" s="1">
        <v>2415291200</v>
      </c>
    </row>
    <row r="558" spans="1:14" ht="18" customHeight="1" x14ac:dyDescent="0.45">
      <c r="A558" s="13">
        <v>552</v>
      </c>
      <c r="B558" s="41" t="str">
        <f t="shared" ref="B558:C561" si="238">B557</f>
        <v>神奈川静岡本部</v>
      </c>
      <c r="C558" s="41" t="str">
        <f t="shared" si="238"/>
        <v>そんぽの家　はるひ野</v>
      </c>
      <c r="D558" s="14" t="s">
        <v>4</v>
      </c>
      <c r="E558" s="15">
        <v>1</v>
      </c>
      <c r="F558" s="16">
        <v>2</v>
      </c>
      <c r="G558" s="17">
        <v>2</v>
      </c>
      <c r="H558" s="16">
        <v>1</v>
      </c>
      <c r="I558" s="17">
        <v>1</v>
      </c>
      <c r="J558" s="15">
        <v>3</v>
      </c>
      <c r="K558" s="44">
        <f t="shared" si="226"/>
        <v>5</v>
      </c>
      <c r="L558" s="28">
        <v>0</v>
      </c>
      <c r="M558" s="33">
        <f t="shared" si="221"/>
        <v>0</v>
      </c>
      <c r="N558" s="1">
        <v>2415291200</v>
      </c>
    </row>
    <row r="559" spans="1:14" ht="18" customHeight="1" x14ac:dyDescent="0.45">
      <c r="A559" s="13">
        <v>553</v>
      </c>
      <c r="B559" s="41" t="str">
        <f t="shared" si="238"/>
        <v>神奈川静岡本部</v>
      </c>
      <c r="C559" s="41" t="str">
        <f t="shared" si="238"/>
        <v>そんぽの家　はるひ野</v>
      </c>
      <c r="D559" s="14" t="s">
        <v>5</v>
      </c>
      <c r="E559" s="15">
        <v>3</v>
      </c>
      <c r="F559" s="16">
        <v>8</v>
      </c>
      <c r="G559" s="17">
        <v>2.7</v>
      </c>
      <c r="H559" s="16">
        <v>0</v>
      </c>
      <c r="I559" s="17">
        <v>0</v>
      </c>
      <c r="J559" s="15">
        <v>8</v>
      </c>
      <c r="K559" s="44">
        <f t="shared" si="226"/>
        <v>5</v>
      </c>
      <c r="L559" s="28">
        <v>2</v>
      </c>
      <c r="M559" s="33">
        <f t="shared" si="221"/>
        <v>2</v>
      </c>
      <c r="N559" s="1">
        <v>2415291200</v>
      </c>
    </row>
    <row r="560" spans="1:14" ht="18" customHeight="1" x14ac:dyDescent="0.45">
      <c r="A560" s="13">
        <v>554</v>
      </c>
      <c r="B560" s="41" t="str">
        <f t="shared" si="238"/>
        <v>神奈川静岡本部</v>
      </c>
      <c r="C560" s="41" t="str">
        <f t="shared" si="238"/>
        <v>そんぽの家　はるひ野</v>
      </c>
      <c r="D560" s="14" t="s">
        <v>6</v>
      </c>
      <c r="E560" s="15">
        <v>6</v>
      </c>
      <c r="F560" s="16">
        <v>0</v>
      </c>
      <c r="G560" s="17">
        <v>0</v>
      </c>
      <c r="H560" s="16">
        <v>0</v>
      </c>
      <c r="I560" s="17">
        <v>0</v>
      </c>
      <c r="J560" s="15">
        <v>0</v>
      </c>
      <c r="K560" s="44">
        <f t="shared" si="226"/>
        <v>5</v>
      </c>
      <c r="L560" s="28">
        <v>0</v>
      </c>
      <c r="M560" s="33">
        <f t="shared" si="221"/>
        <v>0</v>
      </c>
      <c r="N560" s="1">
        <v>2415291200</v>
      </c>
    </row>
    <row r="561" spans="1:14" ht="18" customHeight="1" x14ac:dyDescent="0.45">
      <c r="A561" s="13">
        <v>555</v>
      </c>
      <c r="B561" s="42" t="str">
        <f t="shared" si="238"/>
        <v>神奈川静岡本部</v>
      </c>
      <c r="C561" s="42" t="str">
        <f t="shared" si="238"/>
        <v>そんぽの家　はるひ野</v>
      </c>
      <c r="D561" s="14" t="s">
        <v>2</v>
      </c>
      <c r="E561" s="15">
        <v>2</v>
      </c>
      <c r="F561" s="16">
        <v>7</v>
      </c>
      <c r="G561" s="17">
        <v>3.5</v>
      </c>
      <c r="H561" s="16">
        <v>0</v>
      </c>
      <c r="I561" s="17">
        <v>0</v>
      </c>
      <c r="J561" s="15">
        <v>7</v>
      </c>
      <c r="K561" s="45">
        <f t="shared" si="226"/>
        <v>5</v>
      </c>
      <c r="L561" s="28">
        <v>1</v>
      </c>
      <c r="M561" s="33">
        <f t="shared" si="221"/>
        <v>1</v>
      </c>
      <c r="N561" s="1">
        <v>2415291200</v>
      </c>
    </row>
    <row r="562" spans="1:14" ht="18" customHeight="1" x14ac:dyDescent="0.45">
      <c r="A562" s="8">
        <v>556</v>
      </c>
      <c r="B562" s="34" t="s">
        <v>48</v>
      </c>
      <c r="C562" s="34" t="s">
        <v>245</v>
      </c>
      <c r="D562" s="9" t="s">
        <v>3</v>
      </c>
      <c r="E562" s="10">
        <v>1</v>
      </c>
      <c r="F562" s="11">
        <v>5</v>
      </c>
      <c r="G562" s="12">
        <v>5</v>
      </c>
      <c r="H562" s="11">
        <v>1</v>
      </c>
      <c r="I562" s="12">
        <v>1</v>
      </c>
      <c r="J562" s="10">
        <v>6</v>
      </c>
      <c r="K562" s="37">
        <f t="shared" ref="K562" si="239">SUM(M562:M566)</f>
        <v>5</v>
      </c>
      <c r="L562" s="28">
        <v>1</v>
      </c>
      <c r="M562" s="33">
        <f t="shared" si="221"/>
        <v>1</v>
      </c>
      <c r="N562" s="1">
        <v>2415311100</v>
      </c>
    </row>
    <row r="563" spans="1:14" ht="18" customHeight="1" x14ac:dyDescent="0.45">
      <c r="A563" s="8">
        <v>557</v>
      </c>
      <c r="B563" s="35" t="str">
        <f t="shared" ref="B563:C566" si="240">B562</f>
        <v>神奈川静岡本部</v>
      </c>
      <c r="C563" s="35" t="str">
        <f t="shared" si="240"/>
        <v>ラヴィーレ海老名</v>
      </c>
      <c r="D563" s="9" t="s">
        <v>4</v>
      </c>
      <c r="E563" s="10">
        <v>1</v>
      </c>
      <c r="F563" s="11">
        <v>18</v>
      </c>
      <c r="G563" s="12">
        <v>18</v>
      </c>
      <c r="H563" s="11">
        <v>18</v>
      </c>
      <c r="I563" s="12">
        <v>18</v>
      </c>
      <c r="J563" s="10">
        <v>36</v>
      </c>
      <c r="K563" s="38">
        <f t="shared" si="226"/>
        <v>5</v>
      </c>
      <c r="L563" s="28">
        <v>2</v>
      </c>
      <c r="M563" s="33">
        <f t="shared" si="221"/>
        <v>2</v>
      </c>
      <c r="N563" s="1">
        <v>2415311100</v>
      </c>
    </row>
    <row r="564" spans="1:14" ht="18" customHeight="1" x14ac:dyDescent="0.45">
      <c r="A564" s="8">
        <v>558</v>
      </c>
      <c r="B564" s="35" t="str">
        <f t="shared" si="240"/>
        <v>神奈川静岡本部</v>
      </c>
      <c r="C564" s="35" t="str">
        <f t="shared" si="240"/>
        <v>ラヴィーレ海老名</v>
      </c>
      <c r="D564" s="9" t="s">
        <v>5</v>
      </c>
      <c r="E564" s="10">
        <v>2</v>
      </c>
      <c r="F564" s="11">
        <v>42</v>
      </c>
      <c r="G564" s="12">
        <v>21</v>
      </c>
      <c r="H564" s="11">
        <v>0</v>
      </c>
      <c r="I564" s="12">
        <v>0</v>
      </c>
      <c r="J564" s="10">
        <v>42</v>
      </c>
      <c r="K564" s="38">
        <f t="shared" si="226"/>
        <v>5</v>
      </c>
      <c r="L564" s="28">
        <v>2</v>
      </c>
      <c r="M564" s="33">
        <f t="shared" si="221"/>
        <v>2</v>
      </c>
      <c r="N564" s="1">
        <v>2415311100</v>
      </c>
    </row>
    <row r="565" spans="1:14" ht="18" customHeight="1" x14ac:dyDescent="0.45">
      <c r="A565" s="8">
        <v>559</v>
      </c>
      <c r="B565" s="35" t="str">
        <f t="shared" si="240"/>
        <v>神奈川静岡本部</v>
      </c>
      <c r="C565" s="35" t="str">
        <f t="shared" si="240"/>
        <v>ラヴィーレ海老名</v>
      </c>
      <c r="D565" s="9" t="s">
        <v>6</v>
      </c>
      <c r="E565" s="10">
        <v>3</v>
      </c>
      <c r="F565" s="11">
        <v>0</v>
      </c>
      <c r="G565" s="12">
        <v>0</v>
      </c>
      <c r="H565" s="11">
        <v>0</v>
      </c>
      <c r="I565" s="12">
        <v>0</v>
      </c>
      <c r="J565" s="10">
        <v>0</v>
      </c>
      <c r="K565" s="38">
        <f t="shared" si="226"/>
        <v>5</v>
      </c>
      <c r="L565" s="28">
        <v>0</v>
      </c>
      <c r="M565" s="33">
        <f t="shared" si="221"/>
        <v>0</v>
      </c>
      <c r="N565" s="1">
        <v>2415311100</v>
      </c>
    </row>
    <row r="566" spans="1:14" ht="18" customHeight="1" x14ac:dyDescent="0.45">
      <c r="A566" s="8">
        <v>560</v>
      </c>
      <c r="B566" s="36" t="str">
        <f t="shared" si="240"/>
        <v>神奈川静岡本部</v>
      </c>
      <c r="C566" s="36" t="str">
        <f t="shared" si="240"/>
        <v>ラヴィーレ海老名</v>
      </c>
      <c r="D566" s="9" t="s">
        <v>2</v>
      </c>
      <c r="E566" s="10">
        <v>1</v>
      </c>
      <c r="F566" s="11">
        <v>0</v>
      </c>
      <c r="G566" s="12">
        <v>0</v>
      </c>
      <c r="H566" s="11">
        <v>0</v>
      </c>
      <c r="I566" s="12">
        <v>0</v>
      </c>
      <c r="J566" s="10">
        <v>0</v>
      </c>
      <c r="K566" s="39">
        <f t="shared" si="226"/>
        <v>5</v>
      </c>
      <c r="L566" s="28">
        <v>0</v>
      </c>
      <c r="M566" s="33">
        <f t="shared" si="221"/>
        <v>0</v>
      </c>
      <c r="N566" s="1">
        <v>2415311100</v>
      </c>
    </row>
    <row r="567" spans="1:14" ht="18" customHeight="1" x14ac:dyDescent="0.45">
      <c r="A567" s="13">
        <v>561</v>
      </c>
      <c r="B567" s="40" t="s">
        <v>48</v>
      </c>
      <c r="C567" s="40" t="s">
        <v>246</v>
      </c>
      <c r="D567" s="14" t="s">
        <v>3</v>
      </c>
      <c r="E567" s="15">
        <v>1</v>
      </c>
      <c r="F567" s="16">
        <v>3</v>
      </c>
      <c r="G567" s="17">
        <v>3</v>
      </c>
      <c r="H567" s="16">
        <v>2</v>
      </c>
      <c r="I567" s="17">
        <v>2</v>
      </c>
      <c r="J567" s="15">
        <v>5</v>
      </c>
      <c r="K567" s="43">
        <f t="shared" ref="K567" si="241">SUM(M567:M571)</f>
        <v>7</v>
      </c>
      <c r="L567" s="28">
        <v>1</v>
      </c>
      <c r="M567" s="33">
        <f t="shared" si="221"/>
        <v>1</v>
      </c>
      <c r="N567" s="1">
        <v>2415321100</v>
      </c>
    </row>
    <row r="568" spans="1:14" ht="18" customHeight="1" x14ac:dyDescent="0.45">
      <c r="A568" s="13">
        <v>562</v>
      </c>
      <c r="B568" s="41" t="str">
        <f t="shared" ref="B568:C571" si="242">B567</f>
        <v>神奈川静岡本部</v>
      </c>
      <c r="C568" s="41" t="str">
        <f t="shared" si="242"/>
        <v>ラヴィーレ座間谷戸山公園</v>
      </c>
      <c r="D568" s="14" t="s">
        <v>4</v>
      </c>
      <c r="E568" s="15">
        <v>2</v>
      </c>
      <c r="F568" s="16">
        <v>12</v>
      </c>
      <c r="G568" s="17">
        <v>6</v>
      </c>
      <c r="H568" s="16">
        <v>10</v>
      </c>
      <c r="I568" s="17">
        <v>5</v>
      </c>
      <c r="J568" s="15">
        <v>22</v>
      </c>
      <c r="K568" s="44">
        <f t="shared" si="226"/>
        <v>7</v>
      </c>
      <c r="L568" s="28">
        <v>2</v>
      </c>
      <c r="M568" s="33">
        <f t="shared" si="221"/>
        <v>2</v>
      </c>
      <c r="N568" s="1">
        <v>2415321100</v>
      </c>
    </row>
    <row r="569" spans="1:14" ht="18" customHeight="1" x14ac:dyDescent="0.45">
      <c r="A569" s="13">
        <v>563</v>
      </c>
      <c r="B569" s="41" t="str">
        <f t="shared" si="242"/>
        <v>神奈川静岡本部</v>
      </c>
      <c r="C569" s="41" t="str">
        <f t="shared" si="242"/>
        <v>ラヴィーレ座間谷戸山公園</v>
      </c>
      <c r="D569" s="14" t="s">
        <v>5</v>
      </c>
      <c r="E569" s="15">
        <v>2</v>
      </c>
      <c r="F569" s="16">
        <v>15</v>
      </c>
      <c r="G569" s="17">
        <v>7.5</v>
      </c>
      <c r="H569" s="16">
        <v>0</v>
      </c>
      <c r="I569" s="17">
        <v>0</v>
      </c>
      <c r="J569" s="15">
        <v>15</v>
      </c>
      <c r="K569" s="44">
        <f t="shared" si="226"/>
        <v>7</v>
      </c>
      <c r="L569" s="28">
        <v>2</v>
      </c>
      <c r="M569" s="33">
        <f t="shared" si="221"/>
        <v>2</v>
      </c>
      <c r="N569" s="1">
        <v>2415321100</v>
      </c>
    </row>
    <row r="570" spans="1:14" ht="18" customHeight="1" x14ac:dyDescent="0.45">
      <c r="A570" s="13">
        <v>564</v>
      </c>
      <c r="B570" s="41" t="str">
        <f t="shared" si="242"/>
        <v>神奈川静岡本部</v>
      </c>
      <c r="C570" s="41" t="str">
        <f t="shared" si="242"/>
        <v>ラヴィーレ座間谷戸山公園</v>
      </c>
      <c r="D570" s="14" t="s">
        <v>6</v>
      </c>
      <c r="E570" s="15">
        <v>12</v>
      </c>
      <c r="F570" s="16">
        <v>0</v>
      </c>
      <c r="G570" s="17">
        <v>0</v>
      </c>
      <c r="H570" s="16">
        <v>0</v>
      </c>
      <c r="I570" s="17">
        <v>0</v>
      </c>
      <c r="J570" s="15">
        <v>0</v>
      </c>
      <c r="K570" s="44">
        <f t="shared" si="226"/>
        <v>7</v>
      </c>
      <c r="L570" s="28">
        <v>0</v>
      </c>
      <c r="M570" s="33">
        <f t="shared" si="221"/>
        <v>0</v>
      </c>
      <c r="N570" s="1">
        <v>2415321100</v>
      </c>
    </row>
    <row r="571" spans="1:14" ht="18" customHeight="1" x14ac:dyDescent="0.45">
      <c r="A571" s="13">
        <v>565</v>
      </c>
      <c r="B571" s="42" t="str">
        <f t="shared" si="242"/>
        <v>神奈川静岡本部</v>
      </c>
      <c r="C571" s="42" t="str">
        <f t="shared" si="242"/>
        <v>ラヴィーレ座間谷戸山公園</v>
      </c>
      <c r="D571" s="14" t="s">
        <v>2</v>
      </c>
      <c r="E571" s="15">
        <v>3</v>
      </c>
      <c r="F571" s="16">
        <v>13</v>
      </c>
      <c r="G571" s="17">
        <v>4.3</v>
      </c>
      <c r="H571" s="16">
        <v>5</v>
      </c>
      <c r="I571" s="17">
        <v>1.7</v>
      </c>
      <c r="J571" s="15">
        <v>18</v>
      </c>
      <c r="K571" s="45">
        <f t="shared" si="226"/>
        <v>7</v>
      </c>
      <c r="L571" s="28">
        <v>2</v>
      </c>
      <c r="M571" s="33">
        <f t="shared" si="221"/>
        <v>2</v>
      </c>
      <c r="N571" s="1">
        <v>2415321100</v>
      </c>
    </row>
    <row r="572" spans="1:14" ht="18" customHeight="1" x14ac:dyDescent="0.45">
      <c r="A572" s="8">
        <v>566</v>
      </c>
      <c r="B572" s="34" t="s">
        <v>48</v>
      </c>
      <c r="C572" s="34" t="s">
        <v>247</v>
      </c>
      <c r="D572" s="9" t="s">
        <v>3</v>
      </c>
      <c r="E572" s="10">
        <v>1</v>
      </c>
      <c r="F572" s="11">
        <v>13</v>
      </c>
      <c r="G572" s="12">
        <v>13</v>
      </c>
      <c r="H572" s="11">
        <v>13</v>
      </c>
      <c r="I572" s="12">
        <v>13</v>
      </c>
      <c r="J572" s="10">
        <v>26</v>
      </c>
      <c r="K572" s="37">
        <f t="shared" ref="K572" si="243">SUM(M572:M576)</f>
        <v>6</v>
      </c>
      <c r="L572" s="28">
        <v>2</v>
      </c>
      <c r="M572" s="33">
        <f t="shared" si="221"/>
        <v>2</v>
      </c>
      <c r="N572" s="1">
        <v>2415331100</v>
      </c>
    </row>
    <row r="573" spans="1:14" ht="18" customHeight="1" x14ac:dyDescent="0.45">
      <c r="A573" s="8">
        <v>567</v>
      </c>
      <c r="B573" s="35" t="str">
        <f t="shared" ref="B573:C576" si="244">B572</f>
        <v>神奈川静岡本部</v>
      </c>
      <c r="C573" s="35" t="str">
        <f t="shared" si="244"/>
        <v>ラヴィーレ座間</v>
      </c>
      <c r="D573" s="9" t="s">
        <v>4</v>
      </c>
      <c r="E573" s="10">
        <v>1</v>
      </c>
      <c r="F573" s="11">
        <v>25</v>
      </c>
      <c r="G573" s="12">
        <v>25</v>
      </c>
      <c r="H573" s="11">
        <v>2</v>
      </c>
      <c r="I573" s="12">
        <v>2</v>
      </c>
      <c r="J573" s="10">
        <v>27</v>
      </c>
      <c r="K573" s="38">
        <f t="shared" si="226"/>
        <v>6</v>
      </c>
      <c r="L573" s="28">
        <v>2</v>
      </c>
      <c r="M573" s="33">
        <f t="shared" si="221"/>
        <v>2</v>
      </c>
      <c r="N573" s="1">
        <v>2415331100</v>
      </c>
    </row>
    <row r="574" spans="1:14" ht="18" customHeight="1" x14ac:dyDescent="0.45">
      <c r="A574" s="8">
        <v>568</v>
      </c>
      <c r="B574" s="35" t="str">
        <f t="shared" si="244"/>
        <v>神奈川静岡本部</v>
      </c>
      <c r="C574" s="35" t="str">
        <f t="shared" si="244"/>
        <v>ラヴィーレ座間</v>
      </c>
      <c r="D574" s="9" t="s">
        <v>5</v>
      </c>
      <c r="E574" s="10">
        <v>1</v>
      </c>
      <c r="F574" s="11">
        <v>24</v>
      </c>
      <c r="G574" s="12">
        <v>24</v>
      </c>
      <c r="H574" s="11">
        <v>0</v>
      </c>
      <c r="I574" s="12">
        <v>0</v>
      </c>
      <c r="J574" s="10">
        <v>24</v>
      </c>
      <c r="K574" s="38">
        <f t="shared" si="226"/>
        <v>6</v>
      </c>
      <c r="L574" s="28">
        <v>2</v>
      </c>
      <c r="M574" s="33">
        <f t="shared" si="221"/>
        <v>2</v>
      </c>
      <c r="N574" s="1">
        <v>2415331100</v>
      </c>
    </row>
    <row r="575" spans="1:14" ht="18" customHeight="1" x14ac:dyDescent="0.45">
      <c r="A575" s="8">
        <v>569</v>
      </c>
      <c r="B575" s="35" t="str">
        <f t="shared" si="244"/>
        <v>神奈川静岡本部</v>
      </c>
      <c r="C575" s="35" t="str">
        <f t="shared" si="244"/>
        <v>ラヴィーレ座間</v>
      </c>
      <c r="D575" s="9" t="s">
        <v>6</v>
      </c>
      <c r="E575" s="10">
        <v>3</v>
      </c>
      <c r="F575" s="11">
        <v>0</v>
      </c>
      <c r="G575" s="12">
        <v>0</v>
      </c>
      <c r="H575" s="11">
        <v>0</v>
      </c>
      <c r="I575" s="12">
        <v>0</v>
      </c>
      <c r="J575" s="10">
        <v>0</v>
      </c>
      <c r="K575" s="38">
        <f t="shared" si="226"/>
        <v>6</v>
      </c>
      <c r="L575" s="28">
        <v>0</v>
      </c>
      <c r="M575" s="33">
        <f t="shared" si="221"/>
        <v>0</v>
      </c>
      <c r="N575" s="1">
        <v>2415331100</v>
      </c>
    </row>
    <row r="576" spans="1:14" ht="18" customHeight="1" x14ac:dyDescent="0.45">
      <c r="A576" s="8">
        <v>570</v>
      </c>
      <c r="B576" s="36" t="str">
        <f t="shared" si="244"/>
        <v>神奈川静岡本部</v>
      </c>
      <c r="C576" s="36" t="str">
        <f t="shared" si="244"/>
        <v>ラヴィーレ座間</v>
      </c>
      <c r="D576" s="9" t="s">
        <v>2</v>
      </c>
      <c r="E576" s="10">
        <v>1</v>
      </c>
      <c r="F576" s="11">
        <v>0</v>
      </c>
      <c r="G576" s="12">
        <v>0</v>
      </c>
      <c r="H576" s="11">
        <v>0</v>
      </c>
      <c r="I576" s="12">
        <v>0</v>
      </c>
      <c r="J576" s="10">
        <v>0</v>
      </c>
      <c r="K576" s="39">
        <f t="shared" si="226"/>
        <v>6</v>
      </c>
      <c r="L576" s="28">
        <v>0</v>
      </c>
      <c r="M576" s="33">
        <f t="shared" si="221"/>
        <v>0</v>
      </c>
      <c r="N576" s="1">
        <v>2415331100</v>
      </c>
    </row>
    <row r="577" spans="1:14" ht="18" customHeight="1" x14ac:dyDescent="0.45">
      <c r="A577" s="13">
        <v>571</v>
      </c>
      <c r="B577" s="40" t="s">
        <v>48</v>
      </c>
      <c r="C577" s="40" t="s">
        <v>62</v>
      </c>
      <c r="D577" s="14" t="s">
        <v>3</v>
      </c>
      <c r="E577" s="15">
        <v>1</v>
      </c>
      <c r="F577" s="16">
        <v>16</v>
      </c>
      <c r="G577" s="17">
        <v>16</v>
      </c>
      <c r="H577" s="16">
        <v>1</v>
      </c>
      <c r="I577" s="17">
        <v>1</v>
      </c>
      <c r="J577" s="15">
        <v>17</v>
      </c>
      <c r="K577" s="43">
        <f t="shared" ref="K577" si="245">SUM(M577:M581)</f>
        <v>9</v>
      </c>
      <c r="L577" s="28">
        <v>2</v>
      </c>
      <c r="M577" s="33">
        <f t="shared" si="221"/>
        <v>2</v>
      </c>
      <c r="N577" s="1">
        <v>2415341100</v>
      </c>
    </row>
    <row r="578" spans="1:14" ht="18" customHeight="1" x14ac:dyDescent="0.45">
      <c r="A578" s="13">
        <v>572</v>
      </c>
      <c r="B578" s="41" t="str">
        <f t="shared" ref="B578:C581" si="246">B577</f>
        <v>神奈川静岡本部</v>
      </c>
      <c r="C578" s="41" t="str">
        <f t="shared" si="246"/>
        <v>そんぽの家　相模大野</v>
      </c>
      <c r="D578" s="14" t="s">
        <v>4</v>
      </c>
      <c r="E578" s="15">
        <v>1</v>
      </c>
      <c r="F578" s="16">
        <v>13</v>
      </c>
      <c r="G578" s="17">
        <v>13</v>
      </c>
      <c r="H578" s="16">
        <v>3</v>
      </c>
      <c r="I578" s="17">
        <v>3</v>
      </c>
      <c r="J578" s="15">
        <v>16</v>
      </c>
      <c r="K578" s="44">
        <f t="shared" si="226"/>
        <v>9</v>
      </c>
      <c r="L578" s="28">
        <v>2</v>
      </c>
      <c r="M578" s="33">
        <f t="shared" si="221"/>
        <v>2</v>
      </c>
      <c r="N578" s="1">
        <v>2415341100</v>
      </c>
    </row>
    <row r="579" spans="1:14" ht="18" customHeight="1" x14ac:dyDescent="0.45">
      <c r="A579" s="13">
        <v>573</v>
      </c>
      <c r="B579" s="41" t="str">
        <f t="shared" si="246"/>
        <v>神奈川静岡本部</v>
      </c>
      <c r="C579" s="41" t="str">
        <f t="shared" si="246"/>
        <v>そんぽの家　相模大野</v>
      </c>
      <c r="D579" s="14" t="s">
        <v>5</v>
      </c>
      <c r="E579" s="15">
        <v>1</v>
      </c>
      <c r="F579" s="16">
        <v>29</v>
      </c>
      <c r="G579" s="17">
        <v>29</v>
      </c>
      <c r="H579" s="16">
        <v>0</v>
      </c>
      <c r="I579" s="17">
        <v>0</v>
      </c>
      <c r="J579" s="15">
        <v>29</v>
      </c>
      <c r="K579" s="44">
        <f t="shared" si="226"/>
        <v>9</v>
      </c>
      <c r="L579" s="28">
        <v>2</v>
      </c>
      <c r="M579" s="33">
        <f t="shared" si="221"/>
        <v>2</v>
      </c>
      <c r="N579" s="1">
        <v>2415341100</v>
      </c>
    </row>
    <row r="580" spans="1:14" ht="18" customHeight="1" x14ac:dyDescent="0.45">
      <c r="A580" s="13">
        <v>574</v>
      </c>
      <c r="B580" s="41" t="str">
        <f t="shared" si="246"/>
        <v>神奈川静岡本部</v>
      </c>
      <c r="C580" s="41" t="str">
        <f t="shared" si="246"/>
        <v>そんぽの家　相模大野</v>
      </c>
      <c r="D580" s="14" t="s">
        <v>6</v>
      </c>
      <c r="E580" s="15">
        <v>3</v>
      </c>
      <c r="F580" s="16">
        <v>7</v>
      </c>
      <c r="G580" s="17">
        <v>2.2999999999999998</v>
      </c>
      <c r="H580" s="16">
        <v>0</v>
      </c>
      <c r="I580" s="17">
        <v>0</v>
      </c>
      <c r="J580" s="15">
        <v>7</v>
      </c>
      <c r="K580" s="44">
        <f t="shared" si="226"/>
        <v>9</v>
      </c>
      <c r="L580" s="28">
        <v>1</v>
      </c>
      <c r="M580" s="33">
        <f t="shared" si="221"/>
        <v>1</v>
      </c>
      <c r="N580" s="1">
        <v>2415341100</v>
      </c>
    </row>
    <row r="581" spans="1:14" ht="18" customHeight="1" x14ac:dyDescent="0.45">
      <c r="A581" s="13">
        <v>575</v>
      </c>
      <c r="B581" s="42" t="str">
        <f t="shared" si="246"/>
        <v>神奈川静岡本部</v>
      </c>
      <c r="C581" s="42" t="str">
        <f t="shared" si="246"/>
        <v>そんぽの家　相模大野</v>
      </c>
      <c r="D581" s="14" t="s">
        <v>2</v>
      </c>
      <c r="E581" s="15">
        <v>1</v>
      </c>
      <c r="F581" s="16">
        <v>12</v>
      </c>
      <c r="G581" s="17">
        <v>12</v>
      </c>
      <c r="H581" s="16">
        <v>0</v>
      </c>
      <c r="I581" s="17">
        <v>0</v>
      </c>
      <c r="J581" s="15">
        <v>12</v>
      </c>
      <c r="K581" s="45">
        <f t="shared" si="226"/>
        <v>9</v>
      </c>
      <c r="L581" s="28">
        <v>2</v>
      </c>
      <c r="M581" s="33">
        <f t="shared" si="221"/>
        <v>2</v>
      </c>
      <c r="N581" s="1">
        <v>2415341100</v>
      </c>
    </row>
    <row r="582" spans="1:14" ht="18" customHeight="1" x14ac:dyDescent="0.45">
      <c r="A582" s="8">
        <v>576</v>
      </c>
      <c r="B582" s="34" t="s">
        <v>48</v>
      </c>
      <c r="C582" s="34" t="s">
        <v>248</v>
      </c>
      <c r="D582" s="9" t="s">
        <v>3</v>
      </c>
      <c r="E582" s="10">
        <v>1</v>
      </c>
      <c r="F582" s="11">
        <v>6</v>
      </c>
      <c r="G582" s="12">
        <v>6</v>
      </c>
      <c r="H582" s="11">
        <v>5</v>
      </c>
      <c r="I582" s="12">
        <v>5</v>
      </c>
      <c r="J582" s="10">
        <v>11</v>
      </c>
      <c r="K582" s="37">
        <f t="shared" ref="K582" si="247">SUM(M582:M586)</f>
        <v>4</v>
      </c>
      <c r="L582" s="28">
        <v>2</v>
      </c>
      <c r="M582" s="33">
        <f t="shared" si="221"/>
        <v>2</v>
      </c>
      <c r="N582" s="1">
        <v>2415351100</v>
      </c>
    </row>
    <row r="583" spans="1:14" ht="18" customHeight="1" x14ac:dyDescent="0.45">
      <c r="A583" s="8">
        <v>577</v>
      </c>
      <c r="B583" s="35" t="str">
        <f t="shared" ref="B583:C586" si="248">B582</f>
        <v>神奈川静岡本部</v>
      </c>
      <c r="C583" s="35" t="str">
        <f t="shared" si="248"/>
        <v>ラヴィーレ小田急相模原</v>
      </c>
      <c r="D583" s="9" t="s">
        <v>4</v>
      </c>
      <c r="E583" s="10">
        <v>1</v>
      </c>
      <c r="F583" s="11">
        <v>2</v>
      </c>
      <c r="G583" s="12">
        <v>2</v>
      </c>
      <c r="H583" s="11">
        <v>1</v>
      </c>
      <c r="I583" s="12">
        <v>1</v>
      </c>
      <c r="J583" s="10">
        <v>3</v>
      </c>
      <c r="K583" s="38">
        <f t="shared" si="226"/>
        <v>4</v>
      </c>
      <c r="L583" s="28">
        <v>0</v>
      </c>
      <c r="M583" s="33">
        <f t="shared" si="221"/>
        <v>0</v>
      </c>
      <c r="N583" s="1">
        <v>2415351100</v>
      </c>
    </row>
    <row r="584" spans="1:14" ht="18" customHeight="1" x14ac:dyDescent="0.45">
      <c r="A584" s="8">
        <v>578</v>
      </c>
      <c r="B584" s="35" t="str">
        <f t="shared" si="248"/>
        <v>神奈川静岡本部</v>
      </c>
      <c r="C584" s="35" t="str">
        <f t="shared" si="248"/>
        <v>ラヴィーレ小田急相模原</v>
      </c>
      <c r="D584" s="9" t="s">
        <v>5</v>
      </c>
      <c r="E584" s="10">
        <v>1</v>
      </c>
      <c r="F584" s="11">
        <v>7</v>
      </c>
      <c r="G584" s="12">
        <v>7</v>
      </c>
      <c r="H584" s="11">
        <v>0</v>
      </c>
      <c r="I584" s="12">
        <v>0</v>
      </c>
      <c r="J584" s="10">
        <v>7</v>
      </c>
      <c r="K584" s="38">
        <f t="shared" si="226"/>
        <v>4</v>
      </c>
      <c r="L584" s="28">
        <v>1</v>
      </c>
      <c r="M584" s="33">
        <f t="shared" ref="M584:M647" si="249">L584</f>
        <v>1</v>
      </c>
      <c r="N584" s="1">
        <v>2415351100</v>
      </c>
    </row>
    <row r="585" spans="1:14" ht="18" customHeight="1" x14ac:dyDescent="0.45">
      <c r="A585" s="8">
        <v>579</v>
      </c>
      <c r="B585" s="35" t="str">
        <f t="shared" si="248"/>
        <v>神奈川静岡本部</v>
      </c>
      <c r="C585" s="35" t="str">
        <f t="shared" si="248"/>
        <v>ラヴィーレ小田急相模原</v>
      </c>
      <c r="D585" s="9" t="s">
        <v>6</v>
      </c>
      <c r="E585" s="10">
        <v>4</v>
      </c>
      <c r="F585" s="11">
        <v>0</v>
      </c>
      <c r="G585" s="12">
        <v>0</v>
      </c>
      <c r="H585" s="11">
        <v>0</v>
      </c>
      <c r="I585" s="12">
        <v>0</v>
      </c>
      <c r="J585" s="10">
        <v>0</v>
      </c>
      <c r="K585" s="38">
        <f t="shared" si="226"/>
        <v>4</v>
      </c>
      <c r="L585" s="28">
        <v>0</v>
      </c>
      <c r="M585" s="33">
        <f t="shared" si="249"/>
        <v>0</v>
      </c>
      <c r="N585" s="1">
        <v>2415351100</v>
      </c>
    </row>
    <row r="586" spans="1:14" ht="18" customHeight="1" x14ac:dyDescent="0.45">
      <c r="A586" s="8">
        <v>580</v>
      </c>
      <c r="B586" s="36" t="str">
        <f t="shared" si="248"/>
        <v>神奈川静岡本部</v>
      </c>
      <c r="C586" s="36" t="str">
        <f t="shared" si="248"/>
        <v>ラヴィーレ小田急相模原</v>
      </c>
      <c r="D586" s="9" t="s">
        <v>2</v>
      </c>
      <c r="E586" s="10">
        <v>2</v>
      </c>
      <c r="F586" s="11">
        <v>3</v>
      </c>
      <c r="G586" s="12">
        <v>1.5</v>
      </c>
      <c r="H586" s="11">
        <v>2</v>
      </c>
      <c r="I586" s="12">
        <v>1</v>
      </c>
      <c r="J586" s="10">
        <v>5</v>
      </c>
      <c r="K586" s="39">
        <f t="shared" si="226"/>
        <v>4</v>
      </c>
      <c r="L586" s="28">
        <v>1</v>
      </c>
      <c r="M586" s="33">
        <f t="shared" si="249"/>
        <v>1</v>
      </c>
      <c r="N586" s="1">
        <v>2415351100</v>
      </c>
    </row>
    <row r="587" spans="1:14" ht="18" customHeight="1" x14ac:dyDescent="0.45">
      <c r="A587" s="13">
        <v>581</v>
      </c>
      <c r="B587" s="40" t="s">
        <v>48</v>
      </c>
      <c r="C587" s="40" t="s">
        <v>249</v>
      </c>
      <c r="D587" s="14" t="s">
        <v>3</v>
      </c>
      <c r="E587" s="15">
        <v>1</v>
      </c>
      <c r="F587" s="16">
        <v>19</v>
      </c>
      <c r="G587" s="17">
        <v>19</v>
      </c>
      <c r="H587" s="16">
        <v>19</v>
      </c>
      <c r="I587" s="17">
        <v>19</v>
      </c>
      <c r="J587" s="15">
        <v>38</v>
      </c>
      <c r="K587" s="43">
        <f t="shared" ref="K587" si="250">SUM(M587:M591)</f>
        <v>6</v>
      </c>
      <c r="L587" s="28">
        <v>2</v>
      </c>
      <c r="M587" s="33">
        <f t="shared" si="249"/>
        <v>2</v>
      </c>
      <c r="N587" s="1">
        <v>2415361100</v>
      </c>
    </row>
    <row r="588" spans="1:14" ht="18" customHeight="1" x14ac:dyDescent="0.45">
      <c r="A588" s="13">
        <v>582</v>
      </c>
      <c r="B588" s="41" t="str">
        <f t="shared" ref="B588:C591" si="251">B587</f>
        <v>神奈川静岡本部</v>
      </c>
      <c r="C588" s="41" t="str">
        <f t="shared" si="251"/>
        <v>ラヴィーレ綾瀬</v>
      </c>
      <c r="D588" s="14" t="s">
        <v>4</v>
      </c>
      <c r="E588" s="15">
        <v>1</v>
      </c>
      <c r="F588" s="16">
        <v>32</v>
      </c>
      <c r="G588" s="17">
        <v>32</v>
      </c>
      <c r="H588" s="16">
        <v>21</v>
      </c>
      <c r="I588" s="17">
        <v>21</v>
      </c>
      <c r="J588" s="15">
        <v>53</v>
      </c>
      <c r="K588" s="44">
        <f t="shared" si="226"/>
        <v>6</v>
      </c>
      <c r="L588" s="28">
        <v>2</v>
      </c>
      <c r="M588" s="33">
        <f t="shared" si="249"/>
        <v>2</v>
      </c>
      <c r="N588" s="1">
        <v>2415361100</v>
      </c>
    </row>
    <row r="589" spans="1:14" ht="18" customHeight="1" x14ac:dyDescent="0.45">
      <c r="A589" s="13">
        <v>583</v>
      </c>
      <c r="B589" s="41" t="str">
        <f t="shared" si="251"/>
        <v>神奈川静岡本部</v>
      </c>
      <c r="C589" s="41" t="str">
        <f t="shared" si="251"/>
        <v>ラヴィーレ綾瀬</v>
      </c>
      <c r="D589" s="14" t="s">
        <v>5</v>
      </c>
      <c r="E589" s="15">
        <v>1</v>
      </c>
      <c r="F589" s="16">
        <v>21</v>
      </c>
      <c r="G589" s="17">
        <v>21</v>
      </c>
      <c r="H589" s="16">
        <v>0</v>
      </c>
      <c r="I589" s="17">
        <v>0</v>
      </c>
      <c r="J589" s="15">
        <v>21</v>
      </c>
      <c r="K589" s="44">
        <f t="shared" si="226"/>
        <v>6</v>
      </c>
      <c r="L589" s="28">
        <v>2</v>
      </c>
      <c r="M589" s="33">
        <f t="shared" si="249"/>
        <v>2</v>
      </c>
      <c r="N589" s="1">
        <v>2415361100</v>
      </c>
    </row>
    <row r="590" spans="1:14" ht="18" customHeight="1" x14ac:dyDescent="0.45">
      <c r="A590" s="13">
        <v>584</v>
      </c>
      <c r="B590" s="41" t="str">
        <f t="shared" si="251"/>
        <v>神奈川静岡本部</v>
      </c>
      <c r="C590" s="41" t="str">
        <f t="shared" si="251"/>
        <v>ラヴィーレ綾瀬</v>
      </c>
      <c r="D590" s="14" t="s">
        <v>6</v>
      </c>
      <c r="E590" s="15">
        <v>4</v>
      </c>
      <c r="F590" s="16">
        <v>2</v>
      </c>
      <c r="G590" s="17">
        <v>0.5</v>
      </c>
      <c r="H590" s="16">
        <v>0</v>
      </c>
      <c r="I590" s="17">
        <v>0</v>
      </c>
      <c r="J590" s="15">
        <v>2</v>
      </c>
      <c r="K590" s="44">
        <f t="shared" si="226"/>
        <v>6</v>
      </c>
      <c r="L590" s="28">
        <v>0</v>
      </c>
      <c r="M590" s="33">
        <f t="shared" si="249"/>
        <v>0</v>
      </c>
      <c r="N590" s="1">
        <v>2415361100</v>
      </c>
    </row>
    <row r="591" spans="1:14" ht="18" customHeight="1" x14ac:dyDescent="0.45">
      <c r="A591" s="13">
        <v>585</v>
      </c>
      <c r="B591" s="42" t="str">
        <f t="shared" si="251"/>
        <v>神奈川静岡本部</v>
      </c>
      <c r="C591" s="42" t="str">
        <f t="shared" si="251"/>
        <v>ラヴィーレ綾瀬</v>
      </c>
      <c r="D591" s="14" t="s">
        <v>2</v>
      </c>
      <c r="E591" s="15">
        <v>1</v>
      </c>
      <c r="F591" s="16">
        <v>0</v>
      </c>
      <c r="G591" s="17">
        <v>0</v>
      </c>
      <c r="H591" s="16">
        <v>0</v>
      </c>
      <c r="I591" s="17">
        <v>0</v>
      </c>
      <c r="J591" s="15">
        <v>0</v>
      </c>
      <c r="K591" s="45">
        <f t="shared" si="226"/>
        <v>6</v>
      </c>
      <c r="L591" s="28">
        <v>0</v>
      </c>
      <c r="M591" s="33">
        <f t="shared" si="249"/>
        <v>0</v>
      </c>
      <c r="N591" s="1">
        <v>2415361100</v>
      </c>
    </row>
    <row r="592" spans="1:14" ht="18" customHeight="1" x14ac:dyDescent="0.45">
      <c r="A592" s="8">
        <v>586</v>
      </c>
      <c r="B592" s="34" t="s">
        <v>48</v>
      </c>
      <c r="C592" s="34" t="s">
        <v>250</v>
      </c>
      <c r="D592" s="9" t="s">
        <v>3</v>
      </c>
      <c r="E592" s="10">
        <v>1</v>
      </c>
      <c r="F592" s="11">
        <v>11</v>
      </c>
      <c r="G592" s="12">
        <v>11</v>
      </c>
      <c r="H592" s="11">
        <v>3</v>
      </c>
      <c r="I592" s="12">
        <v>3</v>
      </c>
      <c r="J592" s="10">
        <v>14</v>
      </c>
      <c r="K592" s="37">
        <f t="shared" ref="K592" si="252">SUM(M592:M596)</f>
        <v>7</v>
      </c>
      <c r="L592" s="28">
        <v>2</v>
      </c>
      <c r="M592" s="33">
        <f t="shared" si="249"/>
        <v>2</v>
      </c>
      <c r="N592" s="1">
        <v>2415371100</v>
      </c>
    </row>
    <row r="593" spans="1:14" ht="18" customHeight="1" x14ac:dyDescent="0.45">
      <c r="A593" s="8">
        <v>587</v>
      </c>
      <c r="B593" s="35" t="str">
        <f t="shared" ref="B593:C596" si="253">B592</f>
        <v>神奈川静岡本部</v>
      </c>
      <c r="C593" s="35" t="str">
        <f t="shared" si="253"/>
        <v>ラヴィーレ中央林間</v>
      </c>
      <c r="D593" s="9" t="s">
        <v>4</v>
      </c>
      <c r="E593" s="10">
        <v>1</v>
      </c>
      <c r="F593" s="11">
        <v>11</v>
      </c>
      <c r="G593" s="12">
        <v>11</v>
      </c>
      <c r="H593" s="11">
        <v>8</v>
      </c>
      <c r="I593" s="12">
        <v>8</v>
      </c>
      <c r="J593" s="10">
        <v>19</v>
      </c>
      <c r="K593" s="38">
        <f t="shared" ref="K593:K656" si="254">K592</f>
        <v>7</v>
      </c>
      <c r="L593" s="28">
        <v>2</v>
      </c>
      <c r="M593" s="33">
        <f t="shared" si="249"/>
        <v>2</v>
      </c>
      <c r="N593" s="1">
        <v>2415371100</v>
      </c>
    </row>
    <row r="594" spans="1:14" ht="18" customHeight="1" x14ac:dyDescent="0.45">
      <c r="A594" s="8">
        <v>588</v>
      </c>
      <c r="B594" s="35" t="str">
        <f t="shared" si="253"/>
        <v>神奈川静岡本部</v>
      </c>
      <c r="C594" s="35" t="str">
        <f t="shared" si="253"/>
        <v>ラヴィーレ中央林間</v>
      </c>
      <c r="D594" s="9" t="s">
        <v>5</v>
      </c>
      <c r="E594" s="10">
        <v>2</v>
      </c>
      <c r="F594" s="11">
        <v>9</v>
      </c>
      <c r="G594" s="12">
        <v>4.5</v>
      </c>
      <c r="H594" s="11">
        <v>0</v>
      </c>
      <c r="I594" s="12">
        <v>0</v>
      </c>
      <c r="J594" s="10">
        <v>9</v>
      </c>
      <c r="K594" s="38">
        <f t="shared" si="254"/>
        <v>7</v>
      </c>
      <c r="L594" s="28">
        <v>2</v>
      </c>
      <c r="M594" s="33">
        <f t="shared" si="249"/>
        <v>2</v>
      </c>
      <c r="N594" s="1">
        <v>2415371100</v>
      </c>
    </row>
    <row r="595" spans="1:14" ht="18" customHeight="1" x14ac:dyDescent="0.45">
      <c r="A595" s="8">
        <v>589</v>
      </c>
      <c r="B595" s="35" t="str">
        <f t="shared" si="253"/>
        <v>神奈川静岡本部</v>
      </c>
      <c r="C595" s="35" t="str">
        <f t="shared" si="253"/>
        <v>ラヴィーレ中央林間</v>
      </c>
      <c r="D595" s="9" t="s">
        <v>6</v>
      </c>
      <c r="E595" s="10">
        <v>5</v>
      </c>
      <c r="F595" s="11">
        <v>0</v>
      </c>
      <c r="G595" s="12">
        <v>0</v>
      </c>
      <c r="H595" s="11">
        <v>0</v>
      </c>
      <c r="I595" s="12">
        <v>0</v>
      </c>
      <c r="J595" s="10">
        <v>0</v>
      </c>
      <c r="K595" s="38">
        <f t="shared" si="254"/>
        <v>7</v>
      </c>
      <c r="L595" s="28">
        <v>0</v>
      </c>
      <c r="M595" s="33">
        <f t="shared" si="249"/>
        <v>0</v>
      </c>
      <c r="N595" s="1">
        <v>2415371100</v>
      </c>
    </row>
    <row r="596" spans="1:14" ht="18" customHeight="1" x14ac:dyDescent="0.45">
      <c r="A596" s="8">
        <v>590</v>
      </c>
      <c r="B596" s="36" t="str">
        <f t="shared" si="253"/>
        <v>神奈川静岡本部</v>
      </c>
      <c r="C596" s="36" t="str">
        <f t="shared" si="253"/>
        <v>ラヴィーレ中央林間</v>
      </c>
      <c r="D596" s="9" t="s">
        <v>2</v>
      </c>
      <c r="E596" s="10">
        <v>1</v>
      </c>
      <c r="F596" s="11">
        <v>4</v>
      </c>
      <c r="G596" s="12">
        <v>4</v>
      </c>
      <c r="H596" s="11">
        <v>0</v>
      </c>
      <c r="I596" s="12">
        <v>0</v>
      </c>
      <c r="J596" s="10">
        <v>4</v>
      </c>
      <c r="K596" s="39">
        <f t="shared" si="254"/>
        <v>7</v>
      </c>
      <c r="L596" s="28">
        <v>1</v>
      </c>
      <c r="M596" s="33">
        <f t="shared" si="249"/>
        <v>1</v>
      </c>
      <c r="N596" s="1">
        <v>2415371100</v>
      </c>
    </row>
    <row r="597" spans="1:14" ht="18" customHeight="1" x14ac:dyDescent="0.45">
      <c r="A597" s="13">
        <v>591</v>
      </c>
      <c r="B597" s="40" t="s">
        <v>48</v>
      </c>
      <c r="C597" s="40" t="s">
        <v>63</v>
      </c>
      <c r="D597" s="14" t="s">
        <v>3</v>
      </c>
      <c r="E597" s="15">
        <v>2</v>
      </c>
      <c r="F597" s="16">
        <v>4</v>
      </c>
      <c r="G597" s="17">
        <v>2</v>
      </c>
      <c r="H597" s="16">
        <v>3</v>
      </c>
      <c r="I597" s="17">
        <v>1.5</v>
      </c>
      <c r="J597" s="15">
        <v>7</v>
      </c>
      <c r="K597" s="43">
        <f t="shared" ref="K597" si="255">SUM(M597:M601)</f>
        <v>5</v>
      </c>
      <c r="L597" s="28">
        <v>1</v>
      </c>
      <c r="M597" s="33">
        <f t="shared" si="249"/>
        <v>1</v>
      </c>
      <c r="N597" s="1">
        <v>2415391200</v>
      </c>
    </row>
    <row r="598" spans="1:14" ht="18" customHeight="1" x14ac:dyDescent="0.45">
      <c r="A598" s="13">
        <v>592</v>
      </c>
      <c r="B598" s="41" t="str">
        <f t="shared" ref="B598:C601" si="256">B597</f>
        <v>神奈川静岡本部</v>
      </c>
      <c r="C598" s="41" t="str">
        <f t="shared" si="256"/>
        <v>そんぽの家　つきみ野</v>
      </c>
      <c r="D598" s="14" t="s">
        <v>4</v>
      </c>
      <c r="E598" s="15">
        <v>1</v>
      </c>
      <c r="F598" s="16">
        <v>9</v>
      </c>
      <c r="G598" s="17">
        <v>9</v>
      </c>
      <c r="H598" s="16">
        <v>4</v>
      </c>
      <c r="I598" s="17">
        <v>4</v>
      </c>
      <c r="J598" s="15">
        <v>13</v>
      </c>
      <c r="K598" s="44">
        <f t="shared" si="254"/>
        <v>5</v>
      </c>
      <c r="L598" s="28">
        <v>2</v>
      </c>
      <c r="M598" s="33">
        <f t="shared" si="249"/>
        <v>2</v>
      </c>
      <c r="N598" s="1">
        <v>2415391200</v>
      </c>
    </row>
    <row r="599" spans="1:14" ht="18" customHeight="1" x14ac:dyDescent="0.45">
      <c r="A599" s="13">
        <v>593</v>
      </c>
      <c r="B599" s="41" t="str">
        <f t="shared" si="256"/>
        <v>神奈川静岡本部</v>
      </c>
      <c r="C599" s="41" t="str">
        <f t="shared" si="256"/>
        <v>そんぽの家　つきみ野</v>
      </c>
      <c r="D599" s="14" t="s">
        <v>5</v>
      </c>
      <c r="E599" s="15">
        <v>2</v>
      </c>
      <c r="F599" s="16">
        <v>46</v>
      </c>
      <c r="G599" s="17">
        <v>23</v>
      </c>
      <c r="H599" s="16">
        <v>0</v>
      </c>
      <c r="I599" s="17">
        <v>0</v>
      </c>
      <c r="J599" s="15">
        <v>46</v>
      </c>
      <c r="K599" s="44">
        <f t="shared" si="254"/>
        <v>5</v>
      </c>
      <c r="L599" s="28">
        <v>2</v>
      </c>
      <c r="M599" s="33">
        <f t="shared" si="249"/>
        <v>2</v>
      </c>
      <c r="N599" s="1">
        <v>2415391200</v>
      </c>
    </row>
    <row r="600" spans="1:14" ht="18" customHeight="1" x14ac:dyDescent="0.45">
      <c r="A600" s="13">
        <v>594</v>
      </c>
      <c r="B600" s="41" t="str">
        <f t="shared" si="256"/>
        <v>神奈川静岡本部</v>
      </c>
      <c r="C600" s="41" t="str">
        <f t="shared" si="256"/>
        <v>そんぽの家　つきみ野</v>
      </c>
      <c r="D600" s="14" t="s">
        <v>6</v>
      </c>
      <c r="E600" s="15">
        <v>2</v>
      </c>
      <c r="F600" s="16">
        <v>2</v>
      </c>
      <c r="G600" s="17">
        <v>1</v>
      </c>
      <c r="H600" s="16">
        <v>0</v>
      </c>
      <c r="I600" s="17">
        <v>0</v>
      </c>
      <c r="J600" s="15">
        <v>2</v>
      </c>
      <c r="K600" s="44">
        <f t="shared" si="254"/>
        <v>5</v>
      </c>
      <c r="L600" s="28">
        <v>0</v>
      </c>
      <c r="M600" s="33">
        <f t="shared" si="249"/>
        <v>0</v>
      </c>
      <c r="N600" s="1">
        <v>2415391200</v>
      </c>
    </row>
    <row r="601" spans="1:14" ht="18" customHeight="1" x14ac:dyDescent="0.45">
      <c r="A601" s="13">
        <v>595</v>
      </c>
      <c r="B601" s="42" t="str">
        <f t="shared" si="256"/>
        <v>神奈川静岡本部</v>
      </c>
      <c r="C601" s="42" t="str">
        <f t="shared" si="256"/>
        <v>そんぽの家　つきみ野</v>
      </c>
      <c r="D601" s="14" t="s">
        <v>2</v>
      </c>
      <c r="E601" s="15">
        <v>2</v>
      </c>
      <c r="F601" s="16">
        <v>3</v>
      </c>
      <c r="G601" s="17">
        <v>1.5</v>
      </c>
      <c r="H601" s="16">
        <v>0</v>
      </c>
      <c r="I601" s="17">
        <v>0</v>
      </c>
      <c r="J601" s="15">
        <v>3</v>
      </c>
      <c r="K601" s="45">
        <f t="shared" si="254"/>
        <v>5</v>
      </c>
      <c r="L601" s="28">
        <v>0</v>
      </c>
      <c r="M601" s="33">
        <f t="shared" si="249"/>
        <v>0</v>
      </c>
      <c r="N601" s="1">
        <v>2415391200</v>
      </c>
    </row>
    <row r="602" spans="1:14" ht="18" customHeight="1" x14ac:dyDescent="0.45">
      <c r="A602" s="8">
        <v>596</v>
      </c>
      <c r="B602" s="34" t="s">
        <v>48</v>
      </c>
      <c r="C602" s="34" t="s">
        <v>251</v>
      </c>
      <c r="D602" s="9" t="s">
        <v>3</v>
      </c>
      <c r="E602" s="10">
        <v>1</v>
      </c>
      <c r="F602" s="11">
        <v>11</v>
      </c>
      <c r="G602" s="12">
        <v>11</v>
      </c>
      <c r="H602" s="11">
        <v>11</v>
      </c>
      <c r="I602" s="12">
        <v>11</v>
      </c>
      <c r="J602" s="10">
        <v>22</v>
      </c>
      <c r="K602" s="37">
        <f t="shared" ref="K602" si="257">SUM(M602:M606)</f>
        <v>10</v>
      </c>
      <c r="L602" s="28">
        <v>2</v>
      </c>
      <c r="M602" s="33">
        <f t="shared" si="249"/>
        <v>2</v>
      </c>
      <c r="N602" s="1">
        <v>2415411100</v>
      </c>
    </row>
    <row r="603" spans="1:14" ht="18" customHeight="1" x14ac:dyDescent="0.45">
      <c r="A603" s="8">
        <v>597</v>
      </c>
      <c r="B603" s="35" t="str">
        <f t="shared" ref="B603:C606" si="258">B602</f>
        <v>神奈川静岡本部</v>
      </c>
      <c r="C603" s="35" t="str">
        <f t="shared" si="258"/>
        <v>ラヴィーレ高座渋谷</v>
      </c>
      <c r="D603" s="9" t="s">
        <v>4</v>
      </c>
      <c r="E603" s="10">
        <v>1</v>
      </c>
      <c r="F603" s="11">
        <v>45</v>
      </c>
      <c r="G603" s="12">
        <v>45</v>
      </c>
      <c r="H603" s="11">
        <v>4</v>
      </c>
      <c r="I603" s="12">
        <v>4</v>
      </c>
      <c r="J603" s="10">
        <v>49</v>
      </c>
      <c r="K603" s="38">
        <f t="shared" si="254"/>
        <v>10</v>
      </c>
      <c r="L603" s="28">
        <v>2</v>
      </c>
      <c r="M603" s="33">
        <f t="shared" si="249"/>
        <v>2</v>
      </c>
      <c r="N603" s="1">
        <v>2415411100</v>
      </c>
    </row>
    <row r="604" spans="1:14" ht="18" customHeight="1" x14ac:dyDescent="0.45">
      <c r="A604" s="8">
        <v>598</v>
      </c>
      <c r="B604" s="35" t="str">
        <f t="shared" si="258"/>
        <v>神奈川静岡本部</v>
      </c>
      <c r="C604" s="35" t="str">
        <f t="shared" si="258"/>
        <v>ラヴィーレ高座渋谷</v>
      </c>
      <c r="D604" s="9" t="s">
        <v>5</v>
      </c>
      <c r="E604" s="10">
        <v>2</v>
      </c>
      <c r="F604" s="11">
        <v>50</v>
      </c>
      <c r="G604" s="12">
        <v>25</v>
      </c>
      <c r="H604" s="11">
        <v>0</v>
      </c>
      <c r="I604" s="12">
        <v>0</v>
      </c>
      <c r="J604" s="10">
        <v>50</v>
      </c>
      <c r="K604" s="38">
        <f t="shared" si="254"/>
        <v>10</v>
      </c>
      <c r="L604" s="28">
        <v>2</v>
      </c>
      <c r="M604" s="33">
        <f t="shared" si="249"/>
        <v>2</v>
      </c>
      <c r="N604" s="1">
        <v>2415411100</v>
      </c>
    </row>
    <row r="605" spans="1:14" ht="18" customHeight="1" x14ac:dyDescent="0.45">
      <c r="A605" s="8">
        <v>599</v>
      </c>
      <c r="B605" s="35" t="str">
        <f t="shared" si="258"/>
        <v>神奈川静岡本部</v>
      </c>
      <c r="C605" s="35" t="str">
        <f t="shared" si="258"/>
        <v>ラヴィーレ高座渋谷</v>
      </c>
      <c r="D605" s="9" t="s">
        <v>6</v>
      </c>
      <c r="E605" s="10">
        <v>4</v>
      </c>
      <c r="F605" s="11">
        <v>30</v>
      </c>
      <c r="G605" s="12">
        <v>7.5</v>
      </c>
      <c r="H605" s="11">
        <v>0</v>
      </c>
      <c r="I605" s="12">
        <v>0</v>
      </c>
      <c r="J605" s="10">
        <v>30</v>
      </c>
      <c r="K605" s="38">
        <f t="shared" si="254"/>
        <v>10</v>
      </c>
      <c r="L605" s="28">
        <v>2</v>
      </c>
      <c r="M605" s="33">
        <f t="shared" si="249"/>
        <v>2</v>
      </c>
      <c r="N605" s="1">
        <v>2415411100</v>
      </c>
    </row>
    <row r="606" spans="1:14" ht="18" customHeight="1" x14ac:dyDescent="0.45">
      <c r="A606" s="8">
        <v>600</v>
      </c>
      <c r="B606" s="36" t="str">
        <f t="shared" si="258"/>
        <v>神奈川静岡本部</v>
      </c>
      <c r="C606" s="36" t="str">
        <f t="shared" si="258"/>
        <v>ラヴィーレ高座渋谷</v>
      </c>
      <c r="D606" s="9" t="s">
        <v>2</v>
      </c>
      <c r="E606" s="10">
        <v>1</v>
      </c>
      <c r="F606" s="11">
        <v>13</v>
      </c>
      <c r="G606" s="12">
        <v>13</v>
      </c>
      <c r="H606" s="11">
        <v>13</v>
      </c>
      <c r="I606" s="12">
        <v>13</v>
      </c>
      <c r="J606" s="10">
        <v>26</v>
      </c>
      <c r="K606" s="39">
        <f t="shared" si="254"/>
        <v>10</v>
      </c>
      <c r="L606" s="28">
        <v>2</v>
      </c>
      <c r="M606" s="33">
        <f t="shared" si="249"/>
        <v>2</v>
      </c>
      <c r="N606" s="1">
        <v>2415411100</v>
      </c>
    </row>
    <row r="607" spans="1:14" ht="18" customHeight="1" x14ac:dyDescent="0.45">
      <c r="A607" s="13">
        <v>601</v>
      </c>
      <c r="B607" s="40" t="s">
        <v>48</v>
      </c>
      <c r="C607" s="40" t="s">
        <v>64</v>
      </c>
      <c r="D607" s="14" t="s">
        <v>3</v>
      </c>
      <c r="E607" s="15">
        <v>1</v>
      </c>
      <c r="F607" s="16">
        <v>6</v>
      </c>
      <c r="G607" s="17">
        <v>6</v>
      </c>
      <c r="H607" s="16">
        <v>0</v>
      </c>
      <c r="I607" s="17">
        <v>0</v>
      </c>
      <c r="J607" s="15">
        <v>6</v>
      </c>
      <c r="K607" s="43">
        <f t="shared" ref="K607" si="259">SUM(M607:M611)</f>
        <v>4</v>
      </c>
      <c r="L607" s="28">
        <v>1</v>
      </c>
      <c r="M607" s="33">
        <f t="shared" si="249"/>
        <v>1</v>
      </c>
      <c r="N607" s="1">
        <v>2415431200</v>
      </c>
    </row>
    <row r="608" spans="1:14" ht="18" customHeight="1" x14ac:dyDescent="0.45">
      <c r="A608" s="13">
        <v>602</v>
      </c>
      <c r="B608" s="41" t="str">
        <f t="shared" ref="B608:C611" si="260">B607</f>
        <v>神奈川静岡本部</v>
      </c>
      <c r="C608" s="41" t="str">
        <f t="shared" si="260"/>
        <v>そんぽの家　大和</v>
      </c>
      <c r="D608" s="14" t="s">
        <v>4</v>
      </c>
      <c r="E608" s="15">
        <v>1</v>
      </c>
      <c r="F608" s="16">
        <v>16</v>
      </c>
      <c r="G608" s="17">
        <v>16</v>
      </c>
      <c r="H608" s="16">
        <v>15</v>
      </c>
      <c r="I608" s="17">
        <v>15</v>
      </c>
      <c r="J608" s="15">
        <v>31</v>
      </c>
      <c r="K608" s="44">
        <f t="shared" si="254"/>
        <v>4</v>
      </c>
      <c r="L608" s="28">
        <v>2</v>
      </c>
      <c r="M608" s="33">
        <f t="shared" si="249"/>
        <v>2</v>
      </c>
      <c r="N608" s="1">
        <v>2415431200</v>
      </c>
    </row>
    <row r="609" spans="1:14" ht="18" customHeight="1" x14ac:dyDescent="0.45">
      <c r="A609" s="13">
        <v>603</v>
      </c>
      <c r="B609" s="41" t="str">
        <f t="shared" si="260"/>
        <v>神奈川静岡本部</v>
      </c>
      <c r="C609" s="41" t="str">
        <f t="shared" si="260"/>
        <v>そんぽの家　大和</v>
      </c>
      <c r="D609" s="14" t="s">
        <v>5</v>
      </c>
      <c r="E609" s="15">
        <v>1</v>
      </c>
      <c r="F609" s="16">
        <v>1</v>
      </c>
      <c r="G609" s="17">
        <v>1</v>
      </c>
      <c r="H609" s="16">
        <v>0</v>
      </c>
      <c r="I609" s="17">
        <v>0</v>
      </c>
      <c r="J609" s="15">
        <v>1</v>
      </c>
      <c r="K609" s="44">
        <f t="shared" si="254"/>
        <v>4</v>
      </c>
      <c r="L609" s="28">
        <v>0</v>
      </c>
      <c r="M609" s="33">
        <f t="shared" si="249"/>
        <v>0</v>
      </c>
      <c r="N609" s="1">
        <v>2415431200</v>
      </c>
    </row>
    <row r="610" spans="1:14" ht="18" customHeight="1" x14ac:dyDescent="0.45">
      <c r="A610" s="13">
        <v>604</v>
      </c>
      <c r="B610" s="41" t="str">
        <f t="shared" si="260"/>
        <v>神奈川静岡本部</v>
      </c>
      <c r="C610" s="41" t="str">
        <f t="shared" si="260"/>
        <v>そんぽの家　大和</v>
      </c>
      <c r="D610" s="14" t="s">
        <v>6</v>
      </c>
      <c r="E610" s="15">
        <v>4</v>
      </c>
      <c r="F610" s="16">
        <v>1</v>
      </c>
      <c r="G610" s="17">
        <v>0.3</v>
      </c>
      <c r="H610" s="16">
        <v>0</v>
      </c>
      <c r="I610" s="17">
        <v>0</v>
      </c>
      <c r="J610" s="15">
        <v>1</v>
      </c>
      <c r="K610" s="44">
        <f t="shared" si="254"/>
        <v>4</v>
      </c>
      <c r="L610" s="28">
        <v>0</v>
      </c>
      <c r="M610" s="33">
        <f t="shared" si="249"/>
        <v>0</v>
      </c>
      <c r="N610" s="1">
        <v>2415431200</v>
      </c>
    </row>
    <row r="611" spans="1:14" ht="18" customHeight="1" x14ac:dyDescent="0.45">
      <c r="A611" s="13">
        <v>605</v>
      </c>
      <c r="B611" s="42" t="str">
        <f t="shared" si="260"/>
        <v>神奈川静岡本部</v>
      </c>
      <c r="C611" s="42" t="str">
        <f t="shared" si="260"/>
        <v>そんぽの家　大和</v>
      </c>
      <c r="D611" s="14" t="s">
        <v>2</v>
      </c>
      <c r="E611" s="15">
        <v>2</v>
      </c>
      <c r="F611" s="16">
        <v>4</v>
      </c>
      <c r="G611" s="17">
        <v>2</v>
      </c>
      <c r="H611" s="16">
        <v>0</v>
      </c>
      <c r="I611" s="17">
        <v>0</v>
      </c>
      <c r="J611" s="15">
        <v>4</v>
      </c>
      <c r="K611" s="45">
        <f t="shared" si="254"/>
        <v>4</v>
      </c>
      <c r="L611" s="28">
        <v>1</v>
      </c>
      <c r="M611" s="33">
        <f t="shared" si="249"/>
        <v>1</v>
      </c>
      <c r="N611" s="1">
        <v>2415431200</v>
      </c>
    </row>
    <row r="612" spans="1:14" ht="18" customHeight="1" x14ac:dyDescent="0.45">
      <c r="A612" s="8">
        <v>606</v>
      </c>
      <c r="B612" s="34" t="s">
        <v>48</v>
      </c>
      <c r="C612" s="34" t="s">
        <v>252</v>
      </c>
      <c r="D612" s="9" t="s">
        <v>3</v>
      </c>
      <c r="E612" s="10">
        <v>1</v>
      </c>
      <c r="F612" s="11">
        <v>7</v>
      </c>
      <c r="G612" s="12">
        <v>7</v>
      </c>
      <c r="H612" s="11">
        <v>3</v>
      </c>
      <c r="I612" s="12">
        <v>3</v>
      </c>
      <c r="J612" s="10">
        <v>10</v>
      </c>
      <c r="K612" s="37">
        <f t="shared" ref="K612" si="261">SUM(M612:M616)</f>
        <v>8</v>
      </c>
      <c r="L612" s="28">
        <v>2</v>
      </c>
      <c r="M612" s="33">
        <f t="shared" si="249"/>
        <v>2</v>
      </c>
      <c r="N612" s="1">
        <v>2415441100</v>
      </c>
    </row>
    <row r="613" spans="1:14" ht="18" customHeight="1" x14ac:dyDescent="0.45">
      <c r="A613" s="8">
        <v>607</v>
      </c>
      <c r="B613" s="35" t="str">
        <f t="shared" ref="B613:C616" si="262">B612</f>
        <v>神奈川静岡本部</v>
      </c>
      <c r="C613" s="35" t="str">
        <f t="shared" si="262"/>
        <v>ラヴィーレ大和</v>
      </c>
      <c r="D613" s="9" t="s">
        <v>4</v>
      </c>
      <c r="E613" s="10">
        <v>2</v>
      </c>
      <c r="F613" s="11">
        <v>9</v>
      </c>
      <c r="G613" s="12">
        <v>4.5</v>
      </c>
      <c r="H613" s="11">
        <v>9</v>
      </c>
      <c r="I613" s="12">
        <v>4.5</v>
      </c>
      <c r="J613" s="10">
        <v>18</v>
      </c>
      <c r="K613" s="38">
        <f t="shared" si="254"/>
        <v>8</v>
      </c>
      <c r="L613" s="28">
        <v>2</v>
      </c>
      <c r="M613" s="33">
        <f t="shared" si="249"/>
        <v>2</v>
      </c>
      <c r="N613" s="1">
        <v>2415441100</v>
      </c>
    </row>
    <row r="614" spans="1:14" ht="18" customHeight="1" x14ac:dyDescent="0.45">
      <c r="A614" s="8">
        <v>608</v>
      </c>
      <c r="B614" s="35" t="str">
        <f t="shared" si="262"/>
        <v>神奈川静岡本部</v>
      </c>
      <c r="C614" s="35" t="str">
        <f t="shared" si="262"/>
        <v>ラヴィーレ大和</v>
      </c>
      <c r="D614" s="9" t="s">
        <v>5</v>
      </c>
      <c r="E614" s="10">
        <v>2</v>
      </c>
      <c r="F614" s="11">
        <v>22</v>
      </c>
      <c r="G614" s="12">
        <v>11</v>
      </c>
      <c r="H614" s="11">
        <v>0</v>
      </c>
      <c r="I614" s="12">
        <v>0</v>
      </c>
      <c r="J614" s="10">
        <v>22</v>
      </c>
      <c r="K614" s="38">
        <f t="shared" si="254"/>
        <v>8</v>
      </c>
      <c r="L614" s="28">
        <v>2</v>
      </c>
      <c r="M614" s="33">
        <f t="shared" si="249"/>
        <v>2</v>
      </c>
      <c r="N614" s="1">
        <v>2415441100</v>
      </c>
    </row>
    <row r="615" spans="1:14" ht="18" customHeight="1" x14ac:dyDescent="0.45">
      <c r="A615" s="8">
        <v>609</v>
      </c>
      <c r="B615" s="35" t="str">
        <f t="shared" si="262"/>
        <v>神奈川静岡本部</v>
      </c>
      <c r="C615" s="35" t="str">
        <f t="shared" si="262"/>
        <v>ラヴィーレ大和</v>
      </c>
      <c r="D615" s="9" t="s">
        <v>6</v>
      </c>
      <c r="E615" s="10">
        <v>3</v>
      </c>
      <c r="F615" s="11">
        <v>9</v>
      </c>
      <c r="G615" s="12">
        <v>3</v>
      </c>
      <c r="H615" s="11">
        <v>0</v>
      </c>
      <c r="I615" s="12">
        <v>0</v>
      </c>
      <c r="J615" s="10">
        <v>9</v>
      </c>
      <c r="K615" s="38">
        <f t="shared" si="254"/>
        <v>8</v>
      </c>
      <c r="L615" s="28">
        <v>2</v>
      </c>
      <c r="M615" s="33">
        <f t="shared" si="249"/>
        <v>2</v>
      </c>
      <c r="N615" s="1">
        <v>2415441100</v>
      </c>
    </row>
    <row r="616" spans="1:14" ht="18" customHeight="1" x14ac:dyDescent="0.45">
      <c r="A616" s="8">
        <v>610</v>
      </c>
      <c r="B616" s="36" t="str">
        <f t="shared" si="262"/>
        <v>神奈川静岡本部</v>
      </c>
      <c r="C616" s="36" t="str">
        <f t="shared" si="262"/>
        <v>ラヴィーレ大和</v>
      </c>
      <c r="D616" s="9" t="s">
        <v>2</v>
      </c>
      <c r="E616" s="10">
        <v>1</v>
      </c>
      <c r="F616" s="11">
        <v>2</v>
      </c>
      <c r="G616" s="12">
        <v>2</v>
      </c>
      <c r="H616" s="11">
        <v>0</v>
      </c>
      <c r="I616" s="12">
        <v>0</v>
      </c>
      <c r="J616" s="10">
        <v>2</v>
      </c>
      <c r="K616" s="39">
        <f t="shared" si="254"/>
        <v>8</v>
      </c>
      <c r="L616" s="28">
        <v>0</v>
      </c>
      <c r="M616" s="33">
        <f t="shared" si="249"/>
        <v>0</v>
      </c>
      <c r="N616" s="1">
        <v>2415441100</v>
      </c>
    </row>
    <row r="617" spans="1:14" ht="18" customHeight="1" x14ac:dyDescent="0.45">
      <c r="A617" s="13">
        <v>611</v>
      </c>
      <c r="B617" s="40" t="s">
        <v>48</v>
      </c>
      <c r="C617" s="40" t="s">
        <v>65</v>
      </c>
      <c r="D617" s="14" t="s">
        <v>3</v>
      </c>
      <c r="E617" s="15">
        <v>1</v>
      </c>
      <c r="F617" s="16">
        <v>17</v>
      </c>
      <c r="G617" s="17">
        <v>17</v>
      </c>
      <c r="H617" s="16">
        <v>7</v>
      </c>
      <c r="I617" s="17">
        <v>7</v>
      </c>
      <c r="J617" s="15">
        <v>24</v>
      </c>
      <c r="K617" s="43">
        <f t="shared" ref="K617" si="263">SUM(M617:M621)</f>
        <v>5</v>
      </c>
      <c r="L617" s="28">
        <v>2</v>
      </c>
      <c r="M617" s="33">
        <f t="shared" si="249"/>
        <v>2</v>
      </c>
      <c r="N617" s="1">
        <v>2415461200</v>
      </c>
    </row>
    <row r="618" spans="1:14" ht="18" customHeight="1" x14ac:dyDescent="0.45">
      <c r="A618" s="13">
        <v>612</v>
      </c>
      <c r="B618" s="41" t="str">
        <f t="shared" ref="B618:C621" si="264">B617</f>
        <v>神奈川静岡本部</v>
      </c>
      <c r="C618" s="41" t="str">
        <f t="shared" si="264"/>
        <v>そんぽの家　城山</v>
      </c>
      <c r="D618" s="14" t="s">
        <v>4</v>
      </c>
      <c r="E618" s="15">
        <v>1</v>
      </c>
      <c r="F618" s="16">
        <v>5</v>
      </c>
      <c r="G618" s="17">
        <v>5</v>
      </c>
      <c r="H618" s="16">
        <v>1</v>
      </c>
      <c r="I618" s="17">
        <v>1</v>
      </c>
      <c r="J618" s="15">
        <v>6</v>
      </c>
      <c r="K618" s="44">
        <f t="shared" si="254"/>
        <v>5</v>
      </c>
      <c r="L618" s="28">
        <v>1</v>
      </c>
      <c r="M618" s="33">
        <f t="shared" si="249"/>
        <v>1</v>
      </c>
      <c r="N618" s="1">
        <v>2415461200</v>
      </c>
    </row>
    <row r="619" spans="1:14" ht="18" customHeight="1" x14ac:dyDescent="0.45">
      <c r="A619" s="13">
        <v>613</v>
      </c>
      <c r="B619" s="41" t="str">
        <f t="shared" si="264"/>
        <v>神奈川静岡本部</v>
      </c>
      <c r="C619" s="41" t="str">
        <f t="shared" si="264"/>
        <v>そんぽの家　城山</v>
      </c>
      <c r="D619" s="14" t="s">
        <v>5</v>
      </c>
      <c r="E619" s="15">
        <v>2</v>
      </c>
      <c r="F619" s="16">
        <v>25</v>
      </c>
      <c r="G619" s="17">
        <v>12.5</v>
      </c>
      <c r="H619" s="16">
        <v>0</v>
      </c>
      <c r="I619" s="17">
        <v>0</v>
      </c>
      <c r="J619" s="15">
        <v>25</v>
      </c>
      <c r="K619" s="44">
        <f t="shared" si="254"/>
        <v>5</v>
      </c>
      <c r="L619" s="28">
        <v>2</v>
      </c>
      <c r="M619" s="33">
        <f t="shared" si="249"/>
        <v>2</v>
      </c>
      <c r="N619" s="1">
        <v>2415461200</v>
      </c>
    </row>
    <row r="620" spans="1:14" ht="18" customHeight="1" x14ac:dyDescent="0.45">
      <c r="A620" s="13">
        <v>614</v>
      </c>
      <c r="B620" s="41" t="str">
        <f t="shared" si="264"/>
        <v>神奈川静岡本部</v>
      </c>
      <c r="C620" s="41" t="str">
        <f t="shared" si="264"/>
        <v>そんぽの家　城山</v>
      </c>
      <c r="D620" s="14" t="s">
        <v>6</v>
      </c>
      <c r="E620" s="15">
        <v>3</v>
      </c>
      <c r="F620" s="16">
        <v>3</v>
      </c>
      <c r="G620" s="17">
        <v>1</v>
      </c>
      <c r="H620" s="16">
        <v>0</v>
      </c>
      <c r="I620" s="17">
        <v>0</v>
      </c>
      <c r="J620" s="15">
        <v>3</v>
      </c>
      <c r="K620" s="44">
        <f t="shared" si="254"/>
        <v>5</v>
      </c>
      <c r="L620" s="28">
        <v>0</v>
      </c>
      <c r="M620" s="33">
        <f t="shared" si="249"/>
        <v>0</v>
      </c>
      <c r="N620" s="1">
        <v>2415461200</v>
      </c>
    </row>
    <row r="621" spans="1:14" ht="18" customHeight="1" x14ac:dyDescent="0.45">
      <c r="A621" s="13">
        <v>615</v>
      </c>
      <c r="B621" s="42" t="str">
        <f t="shared" si="264"/>
        <v>神奈川静岡本部</v>
      </c>
      <c r="C621" s="42" t="str">
        <f t="shared" si="264"/>
        <v>そんぽの家　城山</v>
      </c>
      <c r="D621" s="14" t="s">
        <v>2</v>
      </c>
      <c r="E621" s="15">
        <v>1</v>
      </c>
      <c r="F621" s="16">
        <v>0</v>
      </c>
      <c r="G621" s="17">
        <v>0</v>
      </c>
      <c r="H621" s="16">
        <v>0</v>
      </c>
      <c r="I621" s="17">
        <v>0</v>
      </c>
      <c r="J621" s="15">
        <v>0</v>
      </c>
      <c r="K621" s="45">
        <f t="shared" si="254"/>
        <v>5</v>
      </c>
      <c r="L621" s="28">
        <v>0</v>
      </c>
      <c r="M621" s="33">
        <f t="shared" si="249"/>
        <v>0</v>
      </c>
      <c r="N621" s="1">
        <v>2415461200</v>
      </c>
    </row>
    <row r="622" spans="1:14" ht="18" customHeight="1" x14ac:dyDescent="0.45">
      <c r="A622" s="8">
        <v>616</v>
      </c>
      <c r="B622" s="34" t="s">
        <v>48</v>
      </c>
      <c r="C622" s="34" t="s">
        <v>253</v>
      </c>
      <c r="D622" s="9" t="s">
        <v>3</v>
      </c>
      <c r="E622" s="10">
        <v>1</v>
      </c>
      <c r="F622" s="11">
        <v>4</v>
      </c>
      <c r="G622" s="12">
        <v>4</v>
      </c>
      <c r="H622" s="11">
        <v>2</v>
      </c>
      <c r="I622" s="12">
        <v>2</v>
      </c>
      <c r="J622" s="10">
        <v>6</v>
      </c>
      <c r="K622" s="37">
        <f t="shared" ref="K622" si="265">SUM(M622:M626)</f>
        <v>7</v>
      </c>
      <c r="L622" s="28">
        <v>1</v>
      </c>
      <c r="M622" s="33">
        <f t="shared" si="249"/>
        <v>1</v>
      </c>
      <c r="N622" s="1">
        <v>2415471100</v>
      </c>
    </row>
    <row r="623" spans="1:14" ht="18" customHeight="1" x14ac:dyDescent="0.45">
      <c r="A623" s="8">
        <v>617</v>
      </c>
      <c r="B623" s="35" t="str">
        <f t="shared" ref="B623:C626" si="266">B622</f>
        <v>神奈川静岡本部</v>
      </c>
      <c r="C623" s="35" t="str">
        <f t="shared" si="266"/>
        <v>ラヴィーレ古淵</v>
      </c>
      <c r="D623" s="9" t="s">
        <v>4</v>
      </c>
      <c r="E623" s="10">
        <v>1</v>
      </c>
      <c r="F623" s="11">
        <v>17</v>
      </c>
      <c r="G623" s="12">
        <v>17</v>
      </c>
      <c r="H623" s="11">
        <v>8</v>
      </c>
      <c r="I623" s="12">
        <v>8</v>
      </c>
      <c r="J623" s="10">
        <v>25</v>
      </c>
      <c r="K623" s="38">
        <f t="shared" si="254"/>
        <v>7</v>
      </c>
      <c r="L623" s="28">
        <v>2</v>
      </c>
      <c r="M623" s="33">
        <f t="shared" si="249"/>
        <v>2</v>
      </c>
      <c r="N623" s="1">
        <v>2415471100</v>
      </c>
    </row>
    <row r="624" spans="1:14" ht="18" customHeight="1" x14ac:dyDescent="0.45">
      <c r="A624" s="8">
        <v>618</v>
      </c>
      <c r="B624" s="35" t="str">
        <f t="shared" si="266"/>
        <v>神奈川静岡本部</v>
      </c>
      <c r="C624" s="35" t="str">
        <f t="shared" si="266"/>
        <v>ラヴィーレ古淵</v>
      </c>
      <c r="D624" s="9" t="s">
        <v>5</v>
      </c>
      <c r="E624" s="10">
        <v>2</v>
      </c>
      <c r="F624" s="11">
        <v>34</v>
      </c>
      <c r="G624" s="12">
        <v>17</v>
      </c>
      <c r="H624" s="11">
        <v>0</v>
      </c>
      <c r="I624" s="12">
        <v>0</v>
      </c>
      <c r="J624" s="10">
        <v>34</v>
      </c>
      <c r="K624" s="38">
        <f t="shared" si="254"/>
        <v>7</v>
      </c>
      <c r="L624" s="28">
        <v>2</v>
      </c>
      <c r="M624" s="33">
        <f t="shared" si="249"/>
        <v>2</v>
      </c>
      <c r="N624" s="1">
        <v>2415471100</v>
      </c>
    </row>
    <row r="625" spans="1:14" ht="18" customHeight="1" x14ac:dyDescent="0.45">
      <c r="A625" s="8">
        <v>619</v>
      </c>
      <c r="B625" s="35" t="str">
        <f t="shared" si="266"/>
        <v>神奈川静岡本部</v>
      </c>
      <c r="C625" s="35" t="str">
        <f t="shared" si="266"/>
        <v>ラヴィーレ古淵</v>
      </c>
      <c r="D625" s="9" t="s">
        <v>6</v>
      </c>
      <c r="E625" s="10">
        <v>4</v>
      </c>
      <c r="F625" s="11">
        <v>73</v>
      </c>
      <c r="G625" s="12">
        <v>18.3</v>
      </c>
      <c r="H625" s="11">
        <v>0</v>
      </c>
      <c r="I625" s="12">
        <v>0</v>
      </c>
      <c r="J625" s="10">
        <v>73</v>
      </c>
      <c r="K625" s="38">
        <f t="shared" si="254"/>
        <v>7</v>
      </c>
      <c r="L625" s="28">
        <v>2</v>
      </c>
      <c r="M625" s="33">
        <f t="shared" si="249"/>
        <v>2</v>
      </c>
      <c r="N625" s="1">
        <v>2415471100</v>
      </c>
    </row>
    <row r="626" spans="1:14" ht="18" customHeight="1" x14ac:dyDescent="0.45">
      <c r="A626" s="8">
        <v>620</v>
      </c>
      <c r="B626" s="36" t="str">
        <f t="shared" si="266"/>
        <v>神奈川静岡本部</v>
      </c>
      <c r="C626" s="36" t="str">
        <f t="shared" si="266"/>
        <v>ラヴィーレ古淵</v>
      </c>
      <c r="D626" s="9" t="s">
        <v>2</v>
      </c>
      <c r="E626" s="10">
        <v>1</v>
      </c>
      <c r="F626" s="11">
        <v>3</v>
      </c>
      <c r="G626" s="12">
        <v>3</v>
      </c>
      <c r="H626" s="11">
        <v>0</v>
      </c>
      <c r="I626" s="12">
        <v>0</v>
      </c>
      <c r="J626" s="10">
        <v>3</v>
      </c>
      <c r="K626" s="39">
        <f t="shared" si="254"/>
        <v>7</v>
      </c>
      <c r="L626" s="28">
        <v>0</v>
      </c>
      <c r="M626" s="33">
        <f t="shared" si="249"/>
        <v>0</v>
      </c>
      <c r="N626" s="1">
        <v>2415471100</v>
      </c>
    </row>
    <row r="627" spans="1:14" ht="18" customHeight="1" x14ac:dyDescent="0.45">
      <c r="A627" s="13">
        <v>621</v>
      </c>
      <c r="B627" s="40" t="s">
        <v>48</v>
      </c>
      <c r="C627" s="40" t="s">
        <v>254</v>
      </c>
      <c r="D627" s="14" t="s">
        <v>3</v>
      </c>
      <c r="E627" s="15">
        <v>1</v>
      </c>
      <c r="F627" s="16">
        <v>9</v>
      </c>
      <c r="G627" s="17">
        <v>9</v>
      </c>
      <c r="H627" s="16">
        <v>0</v>
      </c>
      <c r="I627" s="17">
        <v>0</v>
      </c>
      <c r="J627" s="15">
        <v>9</v>
      </c>
      <c r="K627" s="43">
        <f t="shared" ref="K627" si="267">SUM(M627:M631)</f>
        <v>6</v>
      </c>
      <c r="L627" s="28">
        <v>2</v>
      </c>
      <c r="M627" s="33">
        <f t="shared" si="249"/>
        <v>2</v>
      </c>
      <c r="N627" s="1">
        <v>2415481100</v>
      </c>
    </row>
    <row r="628" spans="1:14" ht="18" customHeight="1" x14ac:dyDescent="0.45">
      <c r="A628" s="13">
        <v>622</v>
      </c>
      <c r="B628" s="41" t="str">
        <f t="shared" ref="B628:C631" si="268">B627</f>
        <v>神奈川静岡本部</v>
      </c>
      <c r="C628" s="41" t="str">
        <f t="shared" si="268"/>
        <v>ラヴィーレ淵野辺</v>
      </c>
      <c r="D628" s="14" t="s">
        <v>4</v>
      </c>
      <c r="E628" s="15">
        <v>1</v>
      </c>
      <c r="F628" s="16">
        <v>16</v>
      </c>
      <c r="G628" s="17">
        <v>16</v>
      </c>
      <c r="H628" s="16">
        <v>16</v>
      </c>
      <c r="I628" s="17">
        <v>16</v>
      </c>
      <c r="J628" s="15">
        <v>32</v>
      </c>
      <c r="K628" s="44">
        <f t="shared" si="254"/>
        <v>6</v>
      </c>
      <c r="L628" s="28">
        <v>2</v>
      </c>
      <c r="M628" s="33">
        <f t="shared" si="249"/>
        <v>2</v>
      </c>
      <c r="N628" s="1">
        <v>2415481100</v>
      </c>
    </row>
    <row r="629" spans="1:14" ht="18" customHeight="1" x14ac:dyDescent="0.45">
      <c r="A629" s="13">
        <v>623</v>
      </c>
      <c r="B629" s="41" t="str">
        <f t="shared" si="268"/>
        <v>神奈川静岡本部</v>
      </c>
      <c r="C629" s="41" t="str">
        <f t="shared" si="268"/>
        <v>ラヴィーレ淵野辺</v>
      </c>
      <c r="D629" s="14" t="s">
        <v>5</v>
      </c>
      <c r="E629" s="15">
        <v>1</v>
      </c>
      <c r="F629" s="16">
        <v>18</v>
      </c>
      <c r="G629" s="17">
        <v>18</v>
      </c>
      <c r="H629" s="16">
        <v>0</v>
      </c>
      <c r="I629" s="17">
        <v>0</v>
      </c>
      <c r="J629" s="15">
        <v>18</v>
      </c>
      <c r="K629" s="44">
        <f t="shared" si="254"/>
        <v>6</v>
      </c>
      <c r="L629" s="28">
        <v>2</v>
      </c>
      <c r="M629" s="33">
        <f t="shared" si="249"/>
        <v>2</v>
      </c>
      <c r="N629" s="1">
        <v>2415481100</v>
      </c>
    </row>
    <row r="630" spans="1:14" ht="18" customHeight="1" x14ac:dyDescent="0.45">
      <c r="A630" s="13">
        <v>624</v>
      </c>
      <c r="B630" s="41" t="str">
        <f t="shared" si="268"/>
        <v>神奈川静岡本部</v>
      </c>
      <c r="C630" s="41" t="str">
        <f t="shared" si="268"/>
        <v>ラヴィーレ淵野辺</v>
      </c>
      <c r="D630" s="14" t="s">
        <v>6</v>
      </c>
      <c r="E630" s="15">
        <v>3</v>
      </c>
      <c r="F630" s="16">
        <v>0</v>
      </c>
      <c r="G630" s="17">
        <v>0</v>
      </c>
      <c r="H630" s="16">
        <v>0</v>
      </c>
      <c r="I630" s="17">
        <v>0</v>
      </c>
      <c r="J630" s="15">
        <v>0</v>
      </c>
      <c r="K630" s="44">
        <f t="shared" si="254"/>
        <v>6</v>
      </c>
      <c r="L630" s="28">
        <v>0</v>
      </c>
      <c r="M630" s="33">
        <f t="shared" si="249"/>
        <v>0</v>
      </c>
      <c r="N630" s="1">
        <v>2415481100</v>
      </c>
    </row>
    <row r="631" spans="1:14" ht="18" customHeight="1" x14ac:dyDescent="0.45">
      <c r="A631" s="13">
        <v>625</v>
      </c>
      <c r="B631" s="42" t="str">
        <f t="shared" si="268"/>
        <v>神奈川静岡本部</v>
      </c>
      <c r="C631" s="42" t="str">
        <f t="shared" si="268"/>
        <v>ラヴィーレ淵野辺</v>
      </c>
      <c r="D631" s="14" t="s">
        <v>2</v>
      </c>
      <c r="E631" s="15">
        <v>1</v>
      </c>
      <c r="F631" s="16">
        <v>0</v>
      </c>
      <c r="G631" s="17">
        <v>0</v>
      </c>
      <c r="H631" s="16">
        <v>0</v>
      </c>
      <c r="I631" s="17">
        <v>0</v>
      </c>
      <c r="J631" s="15">
        <v>0</v>
      </c>
      <c r="K631" s="45">
        <f t="shared" si="254"/>
        <v>6</v>
      </c>
      <c r="L631" s="28">
        <v>0</v>
      </c>
      <c r="M631" s="33">
        <f t="shared" si="249"/>
        <v>0</v>
      </c>
      <c r="N631" s="1">
        <v>2415481100</v>
      </c>
    </row>
    <row r="632" spans="1:14" ht="18" customHeight="1" x14ac:dyDescent="0.45">
      <c r="A632" s="8">
        <v>626</v>
      </c>
      <c r="B632" s="34" t="s">
        <v>48</v>
      </c>
      <c r="C632" s="34" t="s">
        <v>255</v>
      </c>
      <c r="D632" s="9" t="s">
        <v>3</v>
      </c>
      <c r="E632" s="10">
        <v>1</v>
      </c>
      <c r="F632" s="11">
        <v>8</v>
      </c>
      <c r="G632" s="12">
        <v>8</v>
      </c>
      <c r="H632" s="11">
        <v>7</v>
      </c>
      <c r="I632" s="12">
        <v>7</v>
      </c>
      <c r="J632" s="10">
        <v>15</v>
      </c>
      <c r="K632" s="37">
        <f t="shared" ref="K632" si="269">SUM(M632:M636)</f>
        <v>8</v>
      </c>
      <c r="L632" s="28">
        <v>2</v>
      </c>
      <c r="M632" s="33">
        <f t="shared" si="249"/>
        <v>2</v>
      </c>
      <c r="N632" s="1">
        <v>2415511100</v>
      </c>
    </row>
    <row r="633" spans="1:14" ht="18" customHeight="1" x14ac:dyDescent="0.45">
      <c r="A633" s="8">
        <v>627</v>
      </c>
      <c r="B633" s="35" t="str">
        <f t="shared" ref="B633:C636" si="270">B632</f>
        <v>神奈川静岡本部</v>
      </c>
      <c r="C633" s="35" t="str">
        <f t="shared" si="270"/>
        <v>ラヴィーレ相模原中央</v>
      </c>
      <c r="D633" s="9" t="s">
        <v>4</v>
      </c>
      <c r="E633" s="10">
        <v>2</v>
      </c>
      <c r="F633" s="11">
        <v>11</v>
      </c>
      <c r="G633" s="12">
        <v>5.5</v>
      </c>
      <c r="H633" s="11">
        <v>7</v>
      </c>
      <c r="I633" s="12">
        <v>3.5</v>
      </c>
      <c r="J633" s="10">
        <v>18</v>
      </c>
      <c r="K633" s="38">
        <f t="shared" si="254"/>
        <v>8</v>
      </c>
      <c r="L633" s="28">
        <v>2</v>
      </c>
      <c r="M633" s="33">
        <f t="shared" si="249"/>
        <v>2</v>
      </c>
      <c r="N633" s="1">
        <v>2415511100</v>
      </c>
    </row>
    <row r="634" spans="1:14" ht="18" customHeight="1" x14ac:dyDescent="0.45">
      <c r="A634" s="8">
        <v>628</v>
      </c>
      <c r="B634" s="35" t="str">
        <f t="shared" si="270"/>
        <v>神奈川静岡本部</v>
      </c>
      <c r="C634" s="35" t="str">
        <f t="shared" si="270"/>
        <v>ラヴィーレ相模原中央</v>
      </c>
      <c r="D634" s="9" t="s">
        <v>5</v>
      </c>
      <c r="E634" s="10">
        <v>2</v>
      </c>
      <c r="F634" s="11">
        <v>19</v>
      </c>
      <c r="G634" s="12">
        <v>9.5</v>
      </c>
      <c r="H634" s="11">
        <v>0</v>
      </c>
      <c r="I634" s="12">
        <v>0</v>
      </c>
      <c r="J634" s="10">
        <v>19</v>
      </c>
      <c r="K634" s="38">
        <f t="shared" si="254"/>
        <v>8</v>
      </c>
      <c r="L634" s="28">
        <v>2</v>
      </c>
      <c r="M634" s="33">
        <f t="shared" si="249"/>
        <v>2</v>
      </c>
      <c r="N634" s="1">
        <v>2415511100</v>
      </c>
    </row>
    <row r="635" spans="1:14" ht="18" customHeight="1" x14ac:dyDescent="0.45">
      <c r="A635" s="8">
        <v>629</v>
      </c>
      <c r="B635" s="35" t="str">
        <f t="shared" si="270"/>
        <v>神奈川静岡本部</v>
      </c>
      <c r="C635" s="35" t="str">
        <f t="shared" si="270"/>
        <v>ラヴィーレ相模原中央</v>
      </c>
      <c r="D635" s="9" t="s">
        <v>6</v>
      </c>
      <c r="E635" s="10">
        <v>5</v>
      </c>
      <c r="F635" s="11">
        <v>4</v>
      </c>
      <c r="G635" s="12">
        <v>0.8</v>
      </c>
      <c r="H635" s="11">
        <v>0</v>
      </c>
      <c r="I635" s="12">
        <v>0</v>
      </c>
      <c r="J635" s="10">
        <v>4</v>
      </c>
      <c r="K635" s="38">
        <f t="shared" si="254"/>
        <v>8</v>
      </c>
      <c r="L635" s="28">
        <v>1</v>
      </c>
      <c r="M635" s="33">
        <f t="shared" si="249"/>
        <v>1</v>
      </c>
      <c r="N635" s="1">
        <v>2415511100</v>
      </c>
    </row>
    <row r="636" spans="1:14" ht="18" customHeight="1" x14ac:dyDescent="0.45">
      <c r="A636" s="8">
        <v>630</v>
      </c>
      <c r="B636" s="36" t="str">
        <f t="shared" si="270"/>
        <v>神奈川静岡本部</v>
      </c>
      <c r="C636" s="36" t="str">
        <f t="shared" si="270"/>
        <v>ラヴィーレ相模原中央</v>
      </c>
      <c r="D636" s="9" t="s">
        <v>2</v>
      </c>
      <c r="E636" s="10">
        <v>3</v>
      </c>
      <c r="F636" s="11">
        <v>5</v>
      </c>
      <c r="G636" s="12">
        <v>1.7</v>
      </c>
      <c r="H636" s="11">
        <v>0</v>
      </c>
      <c r="I636" s="12">
        <v>0</v>
      </c>
      <c r="J636" s="10">
        <v>5</v>
      </c>
      <c r="K636" s="39">
        <f t="shared" si="254"/>
        <v>8</v>
      </c>
      <c r="L636" s="28">
        <v>1</v>
      </c>
      <c r="M636" s="33">
        <f t="shared" si="249"/>
        <v>1</v>
      </c>
      <c r="N636" s="1">
        <v>2415511100</v>
      </c>
    </row>
    <row r="637" spans="1:14" ht="18" customHeight="1" x14ac:dyDescent="0.45">
      <c r="A637" s="13">
        <v>631</v>
      </c>
      <c r="B637" s="40" t="s">
        <v>48</v>
      </c>
      <c r="C637" s="40" t="s">
        <v>256</v>
      </c>
      <c r="D637" s="14" t="s">
        <v>3</v>
      </c>
      <c r="E637" s="15">
        <v>1</v>
      </c>
      <c r="F637" s="16">
        <v>22</v>
      </c>
      <c r="G637" s="17">
        <v>22</v>
      </c>
      <c r="H637" s="16">
        <v>20</v>
      </c>
      <c r="I637" s="17">
        <v>20</v>
      </c>
      <c r="J637" s="15">
        <v>42</v>
      </c>
      <c r="K637" s="43">
        <f t="shared" ref="K637" si="271">SUM(M637:M641)</f>
        <v>8</v>
      </c>
      <c r="L637" s="28">
        <v>2</v>
      </c>
      <c r="M637" s="33">
        <f t="shared" si="249"/>
        <v>2</v>
      </c>
      <c r="N637" s="1">
        <v>2415521100</v>
      </c>
    </row>
    <row r="638" spans="1:14" ht="18" customHeight="1" x14ac:dyDescent="0.45">
      <c r="A638" s="13">
        <v>632</v>
      </c>
      <c r="B638" s="41" t="str">
        <f t="shared" ref="B638:C641" si="272">B637</f>
        <v>神奈川静岡本部</v>
      </c>
      <c r="C638" s="41" t="str">
        <f t="shared" si="272"/>
        <v>ラヴィーレ上溝</v>
      </c>
      <c r="D638" s="14" t="s">
        <v>4</v>
      </c>
      <c r="E638" s="15">
        <v>1</v>
      </c>
      <c r="F638" s="16">
        <v>25</v>
      </c>
      <c r="G638" s="17">
        <v>25</v>
      </c>
      <c r="H638" s="16">
        <v>7</v>
      </c>
      <c r="I638" s="17">
        <v>7</v>
      </c>
      <c r="J638" s="15">
        <v>32</v>
      </c>
      <c r="K638" s="44">
        <f t="shared" si="254"/>
        <v>8</v>
      </c>
      <c r="L638" s="28">
        <v>2</v>
      </c>
      <c r="M638" s="33">
        <f t="shared" si="249"/>
        <v>2</v>
      </c>
      <c r="N638" s="1">
        <v>2415521100</v>
      </c>
    </row>
    <row r="639" spans="1:14" ht="18" customHeight="1" x14ac:dyDescent="0.45">
      <c r="A639" s="13">
        <v>633</v>
      </c>
      <c r="B639" s="41" t="str">
        <f t="shared" si="272"/>
        <v>神奈川静岡本部</v>
      </c>
      <c r="C639" s="41" t="str">
        <f t="shared" si="272"/>
        <v>ラヴィーレ上溝</v>
      </c>
      <c r="D639" s="14" t="s">
        <v>5</v>
      </c>
      <c r="E639" s="15">
        <v>1</v>
      </c>
      <c r="F639" s="16">
        <v>25</v>
      </c>
      <c r="G639" s="17">
        <v>25</v>
      </c>
      <c r="H639" s="16">
        <v>0</v>
      </c>
      <c r="I639" s="17">
        <v>0</v>
      </c>
      <c r="J639" s="15">
        <v>25</v>
      </c>
      <c r="K639" s="44">
        <f t="shared" si="254"/>
        <v>8</v>
      </c>
      <c r="L639" s="28">
        <v>2</v>
      </c>
      <c r="M639" s="33">
        <f t="shared" si="249"/>
        <v>2</v>
      </c>
      <c r="N639" s="1">
        <v>2415521100</v>
      </c>
    </row>
    <row r="640" spans="1:14" ht="18" customHeight="1" x14ac:dyDescent="0.45">
      <c r="A640" s="13">
        <v>634</v>
      </c>
      <c r="B640" s="41" t="str">
        <f t="shared" si="272"/>
        <v>神奈川静岡本部</v>
      </c>
      <c r="C640" s="41" t="str">
        <f t="shared" si="272"/>
        <v>ラヴィーレ上溝</v>
      </c>
      <c r="D640" s="14" t="s">
        <v>6</v>
      </c>
      <c r="E640" s="15">
        <v>4</v>
      </c>
      <c r="F640" s="16">
        <v>11</v>
      </c>
      <c r="G640" s="17">
        <v>2.8</v>
      </c>
      <c r="H640" s="16">
        <v>0</v>
      </c>
      <c r="I640" s="17">
        <v>0</v>
      </c>
      <c r="J640" s="15">
        <v>11</v>
      </c>
      <c r="K640" s="44">
        <f t="shared" si="254"/>
        <v>8</v>
      </c>
      <c r="L640" s="28">
        <v>2</v>
      </c>
      <c r="M640" s="33">
        <f t="shared" si="249"/>
        <v>2</v>
      </c>
      <c r="N640" s="1">
        <v>2415521100</v>
      </c>
    </row>
    <row r="641" spans="1:14" ht="18" customHeight="1" x14ac:dyDescent="0.45">
      <c r="A641" s="13">
        <v>635</v>
      </c>
      <c r="B641" s="42" t="str">
        <f t="shared" si="272"/>
        <v>神奈川静岡本部</v>
      </c>
      <c r="C641" s="42" t="str">
        <f t="shared" si="272"/>
        <v>ラヴィーレ上溝</v>
      </c>
      <c r="D641" s="14" t="s">
        <v>2</v>
      </c>
      <c r="E641" s="15">
        <v>1</v>
      </c>
      <c r="F641" s="16">
        <v>0</v>
      </c>
      <c r="G641" s="17">
        <v>0</v>
      </c>
      <c r="H641" s="16">
        <v>0</v>
      </c>
      <c r="I641" s="17">
        <v>0</v>
      </c>
      <c r="J641" s="15">
        <v>0</v>
      </c>
      <c r="K641" s="45">
        <f t="shared" si="254"/>
        <v>8</v>
      </c>
      <c r="L641" s="28">
        <v>0</v>
      </c>
      <c r="M641" s="33">
        <f t="shared" si="249"/>
        <v>0</v>
      </c>
      <c r="N641" s="1">
        <v>2415521100</v>
      </c>
    </row>
    <row r="642" spans="1:14" ht="18" customHeight="1" x14ac:dyDescent="0.45">
      <c r="A642" s="8">
        <v>636</v>
      </c>
      <c r="B642" s="34" t="s">
        <v>48</v>
      </c>
      <c r="C642" s="34" t="s">
        <v>257</v>
      </c>
      <c r="D642" s="9" t="s">
        <v>3</v>
      </c>
      <c r="E642" s="10">
        <v>1</v>
      </c>
      <c r="F642" s="11">
        <v>4</v>
      </c>
      <c r="G642" s="12">
        <v>4</v>
      </c>
      <c r="H642" s="11">
        <v>0</v>
      </c>
      <c r="I642" s="12">
        <v>0</v>
      </c>
      <c r="J642" s="10">
        <v>4</v>
      </c>
      <c r="K642" s="37">
        <f t="shared" ref="K642" si="273">SUM(M642:M646)</f>
        <v>3</v>
      </c>
      <c r="L642" s="28">
        <v>1</v>
      </c>
      <c r="M642" s="33">
        <f t="shared" si="249"/>
        <v>1</v>
      </c>
      <c r="N642" s="1">
        <v>2415531100</v>
      </c>
    </row>
    <row r="643" spans="1:14" ht="18" customHeight="1" x14ac:dyDescent="0.45">
      <c r="A643" s="8">
        <v>637</v>
      </c>
      <c r="B643" s="35" t="str">
        <f t="shared" ref="B643:C646" si="274">B642</f>
        <v>神奈川静岡本部</v>
      </c>
      <c r="C643" s="35" t="str">
        <f t="shared" si="274"/>
        <v>ラヴィーレ横須賀</v>
      </c>
      <c r="D643" s="9" t="s">
        <v>4</v>
      </c>
      <c r="E643" s="10">
        <v>1</v>
      </c>
      <c r="F643" s="11">
        <v>4</v>
      </c>
      <c r="G643" s="12">
        <v>4</v>
      </c>
      <c r="H643" s="11">
        <v>0</v>
      </c>
      <c r="I643" s="12">
        <v>0</v>
      </c>
      <c r="J643" s="10">
        <v>4</v>
      </c>
      <c r="K643" s="38">
        <f t="shared" si="254"/>
        <v>3</v>
      </c>
      <c r="L643" s="28">
        <v>1</v>
      </c>
      <c r="M643" s="33">
        <f t="shared" si="249"/>
        <v>1</v>
      </c>
      <c r="N643" s="1">
        <v>2415531100</v>
      </c>
    </row>
    <row r="644" spans="1:14" ht="18" customHeight="1" x14ac:dyDescent="0.45">
      <c r="A644" s="8">
        <v>638</v>
      </c>
      <c r="B644" s="35" t="str">
        <f t="shared" si="274"/>
        <v>神奈川静岡本部</v>
      </c>
      <c r="C644" s="35" t="str">
        <f t="shared" si="274"/>
        <v>ラヴィーレ横須賀</v>
      </c>
      <c r="D644" s="9" t="s">
        <v>5</v>
      </c>
      <c r="E644" s="10">
        <v>2</v>
      </c>
      <c r="F644" s="11">
        <v>4</v>
      </c>
      <c r="G644" s="12">
        <v>2</v>
      </c>
      <c r="H644" s="11">
        <v>0</v>
      </c>
      <c r="I644" s="12">
        <v>0</v>
      </c>
      <c r="J644" s="10">
        <v>4</v>
      </c>
      <c r="K644" s="38">
        <f t="shared" si="254"/>
        <v>3</v>
      </c>
      <c r="L644" s="28">
        <v>1</v>
      </c>
      <c r="M644" s="33">
        <f t="shared" si="249"/>
        <v>1</v>
      </c>
      <c r="N644" s="1">
        <v>2415531100</v>
      </c>
    </row>
    <row r="645" spans="1:14" ht="18" customHeight="1" x14ac:dyDescent="0.45">
      <c r="A645" s="8">
        <v>639</v>
      </c>
      <c r="B645" s="35" t="str">
        <f t="shared" si="274"/>
        <v>神奈川静岡本部</v>
      </c>
      <c r="C645" s="35" t="str">
        <f t="shared" si="274"/>
        <v>ラヴィーレ横須賀</v>
      </c>
      <c r="D645" s="9" t="s">
        <v>6</v>
      </c>
      <c r="E645" s="10">
        <v>4</v>
      </c>
      <c r="F645" s="11">
        <v>0</v>
      </c>
      <c r="G645" s="12">
        <v>0</v>
      </c>
      <c r="H645" s="11">
        <v>0</v>
      </c>
      <c r="I645" s="12">
        <v>0</v>
      </c>
      <c r="J645" s="10">
        <v>0</v>
      </c>
      <c r="K645" s="38">
        <f t="shared" si="254"/>
        <v>3</v>
      </c>
      <c r="L645" s="28">
        <v>0</v>
      </c>
      <c r="M645" s="33">
        <f t="shared" si="249"/>
        <v>0</v>
      </c>
      <c r="N645" s="1">
        <v>2415531100</v>
      </c>
    </row>
    <row r="646" spans="1:14" ht="18" customHeight="1" x14ac:dyDescent="0.45">
      <c r="A646" s="8">
        <v>640</v>
      </c>
      <c r="B646" s="36" t="str">
        <f t="shared" si="274"/>
        <v>神奈川静岡本部</v>
      </c>
      <c r="C646" s="36" t="str">
        <f t="shared" si="274"/>
        <v>ラヴィーレ横須賀</v>
      </c>
      <c r="D646" s="9" t="s">
        <v>2</v>
      </c>
      <c r="E646" s="10">
        <v>2</v>
      </c>
      <c r="F646" s="11">
        <v>0</v>
      </c>
      <c r="G646" s="12">
        <v>0</v>
      </c>
      <c r="H646" s="11">
        <v>0</v>
      </c>
      <c r="I646" s="12">
        <v>0</v>
      </c>
      <c r="J646" s="10">
        <v>0</v>
      </c>
      <c r="K646" s="39">
        <f t="shared" si="254"/>
        <v>3</v>
      </c>
      <c r="L646" s="28">
        <v>0</v>
      </c>
      <c r="M646" s="33">
        <f t="shared" si="249"/>
        <v>0</v>
      </c>
      <c r="N646" s="1">
        <v>2415531100</v>
      </c>
    </row>
    <row r="647" spans="1:14" ht="18" customHeight="1" x14ac:dyDescent="0.45">
      <c r="A647" s="13">
        <v>641</v>
      </c>
      <c r="B647" s="40" t="s">
        <v>48</v>
      </c>
      <c r="C647" s="40" t="s">
        <v>258</v>
      </c>
      <c r="D647" s="14" t="s">
        <v>3</v>
      </c>
      <c r="E647" s="15">
        <v>1</v>
      </c>
      <c r="F647" s="16">
        <v>3</v>
      </c>
      <c r="G647" s="17">
        <v>3</v>
      </c>
      <c r="H647" s="16">
        <v>1</v>
      </c>
      <c r="I647" s="17">
        <v>1</v>
      </c>
      <c r="J647" s="15">
        <v>4</v>
      </c>
      <c r="K647" s="43">
        <f t="shared" ref="K647" si="275">SUM(M647:M651)</f>
        <v>5</v>
      </c>
      <c r="L647" s="28">
        <v>1</v>
      </c>
      <c r="M647" s="33">
        <f t="shared" si="249"/>
        <v>1</v>
      </c>
      <c r="N647" s="1">
        <v>2415551100</v>
      </c>
    </row>
    <row r="648" spans="1:14" ht="18" customHeight="1" x14ac:dyDescent="0.45">
      <c r="A648" s="13">
        <v>642</v>
      </c>
      <c r="B648" s="41" t="str">
        <f t="shared" ref="B648:C651" si="276">B647</f>
        <v>神奈川静岡本部</v>
      </c>
      <c r="C648" s="41" t="str">
        <f t="shared" si="276"/>
        <v>ラヴィーレ衣笠山公園</v>
      </c>
      <c r="D648" s="14" t="s">
        <v>4</v>
      </c>
      <c r="E648" s="15">
        <v>1</v>
      </c>
      <c r="F648" s="16">
        <v>21</v>
      </c>
      <c r="G648" s="17">
        <v>21</v>
      </c>
      <c r="H648" s="16">
        <v>6</v>
      </c>
      <c r="I648" s="17">
        <v>6</v>
      </c>
      <c r="J648" s="15">
        <v>27</v>
      </c>
      <c r="K648" s="44">
        <f t="shared" si="254"/>
        <v>5</v>
      </c>
      <c r="L648" s="28">
        <v>2</v>
      </c>
      <c r="M648" s="33">
        <f t="shared" ref="M648:M711" si="277">L648</f>
        <v>2</v>
      </c>
      <c r="N648" s="1">
        <v>2415551100</v>
      </c>
    </row>
    <row r="649" spans="1:14" ht="18" customHeight="1" x14ac:dyDescent="0.45">
      <c r="A649" s="13">
        <v>643</v>
      </c>
      <c r="B649" s="41" t="str">
        <f t="shared" si="276"/>
        <v>神奈川静岡本部</v>
      </c>
      <c r="C649" s="41" t="str">
        <f t="shared" si="276"/>
        <v>ラヴィーレ衣笠山公園</v>
      </c>
      <c r="D649" s="14" t="s">
        <v>5</v>
      </c>
      <c r="E649" s="15">
        <v>4</v>
      </c>
      <c r="F649" s="16">
        <v>48</v>
      </c>
      <c r="G649" s="17">
        <v>12</v>
      </c>
      <c r="H649" s="16">
        <v>0</v>
      </c>
      <c r="I649" s="17">
        <v>0</v>
      </c>
      <c r="J649" s="15">
        <v>48</v>
      </c>
      <c r="K649" s="44">
        <f t="shared" si="254"/>
        <v>5</v>
      </c>
      <c r="L649" s="28">
        <v>2</v>
      </c>
      <c r="M649" s="33">
        <f t="shared" si="277"/>
        <v>2</v>
      </c>
      <c r="N649" s="1">
        <v>2415551100</v>
      </c>
    </row>
    <row r="650" spans="1:14" ht="18" customHeight="1" x14ac:dyDescent="0.45">
      <c r="A650" s="13">
        <v>644</v>
      </c>
      <c r="B650" s="41" t="str">
        <f t="shared" si="276"/>
        <v>神奈川静岡本部</v>
      </c>
      <c r="C650" s="41" t="str">
        <f t="shared" si="276"/>
        <v>ラヴィーレ衣笠山公園</v>
      </c>
      <c r="D650" s="14" t="s">
        <v>6</v>
      </c>
      <c r="E650" s="15">
        <v>4</v>
      </c>
      <c r="F650" s="16">
        <v>0</v>
      </c>
      <c r="G650" s="17">
        <v>0</v>
      </c>
      <c r="H650" s="16">
        <v>0</v>
      </c>
      <c r="I650" s="17">
        <v>0</v>
      </c>
      <c r="J650" s="15">
        <v>0</v>
      </c>
      <c r="K650" s="44">
        <f t="shared" si="254"/>
        <v>5</v>
      </c>
      <c r="L650" s="28">
        <v>0</v>
      </c>
      <c r="M650" s="33">
        <f t="shared" si="277"/>
        <v>0</v>
      </c>
      <c r="N650" s="1">
        <v>2415551100</v>
      </c>
    </row>
    <row r="651" spans="1:14" ht="18" customHeight="1" x14ac:dyDescent="0.45">
      <c r="A651" s="13">
        <v>645</v>
      </c>
      <c r="B651" s="42" t="str">
        <f t="shared" si="276"/>
        <v>神奈川静岡本部</v>
      </c>
      <c r="C651" s="42" t="str">
        <f t="shared" si="276"/>
        <v>ラヴィーレ衣笠山公園</v>
      </c>
      <c r="D651" s="14" t="s">
        <v>2</v>
      </c>
      <c r="E651" s="15">
        <v>3</v>
      </c>
      <c r="F651" s="16">
        <v>0</v>
      </c>
      <c r="G651" s="17">
        <v>0</v>
      </c>
      <c r="H651" s="16">
        <v>0</v>
      </c>
      <c r="I651" s="17">
        <v>0</v>
      </c>
      <c r="J651" s="15">
        <v>0</v>
      </c>
      <c r="K651" s="45">
        <f t="shared" si="254"/>
        <v>5</v>
      </c>
      <c r="L651" s="28">
        <v>0</v>
      </c>
      <c r="M651" s="33">
        <f t="shared" si="277"/>
        <v>0</v>
      </c>
      <c r="N651" s="1">
        <v>2415551100</v>
      </c>
    </row>
    <row r="652" spans="1:14" ht="18" customHeight="1" x14ac:dyDescent="0.45">
      <c r="A652" s="8">
        <v>646</v>
      </c>
      <c r="B652" s="34" t="s">
        <v>48</v>
      </c>
      <c r="C652" s="34" t="s">
        <v>66</v>
      </c>
      <c r="D652" s="9" t="s">
        <v>3</v>
      </c>
      <c r="E652" s="10">
        <v>1</v>
      </c>
      <c r="F652" s="11">
        <v>47</v>
      </c>
      <c r="G652" s="12">
        <v>47</v>
      </c>
      <c r="H652" s="11">
        <v>35</v>
      </c>
      <c r="I652" s="12">
        <v>35</v>
      </c>
      <c r="J652" s="10">
        <v>82</v>
      </c>
      <c r="K652" s="37">
        <f t="shared" ref="K652" si="278">SUM(M652:M656)</f>
        <v>8</v>
      </c>
      <c r="L652" s="28">
        <v>2</v>
      </c>
      <c r="M652" s="33">
        <f t="shared" si="277"/>
        <v>2</v>
      </c>
      <c r="N652" s="1">
        <v>2415571200</v>
      </c>
    </row>
    <row r="653" spans="1:14" ht="18" customHeight="1" x14ac:dyDescent="0.45">
      <c r="A653" s="8">
        <v>647</v>
      </c>
      <c r="B653" s="35" t="str">
        <f t="shared" ref="B653:C656" si="279">B652</f>
        <v>神奈川静岡本部</v>
      </c>
      <c r="C653" s="35" t="str">
        <f t="shared" si="279"/>
        <v>そんぽの家　三浦</v>
      </c>
      <c r="D653" s="9" t="s">
        <v>4</v>
      </c>
      <c r="E653" s="10">
        <v>2</v>
      </c>
      <c r="F653" s="11">
        <v>23</v>
      </c>
      <c r="G653" s="12">
        <v>11.5</v>
      </c>
      <c r="H653" s="11">
        <v>18</v>
      </c>
      <c r="I653" s="12">
        <v>9</v>
      </c>
      <c r="J653" s="10">
        <v>41</v>
      </c>
      <c r="K653" s="38">
        <f t="shared" si="254"/>
        <v>8</v>
      </c>
      <c r="L653" s="28">
        <v>2</v>
      </c>
      <c r="M653" s="33">
        <f t="shared" si="277"/>
        <v>2</v>
      </c>
      <c r="N653" s="1">
        <v>2415571200</v>
      </c>
    </row>
    <row r="654" spans="1:14" ht="18" customHeight="1" x14ac:dyDescent="0.45">
      <c r="A654" s="8">
        <v>648</v>
      </c>
      <c r="B654" s="35" t="str">
        <f t="shared" si="279"/>
        <v>神奈川静岡本部</v>
      </c>
      <c r="C654" s="35" t="str">
        <f t="shared" si="279"/>
        <v>そんぽの家　三浦</v>
      </c>
      <c r="D654" s="9" t="s">
        <v>5</v>
      </c>
      <c r="E654" s="10">
        <v>1</v>
      </c>
      <c r="F654" s="11">
        <v>0</v>
      </c>
      <c r="G654" s="12">
        <v>0</v>
      </c>
      <c r="H654" s="11">
        <v>0</v>
      </c>
      <c r="I654" s="12">
        <v>0</v>
      </c>
      <c r="J654" s="10">
        <v>0</v>
      </c>
      <c r="K654" s="38">
        <f t="shared" si="254"/>
        <v>8</v>
      </c>
      <c r="L654" s="28">
        <v>0</v>
      </c>
      <c r="M654" s="33">
        <f t="shared" si="277"/>
        <v>0</v>
      </c>
      <c r="N654" s="1">
        <v>2415571200</v>
      </c>
    </row>
    <row r="655" spans="1:14" ht="18" customHeight="1" x14ac:dyDescent="0.45">
      <c r="A655" s="8">
        <v>649</v>
      </c>
      <c r="B655" s="35" t="str">
        <f t="shared" si="279"/>
        <v>神奈川静岡本部</v>
      </c>
      <c r="C655" s="35" t="str">
        <f t="shared" si="279"/>
        <v>そんぽの家　三浦</v>
      </c>
      <c r="D655" s="9" t="s">
        <v>6</v>
      </c>
      <c r="E655" s="10">
        <v>3</v>
      </c>
      <c r="F655" s="11">
        <v>32</v>
      </c>
      <c r="G655" s="12">
        <v>10.7</v>
      </c>
      <c r="H655" s="11">
        <v>0</v>
      </c>
      <c r="I655" s="12">
        <v>0</v>
      </c>
      <c r="J655" s="10">
        <v>32</v>
      </c>
      <c r="K655" s="38">
        <f t="shared" si="254"/>
        <v>8</v>
      </c>
      <c r="L655" s="28">
        <v>2</v>
      </c>
      <c r="M655" s="33">
        <f t="shared" si="277"/>
        <v>2</v>
      </c>
      <c r="N655" s="1">
        <v>2415571200</v>
      </c>
    </row>
    <row r="656" spans="1:14" ht="18" customHeight="1" x14ac:dyDescent="0.45">
      <c r="A656" s="8">
        <v>650</v>
      </c>
      <c r="B656" s="36" t="str">
        <f t="shared" si="279"/>
        <v>神奈川静岡本部</v>
      </c>
      <c r="C656" s="36" t="str">
        <f t="shared" si="279"/>
        <v>そんぽの家　三浦</v>
      </c>
      <c r="D656" s="9" t="s">
        <v>2</v>
      </c>
      <c r="E656" s="10">
        <v>1</v>
      </c>
      <c r="F656" s="11">
        <v>18</v>
      </c>
      <c r="G656" s="12">
        <v>18</v>
      </c>
      <c r="H656" s="11">
        <v>0</v>
      </c>
      <c r="I656" s="12">
        <v>0</v>
      </c>
      <c r="J656" s="10">
        <v>18</v>
      </c>
      <c r="K656" s="39">
        <f t="shared" si="254"/>
        <v>8</v>
      </c>
      <c r="L656" s="28">
        <v>2</v>
      </c>
      <c r="M656" s="33">
        <f t="shared" si="277"/>
        <v>2</v>
      </c>
      <c r="N656" s="1">
        <v>2415571200</v>
      </c>
    </row>
    <row r="657" spans="1:14" ht="18" customHeight="1" x14ac:dyDescent="0.45">
      <c r="A657" s="13">
        <v>651</v>
      </c>
      <c r="B657" s="40" t="s">
        <v>48</v>
      </c>
      <c r="C657" s="40" t="s">
        <v>259</v>
      </c>
      <c r="D657" s="14" t="s">
        <v>3</v>
      </c>
      <c r="E657" s="15">
        <v>1</v>
      </c>
      <c r="F657" s="16">
        <v>20</v>
      </c>
      <c r="G657" s="17">
        <v>20</v>
      </c>
      <c r="H657" s="16">
        <v>18</v>
      </c>
      <c r="I657" s="17">
        <v>18</v>
      </c>
      <c r="J657" s="15">
        <v>38</v>
      </c>
      <c r="K657" s="43">
        <f t="shared" ref="K657" si="280">SUM(M657:M661)</f>
        <v>5</v>
      </c>
      <c r="L657" s="28">
        <v>2</v>
      </c>
      <c r="M657" s="33">
        <f t="shared" si="277"/>
        <v>2</v>
      </c>
      <c r="N657" s="1">
        <v>2415581100</v>
      </c>
    </row>
    <row r="658" spans="1:14" ht="18" customHeight="1" x14ac:dyDescent="0.45">
      <c r="A658" s="13">
        <v>652</v>
      </c>
      <c r="B658" s="41" t="str">
        <f t="shared" ref="B658:C661" si="281">B657</f>
        <v>神奈川静岡本部</v>
      </c>
      <c r="C658" s="41" t="str">
        <f t="shared" si="281"/>
        <v>ラヴィーレ久里浜</v>
      </c>
      <c r="D658" s="14" t="s">
        <v>4</v>
      </c>
      <c r="E658" s="15">
        <v>1</v>
      </c>
      <c r="F658" s="16">
        <v>4</v>
      </c>
      <c r="G658" s="17">
        <v>4</v>
      </c>
      <c r="H658" s="16">
        <v>1</v>
      </c>
      <c r="I658" s="17">
        <v>1</v>
      </c>
      <c r="J658" s="15">
        <v>5</v>
      </c>
      <c r="K658" s="44">
        <f t="shared" ref="K658:K721" si="282">K657</f>
        <v>5</v>
      </c>
      <c r="L658" s="28">
        <v>1</v>
      </c>
      <c r="M658" s="33">
        <f t="shared" si="277"/>
        <v>1</v>
      </c>
      <c r="N658" s="1">
        <v>2415581100</v>
      </c>
    </row>
    <row r="659" spans="1:14" ht="18" customHeight="1" x14ac:dyDescent="0.45">
      <c r="A659" s="13">
        <v>653</v>
      </c>
      <c r="B659" s="41" t="str">
        <f t="shared" si="281"/>
        <v>神奈川静岡本部</v>
      </c>
      <c r="C659" s="41" t="str">
        <f t="shared" si="281"/>
        <v>ラヴィーレ久里浜</v>
      </c>
      <c r="D659" s="14" t="s">
        <v>5</v>
      </c>
      <c r="E659" s="15">
        <v>2</v>
      </c>
      <c r="F659" s="16">
        <v>2</v>
      </c>
      <c r="G659" s="17">
        <v>1</v>
      </c>
      <c r="H659" s="16">
        <v>0</v>
      </c>
      <c r="I659" s="17">
        <v>0</v>
      </c>
      <c r="J659" s="15">
        <v>2</v>
      </c>
      <c r="K659" s="44">
        <f t="shared" si="282"/>
        <v>5</v>
      </c>
      <c r="L659" s="28">
        <v>0</v>
      </c>
      <c r="M659" s="33">
        <f t="shared" si="277"/>
        <v>0</v>
      </c>
      <c r="N659" s="1">
        <v>2415581100</v>
      </c>
    </row>
    <row r="660" spans="1:14" ht="18" customHeight="1" x14ac:dyDescent="0.45">
      <c r="A660" s="13">
        <v>654</v>
      </c>
      <c r="B660" s="41" t="str">
        <f t="shared" si="281"/>
        <v>神奈川静岡本部</v>
      </c>
      <c r="C660" s="41" t="str">
        <f t="shared" si="281"/>
        <v>ラヴィーレ久里浜</v>
      </c>
      <c r="D660" s="14" t="s">
        <v>6</v>
      </c>
      <c r="E660" s="15">
        <v>3</v>
      </c>
      <c r="F660" s="16">
        <v>0</v>
      </c>
      <c r="G660" s="17">
        <v>0</v>
      </c>
      <c r="H660" s="16">
        <v>0</v>
      </c>
      <c r="I660" s="17">
        <v>0</v>
      </c>
      <c r="J660" s="15">
        <v>0</v>
      </c>
      <c r="K660" s="44">
        <f t="shared" si="282"/>
        <v>5</v>
      </c>
      <c r="L660" s="28">
        <v>0</v>
      </c>
      <c r="M660" s="33">
        <f t="shared" si="277"/>
        <v>0</v>
      </c>
      <c r="N660" s="1">
        <v>2415581100</v>
      </c>
    </row>
    <row r="661" spans="1:14" ht="18" customHeight="1" x14ac:dyDescent="0.45">
      <c r="A661" s="13">
        <v>655</v>
      </c>
      <c r="B661" s="42" t="str">
        <f t="shared" si="281"/>
        <v>神奈川静岡本部</v>
      </c>
      <c r="C661" s="42" t="str">
        <f t="shared" si="281"/>
        <v>ラヴィーレ久里浜</v>
      </c>
      <c r="D661" s="14" t="s">
        <v>2</v>
      </c>
      <c r="E661" s="15">
        <v>2</v>
      </c>
      <c r="F661" s="16">
        <v>8</v>
      </c>
      <c r="G661" s="17">
        <v>4</v>
      </c>
      <c r="H661" s="16">
        <v>0</v>
      </c>
      <c r="I661" s="17">
        <v>0</v>
      </c>
      <c r="J661" s="15">
        <v>8</v>
      </c>
      <c r="K661" s="45">
        <f t="shared" si="282"/>
        <v>5</v>
      </c>
      <c r="L661" s="28">
        <v>2</v>
      </c>
      <c r="M661" s="33">
        <f t="shared" si="277"/>
        <v>2</v>
      </c>
      <c r="N661" s="1">
        <v>2415581100</v>
      </c>
    </row>
    <row r="662" spans="1:14" ht="18" customHeight="1" x14ac:dyDescent="0.45">
      <c r="A662" s="8">
        <v>656</v>
      </c>
      <c r="B662" s="34" t="s">
        <v>48</v>
      </c>
      <c r="C662" s="34" t="s">
        <v>260</v>
      </c>
      <c r="D662" s="9" t="s">
        <v>3</v>
      </c>
      <c r="E662" s="10">
        <v>1</v>
      </c>
      <c r="F662" s="11">
        <v>14</v>
      </c>
      <c r="G662" s="12">
        <v>14</v>
      </c>
      <c r="H662" s="11">
        <v>10</v>
      </c>
      <c r="I662" s="12">
        <v>10</v>
      </c>
      <c r="J662" s="10">
        <v>24</v>
      </c>
      <c r="K662" s="37">
        <f t="shared" ref="K662" si="283">SUM(M662:M666)</f>
        <v>8</v>
      </c>
      <c r="L662" s="28">
        <v>2</v>
      </c>
      <c r="M662" s="33">
        <f t="shared" si="277"/>
        <v>2</v>
      </c>
      <c r="N662" s="1">
        <v>2415591100</v>
      </c>
    </row>
    <row r="663" spans="1:14" ht="18" customHeight="1" x14ac:dyDescent="0.45">
      <c r="A663" s="8">
        <v>657</v>
      </c>
      <c r="B663" s="35" t="str">
        <f t="shared" ref="B663:C666" si="284">B662</f>
        <v>神奈川静岡本部</v>
      </c>
      <c r="C663" s="35" t="str">
        <f t="shared" si="284"/>
        <v>ラヴィーレ葉山</v>
      </c>
      <c r="D663" s="9" t="s">
        <v>4</v>
      </c>
      <c r="E663" s="10">
        <v>2</v>
      </c>
      <c r="F663" s="11">
        <v>11</v>
      </c>
      <c r="G663" s="12">
        <v>5.5</v>
      </c>
      <c r="H663" s="11">
        <v>1</v>
      </c>
      <c r="I663" s="12">
        <v>0.5</v>
      </c>
      <c r="J663" s="10">
        <v>12</v>
      </c>
      <c r="K663" s="38">
        <f t="shared" si="282"/>
        <v>8</v>
      </c>
      <c r="L663" s="28">
        <v>2</v>
      </c>
      <c r="M663" s="33">
        <f t="shared" si="277"/>
        <v>2</v>
      </c>
      <c r="N663" s="1">
        <v>2415591100</v>
      </c>
    </row>
    <row r="664" spans="1:14" ht="18" customHeight="1" x14ac:dyDescent="0.45">
      <c r="A664" s="8">
        <v>658</v>
      </c>
      <c r="B664" s="35" t="str">
        <f t="shared" si="284"/>
        <v>神奈川静岡本部</v>
      </c>
      <c r="C664" s="35" t="str">
        <f t="shared" si="284"/>
        <v>ラヴィーレ葉山</v>
      </c>
      <c r="D664" s="9" t="s">
        <v>5</v>
      </c>
      <c r="E664" s="10">
        <v>3</v>
      </c>
      <c r="F664" s="11">
        <v>9</v>
      </c>
      <c r="G664" s="12">
        <v>3</v>
      </c>
      <c r="H664" s="11">
        <v>0</v>
      </c>
      <c r="I664" s="12">
        <v>0</v>
      </c>
      <c r="J664" s="10">
        <v>9</v>
      </c>
      <c r="K664" s="38">
        <f t="shared" si="282"/>
        <v>8</v>
      </c>
      <c r="L664" s="28">
        <v>2</v>
      </c>
      <c r="M664" s="33">
        <f t="shared" si="277"/>
        <v>2</v>
      </c>
      <c r="N664" s="1">
        <v>2415591100</v>
      </c>
    </row>
    <row r="665" spans="1:14" ht="18" customHeight="1" x14ac:dyDescent="0.45">
      <c r="A665" s="8">
        <v>659</v>
      </c>
      <c r="B665" s="35" t="str">
        <f t="shared" si="284"/>
        <v>神奈川静岡本部</v>
      </c>
      <c r="C665" s="35" t="str">
        <f t="shared" si="284"/>
        <v>ラヴィーレ葉山</v>
      </c>
      <c r="D665" s="9" t="s">
        <v>6</v>
      </c>
      <c r="E665" s="10">
        <v>6</v>
      </c>
      <c r="F665" s="11">
        <v>12</v>
      </c>
      <c r="G665" s="12">
        <v>2</v>
      </c>
      <c r="H665" s="11">
        <v>0</v>
      </c>
      <c r="I665" s="12">
        <v>0</v>
      </c>
      <c r="J665" s="10">
        <v>12</v>
      </c>
      <c r="K665" s="38">
        <f t="shared" si="282"/>
        <v>8</v>
      </c>
      <c r="L665" s="28">
        <v>2</v>
      </c>
      <c r="M665" s="33">
        <f t="shared" si="277"/>
        <v>2</v>
      </c>
      <c r="N665" s="1">
        <v>2415591100</v>
      </c>
    </row>
    <row r="666" spans="1:14" ht="18" customHeight="1" x14ac:dyDescent="0.45">
      <c r="A666" s="8">
        <v>660</v>
      </c>
      <c r="B666" s="36" t="str">
        <f t="shared" si="284"/>
        <v>神奈川静岡本部</v>
      </c>
      <c r="C666" s="36" t="str">
        <f t="shared" si="284"/>
        <v>ラヴィーレ葉山</v>
      </c>
      <c r="D666" s="9" t="s">
        <v>2</v>
      </c>
      <c r="E666" s="10">
        <v>2</v>
      </c>
      <c r="F666" s="11">
        <v>1</v>
      </c>
      <c r="G666" s="12">
        <v>0.5</v>
      </c>
      <c r="H666" s="11">
        <v>0</v>
      </c>
      <c r="I666" s="12">
        <v>0</v>
      </c>
      <c r="J666" s="10">
        <v>1</v>
      </c>
      <c r="K666" s="39">
        <f t="shared" si="282"/>
        <v>8</v>
      </c>
      <c r="L666" s="28">
        <v>0</v>
      </c>
      <c r="M666" s="33">
        <f t="shared" si="277"/>
        <v>0</v>
      </c>
      <c r="N666" s="1">
        <v>2415591100</v>
      </c>
    </row>
    <row r="667" spans="1:14" ht="18" customHeight="1" x14ac:dyDescent="0.45">
      <c r="A667" s="13">
        <v>661</v>
      </c>
      <c r="B667" s="40" t="s">
        <v>48</v>
      </c>
      <c r="C667" s="40" t="s">
        <v>261</v>
      </c>
      <c r="D667" s="14" t="s">
        <v>3</v>
      </c>
      <c r="E667" s="15">
        <v>1</v>
      </c>
      <c r="F667" s="16">
        <v>3</v>
      </c>
      <c r="G667" s="17">
        <v>3</v>
      </c>
      <c r="H667" s="16">
        <v>3</v>
      </c>
      <c r="I667" s="17">
        <v>3</v>
      </c>
      <c r="J667" s="15">
        <v>6</v>
      </c>
      <c r="K667" s="43">
        <f t="shared" ref="K667" si="285">SUM(M667:M671)</f>
        <v>5</v>
      </c>
      <c r="L667" s="28">
        <v>1</v>
      </c>
      <c r="M667" s="33">
        <f t="shared" si="277"/>
        <v>1</v>
      </c>
      <c r="N667" s="1">
        <v>2415601100</v>
      </c>
    </row>
    <row r="668" spans="1:14" ht="18" customHeight="1" x14ac:dyDescent="0.45">
      <c r="A668" s="13">
        <v>662</v>
      </c>
      <c r="B668" s="41" t="str">
        <f t="shared" ref="B668:C671" si="286">B667</f>
        <v>神奈川静岡本部</v>
      </c>
      <c r="C668" s="41" t="str">
        <f t="shared" si="286"/>
        <v>ラヴィーレ北鎌倉</v>
      </c>
      <c r="D668" s="14" t="s">
        <v>4</v>
      </c>
      <c r="E668" s="15">
        <v>2</v>
      </c>
      <c r="F668" s="16">
        <v>10</v>
      </c>
      <c r="G668" s="17">
        <v>5</v>
      </c>
      <c r="H668" s="16">
        <v>2</v>
      </c>
      <c r="I668" s="17">
        <v>1</v>
      </c>
      <c r="J668" s="15">
        <v>12</v>
      </c>
      <c r="K668" s="44">
        <f t="shared" si="282"/>
        <v>5</v>
      </c>
      <c r="L668" s="28">
        <v>2</v>
      </c>
      <c r="M668" s="33">
        <f t="shared" si="277"/>
        <v>2</v>
      </c>
      <c r="N668" s="1">
        <v>2415601100</v>
      </c>
    </row>
    <row r="669" spans="1:14" ht="18" customHeight="1" x14ac:dyDescent="0.45">
      <c r="A669" s="13">
        <v>663</v>
      </c>
      <c r="B669" s="41" t="str">
        <f t="shared" si="286"/>
        <v>神奈川静岡本部</v>
      </c>
      <c r="C669" s="41" t="str">
        <f t="shared" si="286"/>
        <v>ラヴィーレ北鎌倉</v>
      </c>
      <c r="D669" s="14" t="s">
        <v>5</v>
      </c>
      <c r="E669" s="15">
        <v>3</v>
      </c>
      <c r="F669" s="16">
        <v>12</v>
      </c>
      <c r="G669" s="17">
        <v>4</v>
      </c>
      <c r="H669" s="16">
        <v>0</v>
      </c>
      <c r="I669" s="17">
        <v>0</v>
      </c>
      <c r="J669" s="15">
        <v>12</v>
      </c>
      <c r="K669" s="44">
        <f t="shared" si="282"/>
        <v>5</v>
      </c>
      <c r="L669" s="28">
        <v>2</v>
      </c>
      <c r="M669" s="33">
        <f t="shared" si="277"/>
        <v>2</v>
      </c>
      <c r="N669" s="1">
        <v>2415601100</v>
      </c>
    </row>
    <row r="670" spans="1:14" ht="18" customHeight="1" x14ac:dyDescent="0.45">
      <c r="A670" s="13">
        <v>664</v>
      </c>
      <c r="B670" s="41" t="str">
        <f t="shared" si="286"/>
        <v>神奈川静岡本部</v>
      </c>
      <c r="C670" s="41" t="str">
        <f t="shared" si="286"/>
        <v>ラヴィーレ北鎌倉</v>
      </c>
      <c r="D670" s="14" t="s">
        <v>6</v>
      </c>
      <c r="E670" s="15">
        <v>4</v>
      </c>
      <c r="F670" s="16">
        <v>0</v>
      </c>
      <c r="G670" s="17">
        <v>0</v>
      </c>
      <c r="H670" s="16">
        <v>0</v>
      </c>
      <c r="I670" s="17">
        <v>0</v>
      </c>
      <c r="J670" s="15">
        <v>0</v>
      </c>
      <c r="K670" s="44">
        <f t="shared" si="282"/>
        <v>5</v>
      </c>
      <c r="L670" s="28">
        <v>0</v>
      </c>
      <c r="M670" s="33">
        <f t="shared" si="277"/>
        <v>0</v>
      </c>
      <c r="N670" s="1">
        <v>2415601100</v>
      </c>
    </row>
    <row r="671" spans="1:14" ht="18" customHeight="1" x14ac:dyDescent="0.45">
      <c r="A671" s="13">
        <v>665</v>
      </c>
      <c r="B671" s="42" t="str">
        <f t="shared" si="286"/>
        <v>神奈川静岡本部</v>
      </c>
      <c r="C671" s="42" t="str">
        <f t="shared" si="286"/>
        <v>ラヴィーレ北鎌倉</v>
      </c>
      <c r="D671" s="14" t="s">
        <v>2</v>
      </c>
      <c r="E671" s="15">
        <v>0</v>
      </c>
      <c r="F671" s="16">
        <v>0</v>
      </c>
      <c r="G671" s="17">
        <v>0</v>
      </c>
      <c r="H671" s="16">
        <v>0</v>
      </c>
      <c r="I671" s="17">
        <v>0</v>
      </c>
      <c r="J671" s="15">
        <v>0</v>
      </c>
      <c r="K671" s="45">
        <f t="shared" si="282"/>
        <v>5</v>
      </c>
      <c r="L671" s="28">
        <v>0</v>
      </c>
      <c r="M671" s="33">
        <f t="shared" si="277"/>
        <v>0</v>
      </c>
      <c r="N671" s="1">
        <v>2415601100</v>
      </c>
    </row>
    <row r="672" spans="1:14" ht="18" customHeight="1" x14ac:dyDescent="0.45">
      <c r="A672" s="8">
        <v>666</v>
      </c>
      <c r="B672" s="34" t="s">
        <v>48</v>
      </c>
      <c r="C672" s="34" t="s">
        <v>262</v>
      </c>
      <c r="D672" s="9" t="s">
        <v>3</v>
      </c>
      <c r="E672" s="10">
        <v>1</v>
      </c>
      <c r="F672" s="11">
        <v>19</v>
      </c>
      <c r="G672" s="12">
        <v>19</v>
      </c>
      <c r="H672" s="11">
        <v>16</v>
      </c>
      <c r="I672" s="12">
        <v>16</v>
      </c>
      <c r="J672" s="10">
        <v>35</v>
      </c>
      <c r="K672" s="37">
        <f t="shared" ref="K672" si="287">SUM(M672:M676)</f>
        <v>8</v>
      </c>
      <c r="L672" s="28">
        <v>2</v>
      </c>
      <c r="M672" s="33">
        <f t="shared" si="277"/>
        <v>2</v>
      </c>
      <c r="N672" s="1">
        <v>2415611100</v>
      </c>
    </row>
    <row r="673" spans="1:14" ht="18" customHeight="1" x14ac:dyDescent="0.45">
      <c r="A673" s="8">
        <v>667</v>
      </c>
      <c r="B673" s="35" t="str">
        <f t="shared" ref="B673:C676" si="288">B672</f>
        <v>神奈川静岡本部</v>
      </c>
      <c r="C673" s="35" t="str">
        <f t="shared" si="288"/>
        <v>ラヴィーレ鎌倉常盤</v>
      </c>
      <c r="D673" s="9" t="s">
        <v>4</v>
      </c>
      <c r="E673" s="10">
        <v>2</v>
      </c>
      <c r="F673" s="11">
        <v>49</v>
      </c>
      <c r="G673" s="12">
        <v>24.5</v>
      </c>
      <c r="H673" s="11">
        <v>26</v>
      </c>
      <c r="I673" s="12">
        <v>13</v>
      </c>
      <c r="J673" s="10">
        <v>75</v>
      </c>
      <c r="K673" s="38">
        <f t="shared" si="282"/>
        <v>8</v>
      </c>
      <c r="L673" s="28">
        <v>2</v>
      </c>
      <c r="M673" s="33">
        <f t="shared" si="277"/>
        <v>2</v>
      </c>
      <c r="N673" s="1">
        <v>2415611100</v>
      </c>
    </row>
    <row r="674" spans="1:14" ht="18" customHeight="1" x14ac:dyDescent="0.45">
      <c r="A674" s="8">
        <v>668</v>
      </c>
      <c r="B674" s="35" t="str">
        <f t="shared" si="288"/>
        <v>神奈川静岡本部</v>
      </c>
      <c r="C674" s="35" t="str">
        <f t="shared" si="288"/>
        <v>ラヴィーレ鎌倉常盤</v>
      </c>
      <c r="D674" s="9" t="s">
        <v>5</v>
      </c>
      <c r="E674" s="10">
        <v>3</v>
      </c>
      <c r="F674" s="11">
        <v>24</v>
      </c>
      <c r="G674" s="12">
        <v>8</v>
      </c>
      <c r="H674" s="11">
        <v>0</v>
      </c>
      <c r="I674" s="12">
        <v>0</v>
      </c>
      <c r="J674" s="10">
        <v>24</v>
      </c>
      <c r="K674" s="38">
        <f t="shared" si="282"/>
        <v>8</v>
      </c>
      <c r="L674" s="28">
        <v>2</v>
      </c>
      <c r="M674" s="33">
        <f t="shared" si="277"/>
        <v>2</v>
      </c>
      <c r="N674" s="1">
        <v>2415611100</v>
      </c>
    </row>
    <row r="675" spans="1:14" ht="18" customHeight="1" x14ac:dyDescent="0.45">
      <c r="A675" s="8">
        <v>669</v>
      </c>
      <c r="B675" s="35" t="str">
        <f t="shared" si="288"/>
        <v>神奈川静岡本部</v>
      </c>
      <c r="C675" s="35" t="str">
        <f t="shared" si="288"/>
        <v>ラヴィーレ鎌倉常盤</v>
      </c>
      <c r="D675" s="9" t="s">
        <v>6</v>
      </c>
      <c r="E675" s="10">
        <v>6</v>
      </c>
      <c r="F675" s="11">
        <v>11</v>
      </c>
      <c r="G675" s="12">
        <v>1.8</v>
      </c>
      <c r="H675" s="11">
        <v>0</v>
      </c>
      <c r="I675" s="12">
        <v>0</v>
      </c>
      <c r="J675" s="10">
        <v>11</v>
      </c>
      <c r="K675" s="38">
        <f t="shared" si="282"/>
        <v>8</v>
      </c>
      <c r="L675" s="28">
        <v>2</v>
      </c>
      <c r="M675" s="33">
        <f t="shared" si="277"/>
        <v>2</v>
      </c>
      <c r="N675" s="1">
        <v>2415611100</v>
      </c>
    </row>
    <row r="676" spans="1:14" ht="18" customHeight="1" x14ac:dyDescent="0.45">
      <c r="A676" s="8">
        <v>670</v>
      </c>
      <c r="B676" s="36" t="str">
        <f t="shared" si="288"/>
        <v>神奈川静岡本部</v>
      </c>
      <c r="C676" s="36" t="str">
        <f t="shared" si="288"/>
        <v>ラヴィーレ鎌倉常盤</v>
      </c>
      <c r="D676" s="9" t="s">
        <v>2</v>
      </c>
      <c r="E676" s="10">
        <v>2</v>
      </c>
      <c r="F676" s="11">
        <v>2</v>
      </c>
      <c r="G676" s="12">
        <v>1</v>
      </c>
      <c r="H676" s="11">
        <v>0</v>
      </c>
      <c r="I676" s="12">
        <v>0</v>
      </c>
      <c r="J676" s="10">
        <v>2</v>
      </c>
      <c r="K676" s="39">
        <f t="shared" si="282"/>
        <v>8</v>
      </c>
      <c r="L676" s="28">
        <v>0</v>
      </c>
      <c r="M676" s="33">
        <f t="shared" si="277"/>
        <v>0</v>
      </c>
      <c r="N676" s="1">
        <v>2415611100</v>
      </c>
    </row>
    <row r="677" spans="1:14" ht="18" customHeight="1" x14ac:dyDescent="0.45">
      <c r="A677" s="13">
        <v>671</v>
      </c>
      <c r="B677" s="40" t="s">
        <v>48</v>
      </c>
      <c r="C677" s="40" t="s">
        <v>263</v>
      </c>
      <c r="D677" s="14" t="s">
        <v>3</v>
      </c>
      <c r="E677" s="15">
        <v>1</v>
      </c>
      <c r="F677" s="16">
        <v>6</v>
      </c>
      <c r="G677" s="17">
        <v>6</v>
      </c>
      <c r="H677" s="16">
        <v>4</v>
      </c>
      <c r="I677" s="17">
        <v>4</v>
      </c>
      <c r="J677" s="15">
        <v>10</v>
      </c>
      <c r="K677" s="43">
        <f t="shared" ref="K677" si="289">SUM(M677:M681)</f>
        <v>8</v>
      </c>
      <c r="L677" s="28">
        <v>2</v>
      </c>
      <c r="M677" s="33">
        <f t="shared" si="277"/>
        <v>2</v>
      </c>
      <c r="N677" s="1">
        <v>2415621100</v>
      </c>
    </row>
    <row r="678" spans="1:14" ht="18" customHeight="1" x14ac:dyDescent="0.45">
      <c r="A678" s="13">
        <v>672</v>
      </c>
      <c r="B678" s="41" t="str">
        <f t="shared" ref="B678:C681" si="290">B677</f>
        <v>神奈川静岡本部</v>
      </c>
      <c r="C678" s="41" t="str">
        <f t="shared" si="290"/>
        <v>ラヴィーレ東逗子</v>
      </c>
      <c r="D678" s="14" t="s">
        <v>4</v>
      </c>
      <c r="E678" s="15">
        <v>1</v>
      </c>
      <c r="F678" s="16">
        <v>20</v>
      </c>
      <c r="G678" s="17">
        <v>20</v>
      </c>
      <c r="H678" s="16">
        <v>1</v>
      </c>
      <c r="I678" s="17">
        <v>1</v>
      </c>
      <c r="J678" s="15">
        <v>21</v>
      </c>
      <c r="K678" s="44">
        <f t="shared" si="282"/>
        <v>8</v>
      </c>
      <c r="L678" s="28">
        <v>2</v>
      </c>
      <c r="M678" s="33">
        <f t="shared" si="277"/>
        <v>2</v>
      </c>
      <c r="N678" s="1">
        <v>2415621100</v>
      </c>
    </row>
    <row r="679" spans="1:14" ht="18" customHeight="1" x14ac:dyDescent="0.45">
      <c r="A679" s="13">
        <v>673</v>
      </c>
      <c r="B679" s="41" t="str">
        <f t="shared" si="290"/>
        <v>神奈川静岡本部</v>
      </c>
      <c r="C679" s="41" t="str">
        <f t="shared" si="290"/>
        <v>ラヴィーレ東逗子</v>
      </c>
      <c r="D679" s="14" t="s">
        <v>5</v>
      </c>
      <c r="E679" s="15">
        <v>1</v>
      </c>
      <c r="F679" s="16">
        <v>12</v>
      </c>
      <c r="G679" s="17">
        <v>12</v>
      </c>
      <c r="H679" s="16">
        <v>0</v>
      </c>
      <c r="I679" s="17">
        <v>0</v>
      </c>
      <c r="J679" s="15">
        <v>12</v>
      </c>
      <c r="K679" s="44">
        <f t="shared" si="282"/>
        <v>8</v>
      </c>
      <c r="L679" s="28">
        <v>2</v>
      </c>
      <c r="M679" s="33">
        <f t="shared" si="277"/>
        <v>2</v>
      </c>
      <c r="N679" s="1">
        <v>2415621100</v>
      </c>
    </row>
    <row r="680" spans="1:14" ht="18" customHeight="1" x14ac:dyDescent="0.45">
      <c r="A680" s="13">
        <v>674</v>
      </c>
      <c r="B680" s="41" t="str">
        <f t="shared" si="290"/>
        <v>神奈川静岡本部</v>
      </c>
      <c r="C680" s="41" t="str">
        <f t="shared" si="290"/>
        <v>ラヴィーレ東逗子</v>
      </c>
      <c r="D680" s="14" t="s">
        <v>6</v>
      </c>
      <c r="E680" s="15">
        <v>4</v>
      </c>
      <c r="F680" s="16">
        <v>9</v>
      </c>
      <c r="G680" s="17">
        <v>2.2999999999999998</v>
      </c>
      <c r="H680" s="16">
        <v>0</v>
      </c>
      <c r="I680" s="17">
        <v>0</v>
      </c>
      <c r="J680" s="15">
        <v>9</v>
      </c>
      <c r="K680" s="44">
        <f t="shared" si="282"/>
        <v>8</v>
      </c>
      <c r="L680" s="28">
        <v>2</v>
      </c>
      <c r="M680" s="33">
        <f t="shared" si="277"/>
        <v>2</v>
      </c>
      <c r="N680" s="1">
        <v>2415621100</v>
      </c>
    </row>
    <row r="681" spans="1:14" ht="18" customHeight="1" x14ac:dyDescent="0.45">
      <c r="A681" s="13">
        <v>675</v>
      </c>
      <c r="B681" s="42" t="str">
        <f t="shared" si="290"/>
        <v>神奈川静岡本部</v>
      </c>
      <c r="C681" s="42" t="str">
        <f t="shared" si="290"/>
        <v>ラヴィーレ東逗子</v>
      </c>
      <c r="D681" s="14" t="s">
        <v>2</v>
      </c>
      <c r="E681" s="15">
        <v>2</v>
      </c>
      <c r="F681" s="16">
        <v>1</v>
      </c>
      <c r="G681" s="17">
        <v>0.5</v>
      </c>
      <c r="H681" s="16">
        <v>0</v>
      </c>
      <c r="I681" s="17">
        <v>0</v>
      </c>
      <c r="J681" s="15">
        <v>1</v>
      </c>
      <c r="K681" s="45">
        <f t="shared" si="282"/>
        <v>8</v>
      </c>
      <c r="L681" s="28">
        <v>0</v>
      </c>
      <c r="M681" s="33">
        <f t="shared" si="277"/>
        <v>0</v>
      </c>
      <c r="N681" s="1">
        <v>2415621100</v>
      </c>
    </row>
    <row r="682" spans="1:14" ht="18" customHeight="1" x14ac:dyDescent="0.45">
      <c r="A682" s="8">
        <v>676</v>
      </c>
      <c r="B682" s="34" t="s">
        <v>48</v>
      </c>
      <c r="C682" s="34" t="s">
        <v>264</v>
      </c>
      <c r="D682" s="9" t="s">
        <v>3</v>
      </c>
      <c r="E682" s="10">
        <v>1</v>
      </c>
      <c r="F682" s="11">
        <v>4</v>
      </c>
      <c r="G682" s="12">
        <v>4</v>
      </c>
      <c r="H682" s="11">
        <v>2</v>
      </c>
      <c r="I682" s="12">
        <v>2</v>
      </c>
      <c r="J682" s="10">
        <v>6</v>
      </c>
      <c r="K682" s="37">
        <f t="shared" ref="K682" si="291">SUM(M682:M686)</f>
        <v>7</v>
      </c>
      <c r="L682" s="28">
        <v>1</v>
      </c>
      <c r="M682" s="33">
        <f t="shared" si="277"/>
        <v>1</v>
      </c>
      <c r="N682" s="1">
        <v>2415631100</v>
      </c>
    </row>
    <row r="683" spans="1:14" ht="18" customHeight="1" x14ac:dyDescent="0.45">
      <c r="A683" s="8">
        <v>677</v>
      </c>
      <c r="B683" s="35" t="str">
        <f t="shared" ref="B683:C686" si="292">B682</f>
        <v>神奈川静岡本部</v>
      </c>
      <c r="C683" s="35" t="str">
        <f t="shared" si="292"/>
        <v>ラヴィーレ本厚木</v>
      </c>
      <c r="D683" s="9" t="s">
        <v>4</v>
      </c>
      <c r="E683" s="10">
        <v>1</v>
      </c>
      <c r="F683" s="11">
        <v>11</v>
      </c>
      <c r="G683" s="12">
        <v>11</v>
      </c>
      <c r="H683" s="11">
        <v>1</v>
      </c>
      <c r="I683" s="12">
        <v>1</v>
      </c>
      <c r="J683" s="10">
        <v>12</v>
      </c>
      <c r="K683" s="38">
        <f t="shared" si="282"/>
        <v>7</v>
      </c>
      <c r="L683" s="28">
        <v>2</v>
      </c>
      <c r="M683" s="33">
        <f t="shared" si="277"/>
        <v>2</v>
      </c>
      <c r="N683" s="1">
        <v>2415631100</v>
      </c>
    </row>
    <row r="684" spans="1:14" ht="18" customHeight="1" x14ac:dyDescent="0.45">
      <c r="A684" s="8">
        <v>678</v>
      </c>
      <c r="B684" s="35" t="str">
        <f t="shared" si="292"/>
        <v>神奈川静岡本部</v>
      </c>
      <c r="C684" s="35" t="str">
        <f t="shared" si="292"/>
        <v>ラヴィーレ本厚木</v>
      </c>
      <c r="D684" s="9" t="s">
        <v>5</v>
      </c>
      <c r="E684" s="10">
        <v>1</v>
      </c>
      <c r="F684" s="11">
        <v>10</v>
      </c>
      <c r="G684" s="12">
        <v>10</v>
      </c>
      <c r="H684" s="11">
        <v>0</v>
      </c>
      <c r="I684" s="12">
        <v>0</v>
      </c>
      <c r="J684" s="10">
        <v>10</v>
      </c>
      <c r="K684" s="38">
        <f t="shared" si="282"/>
        <v>7</v>
      </c>
      <c r="L684" s="28">
        <v>2</v>
      </c>
      <c r="M684" s="33">
        <f t="shared" si="277"/>
        <v>2</v>
      </c>
      <c r="N684" s="1">
        <v>2415631100</v>
      </c>
    </row>
    <row r="685" spans="1:14" ht="18" customHeight="1" x14ac:dyDescent="0.45">
      <c r="A685" s="8">
        <v>679</v>
      </c>
      <c r="B685" s="35" t="str">
        <f t="shared" si="292"/>
        <v>神奈川静岡本部</v>
      </c>
      <c r="C685" s="35" t="str">
        <f t="shared" si="292"/>
        <v>ラヴィーレ本厚木</v>
      </c>
      <c r="D685" s="9" t="s">
        <v>6</v>
      </c>
      <c r="E685" s="10">
        <v>4</v>
      </c>
      <c r="F685" s="11">
        <v>12</v>
      </c>
      <c r="G685" s="12">
        <v>3</v>
      </c>
      <c r="H685" s="11">
        <v>0</v>
      </c>
      <c r="I685" s="12">
        <v>0</v>
      </c>
      <c r="J685" s="10">
        <v>12</v>
      </c>
      <c r="K685" s="38">
        <f t="shared" si="282"/>
        <v>7</v>
      </c>
      <c r="L685" s="28">
        <v>2</v>
      </c>
      <c r="M685" s="33">
        <f t="shared" si="277"/>
        <v>2</v>
      </c>
      <c r="N685" s="1">
        <v>2415631100</v>
      </c>
    </row>
    <row r="686" spans="1:14" ht="18" customHeight="1" x14ac:dyDescent="0.45">
      <c r="A686" s="8">
        <v>680</v>
      </c>
      <c r="B686" s="36" t="str">
        <f t="shared" si="292"/>
        <v>神奈川静岡本部</v>
      </c>
      <c r="C686" s="36" t="str">
        <f t="shared" si="292"/>
        <v>ラヴィーレ本厚木</v>
      </c>
      <c r="D686" s="9" t="s">
        <v>2</v>
      </c>
      <c r="E686" s="10">
        <v>1</v>
      </c>
      <c r="F686" s="11">
        <v>0</v>
      </c>
      <c r="G686" s="12">
        <v>0</v>
      </c>
      <c r="H686" s="11">
        <v>0</v>
      </c>
      <c r="I686" s="12">
        <v>0</v>
      </c>
      <c r="J686" s="10">
        <v>0</v>
      </c>
      <c r="K686" s="39">
        <f t="shared" si="282"/>
        <v>7</v>
      </c>
      <c r="L686" s="28">
        <v>0</v>
      </c>
      <c r="M686" s="33">
        <f t="shared" si="277"/>
        <v>0</v>
      </c>
      <c r="N686" s="1">
        <v>2415631100</v>
      </c>
    </row>
    <row r="687" spans="1:14" ht="18" customHeight="1" x14ac:dyDescent="0.45">
      <c r="A687" s="13">
        <v>681</v>
      </c>
      <c r="B687" s="40" t="s">
        <v>48</v>
      </c>
      <c r="C687" s="40" t="s">
        <v>265</v>
      </c>
      <c r="D687" s="14" t="s">
        <v>3</v>
      </c>
      <c r="E687" s="15">
        <v>1</v>
      </c>
      <c r="F687" s="16">
        <v>5</v>
      </c>
      <c r="G687" s="17">
        <v>5</v>
      </c>
      <c r="H687" s="16">
        <v>1</v>
      </c>
      <c r="I687" s="17">
        <v>1</v>
      </c>
      <c r="J687" s="15">
        <v>6</v>
      </c>
      <c r="K687" s="43">
        <f t="shared" ref="K687" si="293">SUM(M687:M691)</f>
        <v>5</v>
      </c>
      <c r="L687" s="28">
        <v>1</v>
      </c>
      <c r="M687" s="33">
        <f t="shared" si="277"/>
        <v>1</v>
      </c>
      <c r="N687" s="1">
        <v>2415651100</v>
      </c>
    </row>
    <row r="688" spans="1:14" ht="18" customHeight="1" x14ac:dyDescent="0.45">
      <c r="A688" s="13">
        <v>682</v>
      </c>
      <c r="B688" s="41" t="str">
        <f t="shared" ref="B688:C691" si="294">B687</f>
        <v>神奈川静岡本部</v>
      </c>
      <c r="C688" s="41" t="str">
        <f t="shared" si="294"/>
        <v>ラヴィーレ厚木</v>
      </c>
      <c r="D688" s="14" t="s">
        <v>4</v>
      </c>
      <c r="E688" s="15">
        <v>1</v>
      </c>
      <c r="F688" s="16">
        <v>1</v>
      </c>
      <c r="G688" s="17">
        <v>1</v>
      </c>
      <c r="H688" s="16">
        <v>1</v>
      </c>
      <c r="I688" s="17">
        <v>1</v>
      </c>
      <c r="J688" s="15">
        <v>2</v>
      </c>
      <c r="K688" s="44">
        <f t="shared" si="282"/>
        <v>5</v>
      </c>
      <c r="L688" s="28">
        <v>0</v>
      </c>
      <c r="M688" s="33">
        <f t="shared" si="277"/>
        <v>0</v>
      </c>
      <c r="N688" s="1">
        <v>2415651100</v>
      </c>
    </row>
    <row r="689" spans="1:14" ht="18" customHeight="1" x14ac:dyDescent="0.45">
      <c r="A689" s="13">
        <v>683</v>
      </c>
      <c r="B689" s="41" t="str">
        <f t="shared" si="294"/>
        <v>神奈川静岡本部</v>
      </c>
      <c r="C689" s="41" t="str">
        <f t="shared" si="294"/>
        <v>ラヴィーレ厚木</v>
      </c>
      <c r="D689" s="14" t="s">
        <v>5</v>
      </c>
      <c r="E689" s="15">
        <v>2</v>
      </c>
      <c r="F689" s="16">
        <v>12</v>
      </c>
      <c r="G689" s="17">
        <v>6</v>
      </c>
      <c r="H689" s="16">
        <v>0</v>
      </c>
      <c r="I689" s="17">
        <v>0</v>
      </c>
      <c r="J689" s="15">
        <v>12</v>
      </c>
      <c r="K689" s="44">
        <f t="shared" si="282"/>
        <v>5</v>
      </c>
      <c r="L689" s="28">
        <v>2</v>
      </c>
      <c r="M689" s="33">
        <f t="shared" si="277"/>
        <v>2</v>
      </c>
      <c r="N689" s="1">
        <v>2415651100</v>
      </c>
    </row>
    <row r="690" spans="1:14" ht="18" customHeight="1" x14ac:dyDescent="0.45">
      <c r="A690" s="13">
        <v>684</v>
      </c>
      <c r="B690" s="41" t="str">
        <f t="shared" si="294"/>
        <v>神奈川静岡本部</v>
      </c>
      <c r="C690" s="41" t="str">
        <f t="shared" si="294"/>
        <v>ラヴィーレ厚木</v>
      </c>
      <c r="D690" s="14" t="s">
        <v>6</v>
      </c>
      <c r="E690" s="15">
        <v>4</v>
      </c>
      <c r="F690" s="16">
        <v>8</v>
      </c>
      <c r="G690" s="17">
        <v>2</v>
      </c>
      <c r="H690" s="16">
        <v>0</v>
      </c>
      <c r="I690" s="17">
        <v>0</v>
      </c>
      <c r="J690" s="15">
        <v>8</v>
      </c>
      <c r="K690" s="44">
        <f t="shared" si="282"/>
        <v>5</v>
      </c>
      <c r="L690" s="28">
        <v>2</v>
      </c>
      <c r="M690" s="33">
        <f t="shared" si="277"/>
        <v>2</v>
      </c>
      <c r="N690" s="1">
        <v>2415651100</v>
      </c>
    </row>
    <row r="691" spans="1:14" ht="18" customHeight="1" x14ac:dyDescent="0.45">
      <c r="A691" s="13">
        <v>685</v>
      </c>
      <c r="B691" s="42" t="str">
        <f t="shared" si="294"/>
        <v>神奈川静岡本部</v>
      </c>
      <c r="C691" s="42" t="str">
        <f t="shared" si="294"/>
        <v>ラヴィーレ厚木</v>
      </c>
      <c r="D691" s="14" t="s">
        <v>2</v>
      </c>
      <c r="E691" s="15">
        <v>0</v>
      </c>
      <c r="F691" s="16">
        <v>0</v>
      </c>
      <c r="G691" s="17">
        <v>0</v>
      </c>
      <c r="H691" s="16">
        <v>0</v>
      </c>
      <c r="I691" s="17">
        <v>0</v>
      </c>
      <c r="J691" s="15">
        <v>0</v>
      </c>
      <c r="K691" s="45">
        <f t="shared" si="282"/>
        <v>5</v>
      </c>
      <c r="L691" s="28">
        <v>0</v>
      </c>
      <c r="M691" s="33">
        <f t="shared" si="277"/>
        <v>0</v>
      </c>
      <c r="N691" s="1">
        <v>2415651100</v>
      </c>
    </row>
    <row r="692" spans="1:14" ht="18" customHeight="1" x14ac:dyDescent="0.45">
      <c r="A692" s="8">
        <v>686</v>
      </c>
      <c r="B692" s="34" t="s">
        <v>48</v>
      </c>
      <c r="C692" s="34" t="s">
        <v>266</v>
      </c>
      <c r="D692" s="9" t="s">
        <v>3</v>
      </c>
      <c r="E692" s="10">
        <v>1</v>
      </c>
      <c r="F692" s="11">
        <v>0</v>
      </c>
      <c r="G692" s="12">
        <v>0</v>
      </c>
      <c r="H692" s="11">
        <v>0</v>
      </c>
      <c r="I692" s="12">
        <v>0</v>
      </c>
      <c r="J692" s="10">
        <v>0</v>
      </c>
      <c r="K692" s="37">
        <f t="shared" ref="K692" si="295">SUM(M692:M696)</f>
        <v>2</v>
      </c>
      <c r="L692" s="28">
        <v>0</v>
      </c>
      <c r="M692" s="33">
        <f t="shared" si="277"/>
        <v>0</v>
      </c>
      <c r="N692" s="1">
        <v>2415671100</v>
      </c>
    </row>
    <row r="693" spans="1:14" ht="18" customHeight="1" x14ac:dyDescent="0.45">
      <c r="A693" s="8">
        <v>687</v>
      </c>
      <c r="B693" s="35" t="str">
        <f t="shared" ref="B693:C696" si="296">B692</f>
        <v>神奈川静岡本部</v>
      </c>
      <c r="C693" s="35" t="str">
        <f t="shared" si="296"/>
        <v>ラヴィーレ愛甲石田</v>
      </c>
      <c r="D693" s="9" t="s">
        <v>4</v>
      </c>
      <c r="E693" s="10">
        <v>1</v>
      </c>
      <c r="F693" s="11">
        <v>7</v>
      </c>
      <c r="G693" s="12">
        <v>7</v>
      </c>
      <c r="H693" s="11">
        <v>8</v>
      </c>
      <c r="I693" s="12">
        <v>8</v>
      </c>
      <c r="J693" s="10">
        <v>15</v>
      </c>
      <c r="K693" s="38">
        <f t="shared" si="282"/>
        <v>2</v>
      </c>
      <c r="L693" s="28">
        <v>2</v>
      </c>
      <c r="M693" s="33">
        <f t="shared" si="277"/>
        <v>2</v>
      </c>
      <c r="N693" s="1">
        <v>2415671100</v>
      </c>
    </row>
    <row r="694" spans="1:14" ht="18" customHeight="1" x14ac:dyDescent="0.45">
      <c r="A694" s="8">
        <v>688</v>
      </c>
      <c r="B694" s="35" t="str">
        <f t="shared" si="296"/>
        <v>神奈川静岡本部</v>
      </c>
      <c r="C694" s="35" t="str">
        <f t="shared" si="296"/>
        <v>ラヴィーレ愛甲石田</v>
      </c>
      <c r="D694" s="9" t="s">
        <v>5</v>
      </c>
      <c r="E694" s="10">
        <v>1</v>
      </c>
      <c r="F694" s="11">
        <v>0</v>
      </c>
      <c r="G694" s="12">
        <v>0</v>
      </c>
      <c r="H694" s="11">
        <v>0</v>
      </c>
      <c r="I694" s="12">
        <v>0</v>
      </c>
      <c r="J694" s="10">
        <v>0</v>
      </c>
      <c r="K694" s="38">
        <f t="shared" si="282"/>
        <v>2</v>
      </c>
      <c r="L694" s="28">
        <v>0</v>
      </c>
      <c r="M694" s="33">
        <f t="shared" si="277"/>
        <v>0</v>
      </c>
      <c r="N694" s="1">
        <v>2415671100</v>
      </c>
    </row>
    <row r="695" spans="1:14" ht="18" customHeight="1" x14ac:dyDescent="0.45">
      <c r="A695" s="8">
        <v>689</v>
      </c>
      <c r="B695" s="35" t="str">
        <f t="shared" si="296"/>
        <v>神奈川静岡本部</v>
      </c>
      <c r="C695" s="35" t="str">
        <f t="shared" si="296"/>
        <v>ラヴィーレ愛甲石田</v>
      </c>
      <c r="D695" s="9" t="s">
        <v>6</v>
      </c>
      <c r="E695" s="10">
        <v>4</v>
      </c>
      <c r="F695" s="11">
        <v>0</v>
      </c>
      <c r="G695" s="12">
        <v>0</v>
      </c>
      <c r="H695" s="11">
        <v>0</v>
      </c>
      <c r="I695" s="12">
        <v>0</v>
      </c>
      <c r="J695" s="10">
        <v>0</v>
      </c>
      <c r="K695" s="38">
        <f t="shared" si="282"/>
        <v>2</v>
      </c>
      <c r="L695" s="28">
        <v>0</v>
      </c>
      <c r="M695" s="33">
        <f t="shared" si="277"/>
        <v>0</v>
      </c>
      <c r="N695" s="1">
        <v>2415671100</v>
      </c>
    </row>
    <row r="696" spans="1:14" ht="18" customHeight="1" x14ac:dyDescent="0.45">
      <c r="A696" s="8">
        <v>690</v>
      </c>
      <c r="B696" s="36" t="str">
        <f t="shared" si="296"/>
        <v>神奈川静岡本部</v>
      </c>
      <c r="C696" s="36" t="str">
        <f t="shared" si="296"/>
        <v>ラヴィーレ愛甲石田</v>
      </c>
      <c r="D696" s="9" t="s">
        <v>2</v>
      </c>
      <c r="E696" s="10">
        <v>1</v>
      </c>
      <c r="F696" s="11">
        <v>0</v>
      </c>
      <c r="G696" s="12">
        <v>0</v>
      </c>
      <c r="H696" s="11">
        <v>0</v>
      </c>
      <c r="I696" s="12">
        <v>0</v>
      </c>
      <c r="J696" s="10">
        <v>0</v>
      </c>
      <c r="K696" s="39">
        <f t="shared" si="282"/>
        <v>2</v>
      </c>
      <c r="L696" s="28">
        <v>0</v>
      </c>
      <c r="M696" s="33">
        <f t="shared" si="277"/>
        <v>0</v>
      </c>
      <c r="N696" s="1">
        <v>2415671100</v>
      </c>
    </row>
    <row r="697" spans="1:14" ht="18" customHeight="1" x14ac:dyDescent="0.45">
      <c r="A697" s="13">
        <v>691</v>
      </c>
      <c r="B697" s="40" t="s">
        <v>48</v>
      </c>
      <c r="C697" s="40" t="s">
        <v>267</v>
      </c>
      <c r="D697" s="14" t="s">
        <v>3</v>
      </c>
      <c r="E697" s="15">
        <v>1</v>
      </c>
      <c r="F697" s="16">
        <v>13</v>
      </c>
      <c r="G697" s="17">
        <v>13</v>
      </c>
      <c r="H697" s="16">
        <v>4</v>
      </c>
      <c r="I697" s="17">
        <v>4</v>
      </c>
      <c r="J697" s="15">
        <v>17</v>
      </c>
      <c r="K697" s="43">
        <f t="shared" ref="K697" si="297">SUM(M697:M701)</f>
        <v>7</v>
      </c>
      <c r="L697" s="28">
        <v>2</v>
      </c>
      <c r="M697" s="33">
        <f t="shared" si="277"/>
        <v>2</v>
      </c>
      <c r="N697" s="1">
        <v>2415681100</v>
      </c>
    </row>
    <row r="698" spans="1:14" ht="18" customHeight="1" x14ac:dyDescent="0.45">
      <c r="A698" s="13">
        <v>692</v>
      </c>
      <c r="B698" s="41" t="str">
        <f t="shared" ref="B698:C701" si="298">B697</f>
        <v>神奈川静岡本部</v>
      </c>
      <c r="C698" s="41" t="str">
        <f t="shared" si="298"/>
        <v>ラヴィーレ伊勢原</v>
      </c>
      <c r="D698" s="14" t="s">
        <v>4</v>
      </c>
      <c r="E698" s="15">
        <v>1</v>
      </c>
      <c r="F698" s="16">
        <v>12</v>
      </c>
      <c r="G698" s="17">
        <v>12</v>
      </c>
      <c r="H698" s="16">
        <v>0</v>
      </c>
      <c r="I698" s="17">
        <v>0</v>
      </c>
      <c r="J698" s="15">
        <v>12</v>
      </c>
      <c r="K698" s="44">
        <f t="shared" si="282"/>
        <v>7</v>
      </c>
      <c r="L698" s="28">
        <v>2</v>
      </c>
      <c r="M698" s="33">
        <f t="shared" si="277"/>
        <v>2</v>
      </c>
      <c r="N698" s="1">
        <v>2415681100</v>
      </c>
    </row>
    <row r="699" spans="1:14" ht="18" customHeight="1" x14ac:dyDescent="0.45">
      <c r="A699" s="13">
        <v>693</v>
      </c>
      <c r="B699" s="41" t="str">
        <f t="shared" si="298"/>
        <v>神奈川静岡本部</v>
      </c>
      <c r="C699" s="41" t="str">
        <f t="shared" si="298"/>
        <v>ラヴィーレ伊勢原</v>
      </c>
      <c r="D699" s="14" t="s">
        <v>5</v>
      </c>
      <c r="E699" s="15">
        <v>2</v>
      </c>
      <c r="F699" s="16">
        <v>45</v>
      </c>
      <c r="G699" s="17">
        <v>22.5</v>
      </c>
      <c r="H699" s="16">
        <v>0</v>
      </c>
      <c r="I699" s="17">
        <v>0</v>
      </c>
      <c r="J699" s="15">
        <v>45</v>
      </c>
      <c r="K699" s="44">
        <f t="shared" si="282"/>
        <v>7</v>
      </c>
      <c r="L699" s="28">
        <v>2</v>
      </c>
      <c r="M699" s="33">
        <f t="shared" si="277"/>
        <v>2</v>
      </c>
      <c r="N699" s="1">
        <v>2415681100</v>
      </c>
    </row>
    <row r="700" spans="1:14" ht="18" customHeight="1" x14ac:dyDescent="0.45">
      <c r="A700" s="13">
        <v>694</v>
      </c>
      <c r="B700" s="41" t="str">
        <f t="shared" si="298"/>
        <v>神奈川静岡本部</v>
      </c>
      <c r="C700" s="41" t="str">
        <f t="shared" si="298"/>
        <v>ラヴィーレ伊勢原</v>
      </c>
      <c r="D700" s="14" t="s">
        <v>6</v>
      </c>
      <c r="E700" s="15">
        <v>7</v>
      </c>
      <c r="F700" s="16">
        <v>1</v>
      </c>
      <c r="G700" s="17">
        <v>0.1</v>
      </c>
      <c r="H700" s="16">
        <v>0</v>
      </c>
      <c r="I700" s="17">
        <v>0</v>
      </c>
      <c r="J700" s="15">
        <v>1</v>
      </c>
      <c r="K700" s="44">
        <f t="shared" si="282"/>
        <v>7</v>
      </c>
      <c r="L700" s="28">
        <v>0</v>
      </c>
      <c r="M700" s="33">
        <f t="shared" si="277"/>
        <v>0</v>
      </c>
      <c r="N700" s="1">
        <v>2415681100</v>
      </c>
    </row>
    <row r="701" spans="1:14" ht="18" customHeight="1" x14ac:dyDescent="0.45">
      <c r="A701" s="13">
        <v>695</v>
      </c>
      <c r="B701" s="42" t="str">
        <f t="shared" si="298"/>
        <v>神奈川静岡本部</v>
      </c>
      <c r="C701" s="42" t="str">
        <f t="shared" si="298"/>
        <v>ラヴィーレ伊勢原</v>
      </c>
      <c r="D701" s="14" t="s">
        <v>2</v>
      </c>
      <c r="E701" s="15">
        <v>1</v>
      </c>
      <c r="F701" s="16">
        <v>4</v>
      </c>
      <c r="G701" s="17">
        <v>4</v>
      </c>
      <c r="H701" s="16">
        <v>0</v>
      </c>
      <c r="I701" s="17">
        <v>0</v>
      </c>
      <c r="J701" s="15">
        <v>4</v>
      </c>
      <c r="K701" s="45">
        <f t="shared" si="282"/>
        <v>7</v>
      </c>
      <c r="L701" s="28">
        <v>1</v>
      </c>
      <c r="M701" s="33">
        <f t="shared" si="277"/>
        <v>1</v>
      </c>
      <c r="N701" s="1">
        <v>2415681100</v>
      </c>
    </row>
    <row r="702" spans="1:14" ht="18" customHeight="1" x14ac:dyDescent="0.45">
      <c r="A702" s="8">
        <v>696</v>
      </c>
      <c r="B702" s="34" t="s">
        <v>48</v>
      </c>
      <c r="C702" s="34" t="s">
        <v>67</v>
      </c>
      <c r="D702" s="9" t="s">
        <v>3</v>
      </c>
      <c r="E702" s="10">
        <v>1</v>
      </c>
      <c r="F702" s="11">
        <v>13</v>
      </c>
      <c r="G702" s="12">
        <v>13</v>
      </c>
      <c r="H702" s="11">
        <v>13</v>
      </c>
      <c r="I702" s="12">
        <v>13</v>
      </c>
      <c r="J702" s="10">
        <v>26</v>
      </c>
      <c r="K702" s="37">
        <f t="shared" ref="K702" si="299">SUM(M702:M706)</f>
        <v>6</v>
      </c>
      <c r="L702" s="28">
        <v>2</v>
      </c>
      <c r="M702" s="33">
        <f t="shared" si="277"/>
        <v>2</v>
      </c>
      <c r="N702" s="1">
        <v>2415691200</v>
      </c>
    </row>
    <row r="703" spans="1:14" ht="18" customHeight="1" x14ac:dyDescent="0.45">
      <c r="A703" s="8">
        <v>697</v>
      </c>
      <c r="B703" s="35" t="str">
        <f t="shared" ref="B703:C706" si="300">B702</f>
        <v>神奈川静岡本部</v>
      </c>
      <c r="C703" s="35" t="str">
        <f t="shared" si="300"/>
        <v>そんぽの家　伊勢原</v>
      </c>
      <c r="D703" s="9" t="s">
        <v>4</v>
      </c>
      <c r="E703" s="10">
        <v>1</v>
      </c>
      <c r="F703" s="11">
        <v>9</v>
      </c>
      <c r="G703" s="12">
        <v>9</v>
      </c>
      <c r="H703" s="11">
        <v>4</v>
      </c>
      <c r="I703" s="12">
        <v>4</v>
      </c>
      <c r="J703" s="10">
        <v>13</v>
      </c>
      <c r="K703" s="38">
        <f t="shared" si="282"/>
        <v>6</v>
      </c>
      <c r="L703" s="28">
        <v>2</v>
      </c>
      <c r="M703" s="33">
        <f t="shared" si="277"/>
        <v>2</v>
      </c>
      <c r="N703" s="1">
        <v>2415691200</v>
      </c>
    </row>
    <row r="704" spans="1:14" ht="18" customHeight="1" x14ac:dyDescent="0.45">
      <c r="A704" s="8">
        <v>698</v>
      </c>
      <c r="B704" s="35" t="str">
        <f t="shared" si="300"/>
        <v>神奈川静岡本部</v>
      </c>
      <c r="C704" s="35" t="str">
        <f t="shared" si="300"/>
        <v>そんぽの家　伊勢原</v>
      </c>
      <c r="D704" s="9" t="s">
        <v>5</v>
      </c>
      <c r="E704" s="10">
        <v>1</v>
      </c>
      <c r="F704" s="11">
        <v>12</v>
      </c>
      <c r="G704" s="12">
        <v>12</v>
      </c>
      <c r="H704" s="11">
        <v>0</v>
      </c>
      <c r="I704" s="12">
        <v>0</v>
      </c>
      <c r="J704" s="10">
        <v>12</v>
      </c>
      <c r="K704" s="38">
        <f t="shared" si="282"/>
        <v>6</v>
      </c>
      <c r="L704" s="28">
        <v>2</v>
      </c>
      <c r="M704" s="33">
        <f t="shared" si="277"/>
        <v>2</v>
      </c>
      <c r="N704" s="1">
        <v>2415691200</v>
      </c>
    </row>
    <row r="705" spans="1:14" ht="18" customHeight="1" x14ac:dyDescent="0.45">
      <c r="A705" s="8">
        <v>699</v>
      </c>
      <c r="B705" s="35" t="str">
        <f t="shared" si="300"/>
        <v>神奈川静岡本部</v>
      </c>
      <c r="C705" s="35" t="str">
        <f t="shared" si="300"/>
        <v>そんぽの家　伊勢原</v>
      </c>
      <c r="D705" s="9" t="s">
        <v>6</v>
      </c>
      <c r="E705" s="10">
        <v>4</v>
      </c>
      <c r="F705" s="11">
        <v>0</v>
      </c>
      <c r="G705" s="12">
        <v>0</v>
      </c>
      <c r="H705" s="11">
        <v>0</v>
      </c>
      <c r="I705" s="12">
        <v>0</v>
      </c>
      <c r="J705" s="10">
        <v>0</v>
      </c>
      <c r="K705" s="38">
        <f t="shared" si="282"/>
        <v>6</v>
      </c>
      <c r="L705" s="28">
        <v>0</v>
      </c>
      <c r="M705" s="33">
        <f t="shared" si="277"/>
        <v>0</v>
      </c>
      <c r="N705" s="1">
        <v>2415691200</v>
      </c>
    </row>
    <row r="706" spans="1:14" ht="18" customHeight="1" x14ac:dyDescent="0.45">
      <c r="A706" s="8">
        <v>700</v>
      </c>
      <c r="B706" s="36" t="str">
        <f t="shared" si="300"/>
        <v>神奈川静岡本部</v>
      </c>
      <c r="C706" s="36" t="str">
        <f t="shared" si="300"/>
        <v>そんぽの家　伊勢原</v>
      </c>
      <c r="D706" s="9" t="s">
        <v>2</v>
      </c>
      <c r="E706" s="10">
        <v>2</v>
      </c>
      <c r="F706" s="11">
        <v>2</v>
      </c>
      <c r="G706" s="12">
        <v>1</v>
      </c>
      <c r="H706" s="11">
        <v>0</v>
      </c>
      <c r="I706" s="12">
        <v>0</v>
      </c>
      <c r="J706" s="10">
        <v>2</v>
      </c>
      <c r="K706" s="39">
        <f t="shared" si="282"/>
        <v>6</v>
      </c>
      <c r="L706" s="28">
        <v>0</v>
      </c>
      <c r="M706" s="33">
        <f t="shared" si="277"/>
        <v>0</v>
      </c>
      <c r="N706" s="1">
        <v>2415691200</v>
      </c>
    </row>
    <row r="707" spans="1:14" ht="18" customHeight="1" x14ac:dyDescent="0.45">
      <c r="A707" s="13">
        <v>701</v>
      </c>
      <c r="B707" s="40" t="s">
        <v>48</v>
      </c>
      <c r="C707" s="40" t="s">
        <v>268</v>
      </c>
      <c r="D707" s="14" t="s">
        <v>3</v>
      </c>
      <c r="E707" s="15">
        <v>1</v>
      </c>
      <c r="F707" s="16">
        <v>13</v>
      </c>
      <c r="G707" s="17">
        <v>13</v>
      </c>
      <c r="H707" s="16">
        <v>8</v>
      </c>
      <c r="I707" s="17">
        <v>8</v>
      </c>
      <c r="J707" s="15">
        <v>21</v>
      </c>
      <c r="K707" s="43">
        <f t="shared" ref="K707" si="301">SUM(M707:M711)</f>
        <v>4</v>
      </c>
      <c r="L707" s="28">
        <v>2</v>
      </c>
      <c r="M707" s="33">
        <f t="shared" si="277"/>
        <v>2</v>
      </c>
      <c r="N707" s="1">
        <v>2415741100</v>
      </c>
    </row>
    <row r="708" spans="1:14" ht="18" customHeight="1" x14ac:dyDescent="0.45">
      <c r="A708" s="13">
        <v>702</v>
      </c>
      <c r="B708" s="41" t="str">
        <f t="shared" ref="B708:C711" si="302">B707</f>
        <v>神奈川静岡本部</v>
      </c>
      <c r="C708" s="41" t="str">
        <f t="shared" si="302"/>
        <v>ラヴィーレ湘南平塚</v>
      </c>
      <c r="D708" s="14" t="s">
        <v>4</v>
      </c>
      <c r="E708" s="15">
        <v>2</v>
      </c>
      <c r="F708" s="16">
        <v>5</v>
      </c>
      <c r="G708" s="17">
        <v>2.5</v>
      </c>
      <c r="H708" s="16">
        <v>1</v>
      </c>
      <c r="I708" s="17">
        <v>0.5</v>
      </c>
      <c r="J708" s="15">
        <v>6</v>
      </c>
      <c r="K708" s="44">
        <f t="shared" si="282"/>
        <v>4</v>
      </c>
      <c r="L708" s="28">
        <v>1</v>
      </c>
      <c r="M708" s="33">
        <f t="shared" si="277"/>
        <v>1</v>
      </c>
      <c r="N708" s="1">
        <v>2415741100</v>
      </c>
    </row>
    <row r="709" spans="1:14" ht="18" customHeight="1" x14ac:dyDescent="0.45">
      <c r="A709" s="13">
        <v>703</v>
      </c>
      <c r="B709" s="41" t="str">
        <f t="shared" si="302"/>
        <v>神奈川静岡本部</v>
      </c>
      <c r="C709" s="41" t="str">
        <f t="shared" si="302"/>
        <v>ラヴィーレ湘南平塚</v>
      </c>
      <c r="D709" s="14" t="s">
        <v>5</v>
      </c>
      <c r="E709" s="15">
        <v>2</v>
      </c>
      <c r="F709" s="16">
        <v>5</v>
      </c>
      <c r="G709" s="17">
        <v>2.5</v>
      </c>
      <c r="H709" s="16">
        <v>0</v>
      </c>
      <c r="I709" s="17">
        <v>0</v>
      </c>
      <c r="J709" s="15">
        <v>5</v>
      </c>
      <c r="K709" s="44">
        <f t="shared" si="282"/>
        <v>4</v>
      </c>
      <c r="L709" s="28">
        <v>1</v>
      </c>
      <c r="M709" s="33">
        <f t="shared" si="277"/>
        <v>1</v>
      </c>
      <c r="N709" s="1">
        <v>2415741100</v>
      </c>
    </row>
    <row r="710" spans="1:14" ht="18" customHeight="1" x14ac:dyDescent="0.45">
      <c r="A710" s="13">
        <v>704</v>
      </c>
      <c r="B710" s="41" t="str">
        <f t="shared" si="302"/>
        <v>神奈川静岡本部</v>
      </c>
      <c r="C710" s="41" t="str">
        <f t="shared" si="302"/>
        <v>ラヴィーレ湘南平塚</v>
      </c>
      <c r="D710" s="14" t="s">
        <v>6</v>
      </c>
      <c r="E710" s="15">
        <v>9</v>
      </c>
      <c r="F710" s="16">
        <v>0</v>
      </c>
      <c r="G710" s="17">
        <v>0</v>
      </c>
      <c r="H710" s="16">
        <v>0</v>
      </c>
      <c r="I710" s="17">
        <v>0</v>
      </c>
      <c r="J710" s="15">
        <v>0</v>
      </c>
      <c r="K710" s="44">
        <f t="shared" si="282"/>
        <v>4</v>
      </c>
      <c r="L710" s="28">
        <v>0</v>
      </c>
      <c r="M710" s="33">
        <f t="shared" si="277"/>
        <v>0</v>
      </c>
      <c r="N710" s="1">
        <v>2415741100</v>
      </c>
    </row>
    <row r="711" spans="1:14" ht="18" customHeight="1" x14ac:dyDescent="0.45">
      <c r="A711" s="13">
        <v>705</v>
      </c>
      <c r="B711" s="42" t="str">
        <f t="shared" si="302"/>
        <v>神奈川静岡本部</v>
      </c>
      <c r="C711" s="42" t="str">
        <f t="shared" si="302"/>
        <v>ラヴィーレ湘南平塚</v>
      </c>
      <c r="D711" s="14" t="s">
        <v>2</v>
      </c>
      <c r="E711" s="15">
        <v>0</v>
      </c>
      <c r="F711" s="16">
        <v>0</v>
      </c>
      <c r="G711" s="17">
        <v>0</v>
      </c>
      <c r="H711" s="16">
        <v>0</v>
      </c>
      <c r="I711" s="17">
        <v>0</v>
      </c>
      <c r="J711" s="15">
        <v>0</v>
      </c>
      <c r="K711" s="45">
        <f t="shared" si="282"/>
        <v>4</v>
      </c>
      <c r="L711" s="28">
        <v>0</v>
      </c>
      <c r="M711" s="33">
        <f t="shared" si="277"/>
        <v>0</v>
      </c>
      <c r="N711" s="1">
        <v>2415741100</v>
      </c>
    </row>
    <row r="712" spans="1:14" ht="18" customHeight="1" x14ac:dyDescent="0.45">
      <c r="A712" s="8">
        <v>706</v>
      </c>
      <c r="B712" s="34" t="s">
        <v>48</v>
      </c>
      <c r="C712" s="34" t="s">
        <v>269</v>
      </c>
      <c r="D712" s="9" t="s">
        <v>3</v>
      </c>
      <c r="E712" s="10">
        <v>1</v>
      </c>
      <c r="F712" s="11">
        <v>28</v>
      </c>
      <c r="G712" s="12">
        <v>28</v>
      </c>
      <c r="H712" s="11">
        <v>29</v>
      </c>
      <c r="I712" s="12">
        <v>29</v>
      </c>
      <c r="J712" s="10">
        <v>57</v>
      </c>
      <c r="K712" s="37">
        <f t="shared" ref="K712" si="303">SUM(M712:M716)</f>
        <v>9</v>
      </c>
      <c r="L712" s="28">
        <v>2</v>
      </c>
      <c r="M712" s="33">
        <f t="shared" ref="M712:M775" si="304">L712</f>
        <v>2</v>
      </c>
      <c r="N712" s="1">
        <v>2415751100</v>
      </c>
    </row>
    <row r="713" spans="1:14" ht="18" customHeight="1" x14ac:dyDescent="0.45">
      <c r="A713" s="8">
        <v>707</v>
      </c>
      <c r="B713" s="35" t="str">
        <f t="shared" ref="B713:C716" si="305">B712</f>
        <v>神奈川静岡本部</v>
      </c>
      <c r="C713" s="35" t="str">
        <f t="shared" si="305"/>
        <v>ラヴィーレ湘南平塚弐番館</v>
      </c>
      <c r="D713" s="9" t="s">
        <v>4</v>
      </c>
      <c r="E713" s="10">
        <v>1</v>
      </c>
      <c r="F713" s="11">
        <v>5</v>
      </c>
      <c r="G713" s="12">
        <v>5</v>
      </c>
      <c r="H713" s="11">
        <v>0</v>
      </c>
      <c r="I713" s="12">
        <v>0</v>
      </c>
      <c r="J713" s="10">
        <v>5</v>
      </c>
      <c r="K713" s="38">
        <f t="shared" si="282"/>
        <v>9</v>
      </c>
      <c r="L713" s="28">
        <v>1</v>
      </c>
      <c r="M713" s="33">
        <f t="shared" si="304"/>
        <v>1</v>
      </c>
      <c r="N713" s="1">
        <v>2415751100</v>
      </c>
    </row>
    <row r="714" spans="1:14" ht="18" customHeight="1" x14ac:dyDescent="0.45">
      <c r="A714" s="8">
        <v>708</v>
      </c>
      <c r="B714" s="35" t="str">
        <f t="shared" si="305"/>
        <v>神奈川静岡本部</v>
      </c>
      <c r="C714" s="35" t="str">
        <f t="shared" si="305"/>
        <v>ラヴィーレ湘南平塚弐番館</v>
      </c>
      <c r="D714" s="9" t="s">
        <v>5</v>
      </c>
      <c r="E714" s="10">
        <v>2</v>
      </c>
      <c r="F714" s="11">
        <v>24</v>
      </c>
      <c r="G714" s="12">
        <v>12</v>
      </c>
      <c r="H714" s="11">
        <v>0</v>
      </c>
      <c r="I714" s="12">
        <v>0</v>
      </c>
      <c r="J714" s="10">
        <v>24</v>
      </c>
      <c r="K714" s="38">
        <f t="shared" si="282"/>
        <v>9</v>
      </c>
      <c r="L714" s="28">
        <v>2</v>
      </c>
      <c r="M714" s="33">
        <f t="shared" si="304"/>
        <v>2</v>
      </c>
      <c r="N714" s="1">
        <v>2415751100</v>
      </c>
    </row>
    <row r="715" spans="1:14" ht="18" customHeight="1" x14ac:dyDescent="0.45">
      <c r="A715" s="8">
        <v>709</v>
      </c>
      <c r="B715" s="35" t="str">
        <f t="shared" si="305"/>
        <v>神奈川静岡本部</v>
      </c>
      <c r="C715" s="35" t="str">
        <f t="shared" si="305"/>
        <v>ラヴィーレ湘南平塚弐番館</v>
      </c>
      <c r="D715" s="9" t="s">
        <v>6</v>
      </c>
      <c r="E715" s="10">
        <v>3</v>
      </c>
      <c r="F715" s="11">
        <v>17</v>
      </c>
      <c r="G715" s="12">
        <v>5.7</v>
      </c>
      <c r="H715" s="11">
        <v>0</v>
      </c>
      <c r="I715" s="12">
        <v>0</v>
      </c>
      <c r="J715" s="10">
        <v>17</v>
      </c>
      <c r="K715" s="38">
        <f t="shared" si="282"/>
        <v>9</v>
      </c>
      <c r="L715" s="28">
        <v>2</v>
      </c>
      <c r="M715" s="33">
        <f t="shared" si="304"/>
        <v>2</v>
      </c>
      <c r="N715" s="1">
        <v>2415751100</v>
      </c>
    </row>
    <row r="716" spans="1:14" ht="18" customHeight="1" x14ac:dyDescent="0.45">
      <c r="A716" s="8">
        <v>710</v>
      </c>
      <c r="B716" s="36" t="str">
        <f t="shared" si="305"/>
        <v>神奈川静岡本部</v>
      </c>
      <c r="C716" s="36" t="str">
        <f t="shared" si="305"/>
        <v>ラヴィーレ湘南平塚弐番館</v>
      </c>
      <c r="D716" s="9" t="s">
        <v>2</v>
      </c>
      <c r="E716" s="10">
        <v>3</v>
      </c>
      <c r="F716" s="11">
        <v>13</v>
      </c>
      <c r="G716" s="12">
        <v>4.3</v>
      </c>
      <c r="H716" s="11">
        <v>0</v>
      </c>
      <c r="I716" s="12">
        <v>0</v>
      </c>
      <c r="J716" s="10">
        <v>13</v>
      </c>
      <c r="K716" s="39">
        <f t="shared" si="282"/>
        <v>9</v>
      </c>
      <c r="L716" s="28">
        <v>2</v>
      </c>
      <c r="M716" s="33">
        <f t="shared" si="304"/>
        <v>2</v>
      </c>
      <c r="N716" s="1">
        <v>2415751100</v>
      </c>
    </row>
    <row r="717" spans="1:14" ht="18" customHeight="1" x14ac:dyDescent="0.45">
      <c r="A717" s="13">
        <v>711</v>
      </c>
      <c r="B717" s="40" t="s">
        <v>48</v>
      </c>
      <c r="C717" s="40" t="s">
        <v>68</v>
      </c>
      <c r="D717" s="14" t="s">
        <v>3</v>
      </c>
      <c r="E717" s="15">
        <v>1</v>
      </c>
      <c r="F717" s="16">
        <v>8</v>
      </c>
      <c r="G717" s="17">
        <v>8</v>
      </c>
      <c r="H717" s="16">
        <v>3</v>
      </c>
      <c r="I717" s="17">
        <v>3</v>
      </c>
      <c r="J717" s="15">
        <v>11</v>
      </c>
      <c r="K717" s="43">
        <f t="shared" ref="K717" si="306">SUM(M717:M721)</f>
        <v>8</v>
      </c>
      <c r="L717" s="28">
        <v>2</v>
      </c>
      <c r="M717" s="33">
        <f t="shared" si="304"/>
        <v>2</v>
      </c>
      <c r="N717" s="1">
        <v>2415771200</v>
      </c>
    </row>
    <row r="718" spans="1:14" ht="18" customHeight="1" x14ac:dyDescent="0.45">
      <c r="A718" s="13">
        <v>712</v>
      </c>
      <c r="B718" s="41" t="str">
        <f t="shared" ref="B718:C721" si="307">B717</f>
        <v>神奈川静岡本部</v>
      </c>
      <c r="C718" s="41" t="str">
        <f t="shared" si="307"/>
        <v>そんぽの家　鴨宮</v>
      </c>
      <c r="D718" s="14" t="s">
        <v>4</v>
      </c>
      <c r="E718" s="15">
        <v>1</v>
      </c>
      <c r="F718" s="16">
        <v>6</v>
      </c>
      <c r="G718" s="17">
        <v>6</v>
      </c>
      <c r="H718" s="16">
        <v>3</v>
      </c>
      <c r="I718" s="17">
        <v>3</v>
      </c>
      <c r="J718" s="15">
        <v>9</v>
      </c>
      <c r="K718" s="44">
        <f t="shared" si="282"/>
        <v>8</v>
      </c>
      <c r="L718" s="28">
        <v>2</v>
      </c>
      <c r="M718" s="33">
        <f t="shared" si="304"/>
        <v>2</v>
      </c>
      <c r="N718" s="1">
        <v>2415771200</v>
      </c>
    </row>
    <row r="719" spans="1:14" ht="18" customHeight="1" x14ac:dyDescent="0.45">
      <c r="A719" s="13">
        <v>713</v>
      </c>
      <c r="B719" s="41" t="str">
        <f t="shared" si="307"/>
        <v>神奈川静岡本部</v>
      </c>
      <c r="C719" s="41" t="str">
        <f t="shared" si="307"/>
        <v>そんぽの家　鴨宮</v>
      </c>
      <c r="D719" s="14" t="s">
        <v>5</v>
      </c>
      <c r="E719" s="15">
        <v>2</v>
      </c>
      <c r="F719" s="16">
        <v>71</v>
      </c>
      <c r="G719" s="17">
        <v>35.5</v>
      </c>
      <c r="H719" s="16">
        <v>0</v>
      </c>
      <c r="I719" s="17">
        <v>0</v>
      </c>
      <c r="J719" s="15">
        <v>71</v>
      </c>
      <c r="K719" s="44">
        <f t="shared" si="282"/>
        <v>8</v>
      </c>
      <c r="L719" s="28">
        <v>2</v>
      </c>
      <c r="M719" s="33">
        <f t="shared" si="304"/>
        <v>2</v>
      </c>
      <c r="N719" s="1">
        <v>2415771200</v>
      </c>
    </row>
    <row r="720" spans="1:14" ht="18" customHeight="1" x14ac:dyDescent="0.45">
      <c r="A720" s="13">
        <v>714</v>
      </c>
      <c r="B720" s="41" t="str">
        <f t="shared" si="307"/>
        <v>神奈川静岡本部</v>
      </c>
      <c r="C720" s="41" t="str">
        <f t="shared" si="307"/>
        <v>そんぽの家　鴨宮</v>
      </c>
      <c r="D720" s="14" t="s">
        <v>6</v>
      </c>
      <c r="E720" s="15">
        <v>3</v>
      </c>
      <c r="F720" s="16">
        <v>0</v>
      </c>
      <c r="G720" s="17">
        <v>0</v>
      </c>
      <c r="H720" s="16">
        <v>0</v>
      </c>
      <c r="I720" s="17">
        <v>0</v>
      </c>
      <c r="J720" s="15">
        <v>0</v>
      </c>
      <c r="K720" s="44">
        <f t="shared" si="282"/>
        <v>8</v>
      </c>
      <c r="L720" s="28">
        <v>0</v>
      </c>
      <c r="M720" s="33">
        <f t="shared" si="304"/>
        <v>0</v>
      </c>
      <c r="N720" s="1">
        <v>2415771200</v>
      </c>
    </row>
    <row r="721" spans="1:14" ht="18" customHeight="1" x14ac:dyDescent="0.45">
      <c r="A721" s="13">
        <v>715</v>
      </c>
      <c r="B721" s="42" t="str">
        <f t="shared" si="307"/>
        <v>神奈川静岡本部</v>
      </c>
      <c r="C721" s="42" t="str">
        <f t="shared" si="307"/>
        <v>そんぽの家　鴨宮</v>
      </c>
      <c r="D721" s="14" t="s">
        <v>2</v>
      </c>
      <c r="E721" s="15">
        <v>1</v>
      </c>
      <c r="F721" s="16">
        <v>26</v>
      </c>
      <c r="G721" s="17">
        <v>26</v>
      </c>
      <c r="H721" s="16">
        <v>0</v>
      </c>
      <c r="I721" s="17">
        <v>0</v>
      </c>
      <c r="J721" s="15">
        <v>26</v>
      </c>
      <c r="K721" s="45">
        <f t="shared" si="282"/>
        <v>8</v>
      </c>
      <c r="L721" s="28">
        <v>2</v>
      </c>
      <c r="M721" s="33">
        <f t="shared" si="304"/>
        <v>2</v>
      </c>
      <c r="N721" s="1">
        <v>2415771200</v>
      </c>
    </row>
    <row r="722" spans="1:14" ht="18" customHeight="1" x14ac:dyDescent="0.45">
      <c r="A722" s="8">
        <v>716</v>
      </c>
      <c r="B722" s="34" t="s">
        <v>48</v>
      </c>
      <c r="C722" s="34" t="s">
        <v>270</v>
      </c>
      <c r="D722" s="9" t="s">
        <v>3</v>
      </c>
      <c r="E722" s="10">
        <v>1</v>
      </c>
      <c r="F722" s="11">
        <v>0</v>
      </c>
      <c r="G722" s="12">
        <v>0</v>
      </c>
      <c r="H722" s="11">
        <v>0</v>
      </c>
      <c r="I722" s="12">
        <v>0</v>
      </c>
      <c r="J722" s="10">
        <v>0</v>
      </c>
      <c r="K722" s="37">
        <f t="shared" ref="K722" si="308">SUM(M722:M726)</f>
        <v>2</v>
      </c>
      <c r="L722" s="28">
        <v>0</v>
      </c>
      <c r="M722" s="33">
        <f t="shared" si="304"/>
        <v>0</v>
      </c>
      <c r="N722" s="1">
        <v>2415781100</v>
      </c>
    </row>
    <row r="723" spans="1:14" ht="18" customHeight="1" x14ac:dyDescent="0.45">
      <c r="A723" s="8">
        <v>717</v>
      </c>
      <c r="B723" s="35" t="str">
        <f t="shared" ref="B723:C726" si="309">B722</f>
        <v>神奈川静岡本部</v>
      </c>
      <c r="C723" s="35" t="str">
        <f t="shared" si="309"/>
        <v>ラヴィーレ小田原</v>
      </c>
      <c r="D723" s="9" t="s">
        <v>4</v>
      </c>
      <c r="E723" s="10">
        <v>1</v>
      </c>
      <c r="F723" s="11">
        <v>12</v>
      </c>
      <c r="G723" s="12">
        <v>12</v>
      </c>
      <c r="H723" s="11">
        <v>1</v>
      </c>
      <c r="I723" s="12">
        <v>1</v>
      </c>
      <c r="J723" s="10">
        <v>13</v>
      </c>
      <c r="K723" s="38">
        <f t="shared" ref="K723:K786" si="310">K722</f>
        <v>2</v>
      </c>
      <c r="L723" s="28">
        <v>2</v>
      </c>
      <c r="M723" s="33">
        <f t="shared" si="304"/>
        <v>2</v>
      </c>
      <c r="N723" s="1">
        <v>2415781100</v>
      </c>
    </row>
    <row r="724" spans="1:14" ht="18" customHeight="1" x14ac:dyDescent="0.45">
      <c r="A724" s="8">
        <v>718</v>
      </c>
      <c r="B724" s="35" t="str">
        <f t="shared" si="309"/>
        <v>神奈川静岡本部</v>
      </c>
      <c r="C724" s="35" t="str">
        <f t="shared" si="309"/>
        <v>ラヴィーレ小田原</v>
      </c>
      <c r="D724" s="9" t="s">
        <v>5</v>
      </c>
      <c r="E724" s="10">
        <v>2</v>
      </c>
      <c r="F724" s="11">
        <v>2</v>
      </c>
      <c r="G724" s="12">
        <v>1</v>
      </c>
      <c r="H724" s="11">
        <v>0</v>
      </c>
      <c r="I724" s="12">
        <v>0</v>
      </c>
      <c r="J724" s="10">
        <v>2</v>
      </c>
      <c r="K724" s="38">
        <f t="shared" si="310"/>
        <v>2</v>
      </c>
      <c r="L724" s="28">
        <v>0</v>
      </c>
      <c r="M724" s="33">
        <f t="shared" si="304"/>
        <v>0</v>
      </c>
      <c r="N724" s="1">
        <v>2415781100</v>
      </c>
    </row>
    <row r="725" spans="1:14" ht="18" customHeight="1" x14ac:dyDescent="0.45">
      <c r="A725" s="8">
        <v>719</v>
      </c>
      <c r="B725" s="35" t="str">
        <f t="shared" si="309"/>
        <v>神奈川静岡本部</v>
      </c>
      <c r="C725" s="35" t="str">
        <f t="shared" si="309"/>
        <v>ラヴィーレ小田原</v>
      </c>
      <c r="D725" s="9" t="s">
        <v>6</v>
      </c>
      <c r="E725" s="10">
        <v>5</v>
      </c>
      <c r="F725" s="11">
        <v>0</v>
      </c>
      <c r="G725" s="12">
        <v>0</v>
      </c>
      <c r="H725" s="11">
        <v>0</v>
      </c>
      <c r="I725" s="12">
        <v>0</v>
      </c>
      <c r="J725" s="10">
        <v>0</v>
      </c>
      <c r="K725" s="38">
        <f t="shared" si="310"/>
        <v>2</v>
      </c>
      <c r="L725" s="28">
        <v>0</v>
      </c>
      <c r="M725" s="33">
        <f t="shared" si="304"/>
        <v>0</v>
      </c>
      <c r="N725" s="1">
        <v>2415781100</v>
      </c>
    </row>
    <row r="726" spans="1:14" ht="18" customHeight="1" x14ac:dyDescent="0.45">
      <c r="A726" s="8">
        <v>720</v>
      </c>
      <c r="B726" s="36" t="str">
        <f t="shared" si="309"/>
        <v>神奈川静岡本部</v>
      </c>
      <c r="C726" s="36" t="str">
        <f t="shared" si="309"/>
        <v>ラヴィーレ小田原</v>
      </c>
      <c r="D726" s="9" t="s">
        <v>2</v>
      </c>
      <c r="E726" s="10">
        <v>2</v>
      </c>
      <c r="F726" s="11">
        <v>1</v>
      </c>
      <c r="G726" s="12">
        <v>0.5</v>
      </c>
      <c r="H726" s="11">
        <v>0</v>
      </c>
      <c r="I726" s="12">
        <v>0</v>
      </c>
      <c r="J726" s="10">
        <v>1</v>
      </c>
      <c r="K726" s="39">
        <f t="shared" si="310"/>
        <v>2</v>
      </c>
      <c r="L726" s="28">
        <v>0</v>
      </c>
      <c r="M726" s="33">
        <f t="shared" si="304"/>
        <v>0</v>
      </c>
      <c r="N726" s="1">
        <v>2415781100</v>
      </c>
    </row>
    <row r="727" spans="1:14" ht="18" customHeight="1" x14ac:dyDescent="0.45">
      <c r="A727" s="13">
        <v>721</v>
      </c>
      <c r="B727" s="40" t="s">
        <v>48</v>
      </c>
      <c r="C727" s="40" t="s">
        <v>271</v>
      </c>
      <c r="D727" s="14" t="s">
        <v>3</v>
      </c>
      <c r="E727" s="15">
        <v>1</v>
      </c>
      <c r="F727" s="16">
        <v>24</v>
      </c>
      <c r="G727" s="17">
        <v>24</v>
      </c>
      <c r="H727" s="16">
        <v>13</v>
      </c>
      <c r="I727" s="17">
        <v>13</v>
      </c>
      <c r="J727" s="15">
        <v>37</v>
      </c>
      <c r="K727" s="43">
        <f t="shared" ref="K727" si="311">SUM(M727:M731)</f>
        <v>6</v>
      </c>
      <c r="L727" s="28">
        <v>2</v>
      </c>
      <c r="M727" s="33">
        <f t="shared" si="304"/>
        <v>2</v>
      </c>
      <c r="N727" s="1">
        <v>2415791100</v>
      </c>
    </row>
    <row r="728" spans="1:14" ht="18" customHeight="1" x14ac:dyDescent="0.45">
      <c r="A728" s="13">
        <v>722</v>
      </c>
      <c r="B728" s="41" t="str">
        <f t="shared" ref="B728:C731" si="312">B727</f>
        <v>神奈川静岡本部</v>
      </c>
      <c r="C728" s="41" t="str">
        <f t="shared" si="312"/>
        <v>ラヴィーレ小田原弐番館</v>
      </c>
      <c r="D728" s="14" t="s">
        <v>4</v>
      </c>
      <c r="E728" s="15">
        <v>2</v>
      </c>
      <c r="F728" s="16">
        <v>4</v>
      </c>
      <c r="G728" s="17">
        <v>2</v>
      </c>
      <c r="H728" s="16">
        <v>0</v>
      </c>
      <c r="I728" s="17">
        <v>0</v>
      </c>
      <c r="J728" s="15">
        <v>4</v>
      </c>
      <c r="K728" s="44">
        <f t="shared" si="310"/>
        <v>6</v>
      </c>
      <c r="L728" s="28">
        <v>1</v>
      </c>
      <c r="M728" s="33">
        <f t="shared" si="304"/>
        <v>1</v>
      </c>
      <c r="N728" s="1">
        <v>2415791100</v>
      </c>
    </row>
    <row r="729" spans="1:14" ht="18" customHeight="1" x14ac:dyDescent="0.45">
      <c r="A729" s="13">
        <v>723</v>
      </c>
      <c r="B729" s="41" t="str">
        <f t="shared" si="312"/>
        <v>神奈川静岡本部</v>
      </c>
      <c r="C729" s="41" t="str">
        <f t="shared" si="312"/>
        <v>ラヴィーレ小田原弐番館</v>
      </c>
      <c r="D729" s="14" t="s">
        <v>5</v>
      </c>
      <c r="E729" s="15">
        <v>3</v>
      </c>
      <c r="F729" s="16">
        <v>69</v>
      </c>
      <c r="G729" s="17">
        <v>23</v>
      </c>
      <c r="H729" s="16">
        <v>0</v>
      </c>
      <c r="I729" s="17">
        <v>0</v>
      </c>
      <c r="J729" s="15">
        <v>69</v>
      </c>
      <c r="K729" s="44">
        <f t="shared" si="310"/>
        <v>6</v>
      </c>
      <c r="L729" s="28">
        <v>2</v>
      </c>
      <c r="M729" s="33">
        <f t="shared" si="304"/>
        <v>2</v>
      </c>
      <c r="N729" s="1">
        <v>2415791100</v>
      </c>
    </row>
    <row r="730" spans="1:14" ht="18" customHeight="1" x14ac:dyDescent="0.45">
      <c r="A730" s="13">
        <v>724</v>
      </c>
      <c r="B730" s="41" t="str">
        <f t="shared" si="312"/>
        <v>神奈川静岡本部</v>
      </c>
      <c r="C730" s="41" t="str">
        <f t="shared" si="312"/>
        <v>ラヴィーレ小田原弐番館</v>
      </c>
      <c r="D730" s="14" t="s">
        <v>6</v>
      </c>
      <c r="E730" s="15">
        <v>5</v>
      </c>
      <c r="F730" s="16">
        <v>4</v>
      </c>
      <c r="G730" s="17">
        <v>0.8</v>
      </c>
      <c r="H730" s="16">
        <v>0</v>
      </c>
      <c r="I730" s="17">
        <v>0</v>
      </c>
      <c r="J730" s="15">
        <v>4</v>
      </c>
      <c r="K730" s="44">
        <f t="shared" si="310"/>
        <v>6</v>
      </c>
      <c r="L730" s="28">
        <v>1</v>
      </c>
      <c r="M730" s="33">
        <f t="shared" si="304"/>
        <v>1</v>
      </c>
      <c r="N730" s="1">
        <v>2415791100</v>
      </c>
    </row>
    <row r="731" spans="1:14" ht="18" customHeight="1" x14ac:dyDescent="0.45">
      <c r="A731" s="13">
        <v>725</v>
      </c>
      <c r="B731" s="42" t="str">
        <f t="shared" si="312"/>
        <v>神奈川静岡本部</v>
      </c>
      <c r="C731" s="42" t="str">
        <f t="shared" si="312"/>
        <v>ラヴィーレ小田原弐番館</v>
      </c>
      <c r="D731" s="14" t="s">
        <v>2</v>
      </c>
      <c r="E731" s="15">
        <v>2</v>
      </c>
      <c r="F731" s="16">
        <v>0</v>
      </c>
      <c r="G731" s="17">
        <v>0</v>
      </c>
      <c r="H731" s="16">
        <v>0</v>
      </c>
      <c r="I731" s="17">
        <v>0</v>
      </c>
      <c r="J731" s="15">
        <v>0</v>
      </c>
      <c r="K731" s="45">
        <f t="shared" si="310"/>
        <v>6</v>
      </c>
      <c r="L731" s="28">
        <v>0</v>
      </c>
      <c r="M731" s="33">
        <f t="shared" si="304"/>
        <v>0</v>
      </c>
      <c r="N731" s="1">
        <v>2415791100</v>
      </c>
    </row>
    <row r="732" spans="1:14" ht="18" customHeight="1" x14ac:dyDescent="0.45">
      <c r="A732" s="8">
        <v>726</v>
      </c>
      <c r="B732" s="34" t="s">
        <v>48</v>
      </c>
      <c r="C732" s="34" t="s">
        <v>272</v>
      </c>
      <c r="D732" s="9" t="s">
        <v>3</v>
      </c>
      <c r="E732" s="10">
        <v>1</v>
      </c>
      <c r="F732" s="11">
        <v>0</v>
      </c>
      <c r="G732" s="12">
        <v>0</v>
      </c>
      <c r="H732" s="11">
        <v>0</v>
      </c>
      <c r="I732" s="12">
        <v>0</v>
      </c>
      <c r="J732" s="10">
        <v>0</v>
      </c>
      <c r="K732" s="37">
        <f t="shared" ref="K732" si="313">SUM(M732:M736)</f>
        <v>6</v>
      </c>
      <c r="L732" s="28">
        <v>0</v>
      </c>
      <c r="M732" s="33">
        <f t="shared" si="304"/>
        <v>0</v>
      </c>
      <c r="N732" s="1">
        <v>2415801100</v>
      </c>
    </row>
    <row r="733" spans="1:14" ht="18" customHeight="1" x14ac:dyDescent="0.45">
      <c r="A733" s="8">
        <v>727</v>
      </c>
      <c r="B733" s="35" t="str">
        <f t="shared" ref="B733:C736" si="314">B732</f>
        <v>神奈川静岡本部</v>
      </c>
      <c r="C733" s="35" t="str">
        <f t="shared" si="314"/>
        <v>ラヴィーレ大磯</v>
      </c>
      <c r="D733" s="9" t="s">
        <v>4</v>
      </c>
      <c r="E733" s="10">
        <v>1</v>
      </c>
      <c r="F733" s="11">
        <v>7</v>
      </c>
      <c r="G733" s="12">
        <v>7</v>
      </c>
      <c r="H733" s="11">
        <v>4</v>
      </c>
      <c r="I733" s="12">
        <v>4</v>
      </c>
      <c r="J733" s="10">
        <v>11</v>
      </c>
      <c r="K733" s="38">
        <f t="shared" si="310"/>
        <v>6</v>
      </c>
      <c r="L733" s="28">
        <v>2</v>
      </c>
      <c r="M733" s="33">
        <f t="shared" si="304"/>
        <v>2</v>
      </c>
      <c r="N733" s="1">
        <v>2415801100</v>
      </c>
    </row>
    <row r="734" spans="1:14" ht="18" customHeight="1" x14ac:dyDescent="0.45">
      <c r="A734" s="8">
        <v>728</v>
      </c>
      <c r="B734" s="35" t="str">
        <f t="shared" si="314"/>
        <v>神奈川静岡本部</v>
      </c>
      <c r="C734" s="35" t="str">
        <f t="shared" si="314"/>
        <v>ラヴィーレ大磯</v>
      </c>
      <c r="D734" s="9" t="s">
        <v>5</v>
      </c>
      <c r="E734" s="10">
        <v>2</v>
      </c>
      <c r="F734" s="11">
        <v>53</v>
      </c>
      <c r="G734" s="12">
        <v>26.5</v>
      </c>
      <c r="H734" s="11">
        <v>0</v>
      </c>
      <c r="I734" s="12">
        <v>0</v>
      </c>
      <c r="J734" s="10">
        <v>53</v>
      </c>
      <c r="K734" s="38">
        <f t="shared" si="310"/>
        <v>6</v>
      </c>
      <c r="L734" s="28">
        <v>2</v>
      </c>
      <c r="M734" s="33">
        <f t="shared" si="304"/>
        <v>2</v>
      </c>
      <c r="N734" s="1">
        <v>2415801100</v>
      </c>
    </row>
    <row r="735" spans="1:14" ht="18" customHeight="1" x14ac:dyDescent="0.45">
      <c r="A735" s="8">
        <v>729</v>
      </c>
      <c r="B735" s="35" t="str">
        <f t="shared" si="314"/>
        <v>神奈川静岡本部</v>
      </c>
      <c r="C735" s="35" t="str">
        <f t="shared" si="314"/>
        <v>ラヴィーレ大磯</v>
      </c>
      <c r="D735" s="9" t="s">
        <v>6</v>
      </c>
      <c r="E735" s="10">
        <v>4</v>
      </c>
      <c r="F735" s="11">
        <v>0</v>
      </c>
      <c r="G735" s="12">
        <v>0</v>
      </c>
      <c r="H735" s="11">
        <v>0</v>
      </c>
      <c r="I735" s="12">
        <v>0</v>
      </c>
      <c r="J735" s="10">
        <v>0</v>
      </c>
      <c r="K735" s="38">
        <f t="shared" si="310"/>
        <v>6</v>
      </c>
      <c r="L735" s="28">
        <v>0</v>
      </c>
      <c r="M735" s="33">
        <f t="shared" si="304"/>
        <v>0</v>
      </c>
      <c r="N735" s="1">
        <v>2415801100</v>
      </c>
    </row>
    <row r="736" spans="1:14" ht="18" customHeight="1" x14ac:dyDescent="0.45">
      <c r="A736" s="8">
        <v>730</v>
      </c>
      <c r="B736" s="36" t="str">
        <f t="shared" si="314"/>
        <v>神奈川静岡本部</v>
      </c>
      <c r="C736" s="36" t="str">
        <f t="shared" si="314"/>
        <v>ラヴィーレ大磯</v>
      </c>
      <c r="D736" s="9" t="s">
        <v>2</v>
      </c>
      <c r="E736" s="10">
        <v>2</v>
      </c>
      <c r="F736" s="11">
        <v>45</v>
      </c>
      <c r="G736" s="12">
        <v>22.5</v>
      </c>
      <c r="H736" s="11">
        <v>0</v>
      </c>
      <c r="I736" s="12">
        <v>0</v>
      </c>
      <c r="J736" s="10">
        <v>45</v>
      </c>
      <c r="K736" s="39">
        <f t="shared" si="310"/>
        <v>6</v>
      </c>
      <c r="L736" s="28">
        <v>2</v>
      </c>
      <c r="M736" s="33">
        <f t="shared" si="304"/>
        <v>2</v>
      </c>
      <c r="N736" s="1">
        <v>2415801100</v>
      </c>
    </row>
    <row r="737" spans="1:14" ht="18" customHeight="1" x14ac:dyDescent="0.45">
      <c r="A737" s="13">
        <v>731</v>
      </c>
      <c r="B737" s="40" t="s">
        <v>48</v>
      </c>
      <c r="C737" s="40" t="s">
        <v>273</v>
      </c>
      <c r="D737" s="14" t="s">
        <v>3</v>
      </c>
      <c r="E737" s="15">
        <v>1</v>
      </c>
      <c r="F737" s="16">
        <v>10</v>
      </c>
      <c r="G737" s="17">
        <v>10</v>
      </c>
      <c r="H737" s="16">
        <v>3</v>
      </c>
      <c r="I737" s="17">
        <v>3</v>
      </c>
      <c r="J737" s="15">
        <v>13</v>
      </c>
      <c r="K737" s="43">
        <f t="shared" ref="K737" si="315">SUM(M737:M741)</f>
        <v>7</v>
      </c>
      <c r="L737" s="28">
        <v>2</v>
      </c>
      <c r="M737" s="33">
        <f t="shared" si="304"/>
        <v>2</v>
      </c>
      <c r="N737" s="1">
        <v>2418321100</v>
      </c>
    </row>
    <row r="738" spans="1:14" ht="18" customHeight="1" x14ac:dyDescent="0.45">
      <c r="A738" s="13">
        <v>732</v>
      </c>
      <c r="B738" s="41" t="str">
        <f t="shared" ref="B738:C741" si="316">B737</f>
        <v>神奈川静岡本部</v>
      </c>
      <c r="C738" s="41" t="str">
        <f t="shared" si="316"/>
        <v>ラヴィーレ多摩川桜並木</v>
      </c>
      <c r="D738" s="14" t="s">
        <v>4</v>
      </c>
      <c r="E738" s="15">
        <v>1</v>
      </c>
      <c r="F738" s="16">
        <v>3</v>
      </c>
      <c r="G738" s="17">
        <v>3</v>
      </c>
      <c r="H738" s="16">
        <v>2</v>
      </c>
      <c r="I738" s="17">
        <v>2</v>
      </c>
      <c r="J738" s="15">
        <v>5</v>
      </c>
      <c r="K738" s="44">
        <f t="shared" si="310"/>
        <v>7</v>
      </c>
      <c r="L738" s="28">
        <v>1</v>
      </c>
      <c r="M738" s="33">
        <f t="shared" si="304"/>
        <v>1</v>
      </c>
      <c r="N738" s="1">
        <v>2418321100</v>
      </c>
    </row>
    <row r="739" spans="1:14" ht="18" customHeight="1" x14ac:dyDescent="0.45">
      <c r="A739" s="13">
        <v>733</v>
      </c>
      <c r="B739" s="41" t="str">
        <f t="shared" si="316"/>
        <v>神奈川静岡本部</v>
      </c>
      <c r="C739" s="41" t="str">
        <f t="shared" si="316"/>
        <v>ラヴィーレ多摩川桜並木</v>
      </c>
      <c r="D739" s="14" t="s">
        <v>5</v>
      </c>
      <c r="E739" s="15">
        <v>2</v>
      </c>
      <c r="F739" s="16">
        <v>41</v>
      </c>
      <c r="G739" s="17">
        <v>20.5</v>
      </c>
      <c r="H739" s="16">
        <v>0</v>
      </c>
      <c r="I739" s="17">
        <v>0</v>
      </c>
      <c r="J739" s="15">
        <v>41</v>
      </c>
      <c r="K739" s="44">
        <f t="shared" si="310"/>
        <v>7</v>
      </c>
      <c r="L739" s="28">
        <v>2</v>
      </c>
      <c r="M739" s="33">
        <f t="shared" si="304"/>
        <v>2</v>
      </c>
      <c r="N739" s="1">
        <v>2418321100</v>
      </c>
    </row>
    <row r="740" spans="1:14" ht="18" customHeight="1" x14ac:dyDescent="0.45">
      <c r="A740" s="13">
        <v>734</v>
      </c>
      <c r="B740" s="41" t="str">
        <f t="shared" si="316"/>
        <v>神奈川静岡本部</v>
      </c>
      <c r="C740" s="41" t="str">
        <f t="shared" si="316"/>
        <v>ラヴィーレ多摩川桜並木</v>
      </c>
      <c r="D740" s="14" t="s">
        <v>6</v>
      </c>
      <c r="E740" s="15">
        <v>8</v>
      </c>
      <c r="F740" s="16">
        <v>0</v>
      </c>
      <c r="G740" s="17">
        <v>0</v>
      </c>
      <c r="H740" s="16">
        <v>0</v>
      </c>
      <c r="I740" s="17">
        <v>0</v>
      </c>
      <c r="J740" s="15">
        <v>0</v>
      </c>
      <c r="K740" s="44">
        <f t="shared" si="310"/>
        <v>7</v>
      </c>
      <c r="L740" s="28">
        <v>0</v>
      </c>
      <c r="M740" s="33">
        <f t="shared" si="304"/>
        <v>0</v>
      </c>
      <c r="N740" s="1">
        <v>2418321100</v>
      </c>
    </row>
    <row r="741" spans="1:14" ht="18" customHeight="1" x14ac:dyDescent="0.45">
      <c r="A741" s="13">
        <v>735</v>
      </c>
      <c r="B741" s="42" t="str">
        <f t="shared" si="316"/>
        <v>神奈川静岡本部</v>
      </c>
      <c r="C741" s="42" t="str">
        <f t="shared" si="316"/>
        <v>ラヴィーレ多摩川桜並木</v>
      </c>
      <c r="D741" s="14" t="s">
        <v>2</v>
      </c>
      <c r="E741" s="15">
        <v>1</v>
      </c>
      <c r="F741" s="16">
        <v>15</v>
      </c>
      <c r="G741" s="17">
        <v>15</v>
      </c>
      <c r="H741" s="16">
        <v>0</v>
      </c>
      <c r="I741" s="17">
        <v>0</v>
      </c>
      <c r="J741" s="15">
        <v>15</v>
      </c>
      <c r="K741" s="45">
        <f t="shared" si="310"/>
        <v>7</v>
      </c>
      <c r="L741" s="28">
        <v>2</v>
      </c>
      <c r="M741" s="33">
        <f t="shared" si="304"/>
        <v>2</v>
      </c>
      <c r="N741" s="1">
        <v>2418321100</v>
      </c>
    </row>
    <row r="742" spans="1:14" ht="18" customHeight="1" x14ac:dyDescent="0.45">
      <c r="A742" s="8">
        <v>736</v>
      </c>
      <c r="B742" s="34" t="s">
        <v>48</v>
      </c>
      <c r="C742" s="34" t="s">
        <v>274</v>
      </c>
      <c r="D742" s="9" t="s">
        <v>3</v>
      </c>
      <c r="E742" s="10">
        <v>1</v>
      </c>
      <c r="F742" s="11">
        <v>15</v>
      </c>
      <c r="G742" s="12">
        <v>15</v>
      </c>
      <c r="H742" s="11">
        <v>15</v>
      </c>
      <c r="I742" s="12">
        <v>15</v>
      </c>
      <c r="J742" s="10">
        <v>30</v>
      </c>
      <c r="K742" s="37">
        <f t="shared" ref="K742" si="317">SUM(M742:M746)</f>
        <v>7</v>
      </c>
      <c r="L742" s="28">
        <v>2</v>
      </c>
      <c r="M742" s="33">
        <f t="shared" si="304"/>
        <v>2</v>
      </c>
      <c r="N742" s="1">
        <v>2418331100</v>
      </c>
    </row>
    <row r="743" spans="1:14" ht="18" customHeight="1" x14ac:dyDescent="0.45">
      <c r="A743" s="8">
        <v>737</v>
      </c>
      <c r="B743" s="35" t="str">
        <f t="shared" ref="B743:C746" si="318">B742</f>
        <v>神奈川静岡本部</v>
      </c>
      <c r="C743" s="35" t="str">
        <f t="shared" si="318"/>
        <v>ラヴィーレ久地</v>
      </c>
      <c r="D743" s="9" t="s">
        <v>4</v>
      </c>
      <c r="E743" s="10">
        <v>1</v>
      </c>
      <c r="F743" s="11">
        <v>6</v>
      </c>
      <c r="G743" s="12">
        <v>6</v>
      </c>
      <c r="H743" s="11">
        <v>4</v>
      </c>
      <c r="I743" s="12">
        <v>4</v>
      </c>
      <c r="J743" s="10">
        <v>10</v>
      </c>
      <c r="K743" s="38">
        <f t="shared" si="310"/>
        <v>7</v>
      </c>
      <c r="L743" s="28">
        <v>2</v>
      </c>
      <c r="M743" s="33">
        <f t="shared" si="304"/>
        <v>2</v>
      </c>
      <c r="N743" s="1">
        <v>2418331100</v>
      </c>
    </row>
    <row r="744" spans="1:14" ht="18" customHeight="1" x14ac:dyDescent="0.45">
      <c r="A744" s="8">
        <v>738</v>
      </c>
      <c r="B744" s="35" t="str">
        <f t="shared" si="318"/>
        <v>神奈川静岡本部</v>
      </c>
      <c r="C744" s="35" t="str">
        <f t="shared" si="318"/>
        <v>ラヴィーレ久地</v>
      </c>
      <c r="D744" s="9" t="s">
        <v>5</v>
      </c>
      <c r="E744" s="10">
        <v>2</v>
      </c>
      <c r="F744" s="11">
        <v>59</v>
      </c>
      <c r="G744" s="12">
        <v>29.5</v>
      </c>
      <c r="H744" s="11">
        <v>0</v>
      </c>
      <c r="I744" s="12">
        <v>0</v>
      </c>
      <c r="J744" s="10">
        <v>59</v>
      </c>
      <c r="K744" s="38">
        <f t="shared" si="310"/>
        <v>7</v>
      </c>
      <c r="L744" s="28">
        <v>2</v>
      </c>
      <c r="M744" s="33">
        <f t="shared" si="304"/>
        <v>2</v>
      </c>
      <c r="N744" s="1">
        <v>2418331100</v>
      </c>
    </row>
    <row r="745" spans="1:14" ht="18" customHeight="1" x14ac:dyDescent="0.45">
      <c r="A745" s="8">
        <v>739</v>
      </c>
      <c r="B745" s="35" t="str">
        <f t="shared" si="318"/>
        <v>神奈川静岡本部</v>
      </c>
      <c r="C745" s="35" t="str">
        <f t="shared" si="318"/>
        <v>ラヴィーレ久地</v>
      </c>
      <c r="D745" s="9" t="s">
        <v>6</v>
      </c>
      <c r="E745" s="10">
        <v>8</v>
      </c>
      <c r="F745" s="11">
        <v>3</v>
      </c>
      <c r="G745" s="12">
        <v>0.4</v>
      </c>
      <c r="H745" s="11">
        <v>0</v>
      </c>
      <c r="I745" s="12">
        <v>0</v>
      </c>
      <c r="J745" s="10">
        <v>3</v>
      </c>
      <c r="K745" s="38">
        <f t="shared" si="310"/>
        <v>7</v>
      </c>
      <c r="L745" s="28">
        <v>0</v>
      </c>
      <c r="M745" s="33">
        <f t="shared" si="304"/>
        <v>0</v>
      </c>
      <c r="N745" s="1">
        <v>2418331100</v>
      </c>
    </row>
    <row r="746" spans="1:14" ht="18" customHeight="1" x14ac:dyDescent="0.45">
      <c r="A746" s="8">
        <v>740</v>
      </c>
      <c r="B746" s="36" t="str">
        <f t="shared" si="318"/>
        <v>神奈川静岡本部</v>
      </c>
      <c r="C746" s="36" t="str">
        <f t="shared" si="318"/>
        <v>ラヴィーレ久地</v>
      </c>
      <c r="D746" s="9" t="s">
        <v>2</v>
      </c>
      <c r="E746" s="10">
        <v>2</v>
      </c>
      <c r="F746" s="11">
        <v>4</v>
      </c>
      <c r="G746" s="12">
        <v>2</v>
      </c>
      <c r="H746" s="11">
        <v>0</v>
      </c>
      <c r="I746" s="12">
        <v>0</v>
      </c>
      <c r="J746" s="10">
        <v>4</v>
      </c>
      <c r="K746" s="39">
        <f t="shared" si="310"/>
        <v>7</v>
      </c>
      <c r="L746" s="28">
        <v>1</v>
      </c>
      <c r="M746" s="33">
        <f t="shared" si="304"/>
        <v>1</v>
      </c>
      <c r="N746" s="1">
        <v>2418331100</v>
      </c>
    </row>
    <row r="747" spans="1:14" ht="18" customHeight="1" x14ac:dyDescent="0.45">
      <c r="A747" s="13">
        <v>741</v>
      </c>
      <c r="B747" s="40" t="s">
        <v>48</v>
      </c>
      <c r="C747" s="40" t="s">
        <v>275</v>
      </c>
      <c r="D747" s="14" t="s">
        <v>3</v>
      </c>
      <c r="E747" s="15">
        <v>1</v>
      </c>
      <c r="F747" s="16">
        <v>17</v>
      </c>
      <c r="G747" s="17">
        <v>17</v>
      </c>
      <c r="H747" s="16">
        <v>0</v>
      </c>
      <c r="I747" s="17">
        <v>0</v>
      </c>
      <c r="J747" s="15">
        <v>17</v>
      </c>
      <c r="K747" s="43">
        <f t="shared" ref="K747" si="319">SUM(M747:M751)</f>
        <v>4</v>
      </c>
      <c r="L747" s="28">
        <v>2</v>
      </c>
      <c r="M747" s="33">
        <f t="shared" si="304"/>
        <v>2</v>
      </c>
      <c r="N747" s="1">
        <v>2418371100</v>
      </c>
    </row>
    <row r="748" spans="1:14" ht="18" customHeight="1" x14ac:dyDescent="0.45">
      <c r="A748" s="13">
        <v>742</v>
      </c>
      <c r="B748" s="41" t="str">
        <f t="shared" ref="B748:C751" si="320">B747</f>
        <v>神奈川静岡本部</v>
      </c>
      <c r="C748" s="41" t="str">
        <f t="shared" si="320"/>
        <v>ラヴィーレ湘南鷹取</v>
      </c>
      <c r="D748" s="14" t="s">
        <v>4</v>
      </c>
      <c r="E748" s="15">
        <v>1</v>
      </c>
      <c r="F748" s="16">
        <v>1</v>
      </c>
      <c r="G748" s="17">
        <v>1</v>
      </c>
      <c r="H748" s="16">
        <v>0</v>
      </c>
      <c r="I748" s="17">
        <v>0</v>
      </c>
      <c r="J748" s="15">
        <v>1</v>
      </c>
      <c r="K748" s="44">
        <f t="shared" si="310"/>
        <v>4</v>
      </c>
      <c r="L748" s="28">
        <v>0</v>
      </c>
      <c r="M748" s="33">
        <f t="shared" si="304"/>
        <v>0</v>
      </c>
      <c r="N748" s="1">
        <v>2418371100</v>
      </c>
    </row>
    <row r="749" spans="1:14" ht="18" customHeight="1" x14ac:dyDescent="0.45">
      <c r="A749" s="13">
        <v>743</v>
      </c>
      <c r="B749" s="41" t="str">
        <f t="shared" si="320"/>
        <v>神奈川静岡本部</v>
      </c>
      <c r="C749" s="41" t="str">
        <f t="shared" si="320"/>
        <v>ラヴィーレ湘南鷹取</v>
      </c>
      <c r="D749" s="14" t="s">
        <v>5</v>
      </c>
      <c r="E749" s="15">
        <v>2</v>
      </c>
      <c r="F749" s="16">
        <v>16</v>
      </c>
      <c r="G749" s="17">
        <v>8</v>
      </c>
      <c r="H749" s="16">
        <v>0</v>
      </c>
      <c r="I749" s="17">
        <v>0</v>
      </c>
      <c r="J749" s="15">
        <v>16</v>
      </c>
      <c r="K749" s="44">
        <f t="shared" si="310"/>
        <v>4</v>
      </c>
      <c r="L749" s="28">
        <v>2</v>
      </c>
      <c r="M749" s="33">
        <f t="shared" si="304"/>
        <v>2</v>
      </c>
      <c r="N749" s="1">
        <v>2418371100</v>
      </c>
    </row>
    <row r="750" spans="1:14" ht="18" customHeight="1" x14ac:dyDescent="0.45">
      <c r="A750" s="13">
        <v>744</v>
      </c>
      <c r="B750" s="41" t="str">
        <f t="shared" si="320"/>
        <v>神奈川静岡本部</v>
      </c>
      <c r="C750" s="41" t="str">
        <f t="shared" si="320"/>
        <v>ラヴィーレ湘南鷹取</v>
      </c>
      <c r="D750" s="14" t="s">
        <v>6</v>
      </c>
      <c r="E750" s="15">
        <v>8</v>
      </c>
      <c r="F750" s="16">
        <v>0</v>
      </c>
      <c r="G750" s="17">
        <v>0</v>
      </c>
      <c r="H750" s="16">
        <v>0</v>
      </c>
      <c r="I750" s="17">
        <v>0</v>
      </c>
      <c r="J750" s="15">
        <v>0</v>
      </c>
      <c r="K750" s="44">
        <f t="shared" si="310"/>
        <v>4</v>
      </c>
      <c r="L750" s="28">
        <v>0</v>
      </c>
      <c r="M750" s="33">
        <f t="shared" si="304"/>
        <v>0</v>
      </c>
      <c r="N750" s="1">
        <v>2418371100</v>
      </c>
    </row>
    <row r="751" spans="1:14" ht="18" customHeight="1" x14ac:dyDescent="0.45">
      <c r="A751" s="13">
        <v>745</v>
      </c>
      <c r="B751" s="42" t="str">
        <f t="shared" si="320"/>
        <v>神奈川静岡本部</v>
      </c>
      <c r="C751" s="42" t="str">
        <f t="shared" si="320"/>
        <v>ラヴィーレ湘南鷹取</v>
      </c>
      <c r="D751" s="14" t="s">
        <v>2</v>
      </c>
      <c r="E751" s="15">
        <v>2</v>
      </c>
      <c r="F751" s="16">
        <v>0</v>
      </c>
      <c r="G751" s="17">
        <v>0</v>
      </c>
      <c r="H751" s="16">
        <v>0</v>
      </c>
      <c r="I751" s="17">
        <v>0</v>
      </c>
      <c r="J751" s="15">
        <v>0</v>
      </c>
      <c r="K751" s="45">
        <f t="shared" si="310"/>
        <v>4</v>
      </c>
      <c r="L751" s="28">
        <v>0</v>
      </c>
      <c r="M751" s="33">
        <f t="shared" si="304"/>
        <v>0</v>
      </c>
      <c r="N751" s="1">
        <v>2418371100</v>
      </c>
    </row>
    <row r="752" spans="1:14" ht="18" customHeight="1" x14ac:dyDescent="0.45">
      <c r="A752" s="8">
        <v>746</v>
      </c>
      <c r="B752" s="34" t="s">
        <v>48</v>
      </c>
      <c r="C752" s="34" t="s">
        <v>69</v>
      </c>
      <c r="D752" s="9" t="s">
        <v>3</v>
      </c>
      <c r="E752" s="10">
        <v>1</v>
      </c>
      <c r="F752" s="11">
        <v>57</v>
      </c>
      <c r="G752" s="12">
        <v>57</v>
      </c>
      <c r="H752" s="11">
        <v>38</v>
      </c>
      <c r="I752" s="12">
        <v>38</v>
      </c>
      <c r="J752" s="10">
        <v>95</v>
      </c>
      <c r="K752" s="37">
        <f t="shared" ref="K752" si="321">SUM(M752:M756)</f>
        <v>5</v>
      </c>
      <c r="L752" s="28">
        <v>2</v>
      </c>
      <c r="M752" s="33">
        <f t="shared" si="304"/>
        <v>2</v>
      </c>
      <c r="N752" s="1">
        <v>3215811200</v>
      </c>
    </row>
    <row r="753" spans="1:14" ht="18" customHeight="1" x14ac:dyDescent="0.45">
      <c r="A753" s="8">
        <v>747</v>
      </c>
      <c r="B753" s="35" t="str">
        <f t="shared" ref="B753:C756" si="322">B752</f>
        <v>神奈川静岡本部</v>
      </c>
      <c r="C753" s="35" t="str">
        <f t="shared" si="322"/>
        <v>そんぽの家　富士宮</v>
      </c>
      <c r="D753" s="9" t="s">
        <v>4</v>
      </c>
      <c r="E753" s="10">
        <v>1</v>
      </c>
      <c r="F753" s="11">
        <v>4</v>
      </c>
      <c r="G753" s="12">
        <v>4</v>
      </c>
      <c r="H753" s="11">
        <v>0</v>
      </c>
      <c r="I753" s="12">
        <v>0</v>
      </c>
      <c r="J753" s="10">
        <v>4</v>
      </c>
      <c r="K753" s="38">
        <f t="shared" si="310"/>
        <v>5</v>
      </c>
      <c r="L753" s="28">
        <v>1</v>
      </c>
      <c r="M753" s="33">
        <f t="shared" si="304"/>
        <v>1</v>
      </c>
      <c r="N753" s="1">
        <v>3215811200</v>
      </c>
    </row>
    <row r="754" spans="1:14" ht="18" customHeight="1" x14ac:dyDescent="0.45">
      <c r="A754" s="8">
        <v>748</v>
      </c>
      <c r="B754" s="35" t="str">
        <f t="shared" si="322"/>
        <v>神奈川静岡本部</v>
      </c>
      <c r="C754" s="35" t="str">
        <f t="shared" si="322"/>
        <v>そんぽの家　富士宮</v>
      </c>
      <c r="D754" s="9" t="s">
        <v>5</v>
      </c>
      <c r="E754" s="10">
        <v>1</v>
      </c>
      <c r="F754" s="11">
        <v>17</v>
      </c>
      <c r="G754" s="12">
        <v>17</v>
      </c>
      <c r="H754" s="11">
        <v>0</v>
      </c>
      <c r="I754" s="12">
        <v>0</v>
      </c>
      <c r="J754" s="10">
        <v>17</v>
      </c>
      <c r="K754" s="38">
        <f t="shared" si="310"/>
        <v>5</v>
      </c>
      <c r="L754" s="28">
        <v>2</v>
      </c>
      <c r="M754" s="33">
        <f t="shared" si="304"/>
        <v>2</v>
      </c>
      <c r="N754" s="1">
        <v>3215811200</v>
      </c>
    </row>
    <row r="755" spans="1:14" ht="18" customHeight="1" x14ac:dyDescent="0.45">
      <c r="A755" s="8">
        <v>749</v>
      </c>
      <c r="B755" s="35" t="str">
        <f t="shared" si="322"/>
        <v>神奈川静岡本部</v>
      </c>
      <c r="C755" s="35" t="str">
        <f t="shared" si="322"/>
        <v>そんぽの家　富士宮</v>
      </c>
      <c r="D755" s="9" t="s">
        <v>6</v>
      </c>
      <c r="E755" s="10">
        <v>5</v>
      </c>
      <c r="F755" s="11">
        <v>0</v>
      </c>
      <c r="G755" s="12">
        <v>0</v>
      </c>
      <c r="H755" s="11">
        <v>0</v>
      </c>
      <c r="I755" s="12">
        <v>0</v>
      </c>
      <c r="J755" s="10">
        <v>0</v>
      </c>
      <c r="K755" s="38">
        <f t="shared" si="310"/>
        <v>5</v>
      </c>
      <c r="L755" s="28">
        <v>0</v>
      </c>
      <c r="M755" s="33">
        <f t="shared" si="304"/>
        <v>0</v>
      </c>
      <c r="N755" s="1">
        <v>3215811200</v>
      </c>
    </row>
    <row r="756" spans="1:14" ht="18" customHeight="1" x14ac:dyDescent="0.45">
      <c r="A756" s="8">
        <v>750</v>
      </c>
      <c r="B756" s="36" t="str">
        <f t="shared" si="322"/>
        <v>神奈川静岡本部</v>
      </c>
      <c r="C756" s="36" t="str">
        <f t="shared" si="322"/>
        <v>そんぽの家　富士宮</v>
      </c>
      <c r="D756" s="9" t="s">
        <v>2</v>
      </c>
      <c r="E756" s="10">
        <v>2</v>
      </c>
      <c r="F756" s="11">
        <v>0</v>
      </c>
      <c r="G756" s="12">
        <v>0</v>
      </c>
      <c r="H756" s="11">
        <v>0</v>
      </c>
      <c r="I756" s="12">
        <v>0</v>
      </c>
      <c r="J756" s="10">
        <v>0</v>
      </c>
      <c r="K756" s="39">
        <f t="shared" si="310"/>
        <v>5</v>
      </c>
      <c r="L756" s="28">
        <v>0</v>
      </c>
      <c r="M756" s="33">
        <f t="shared" si="304"/>
        <v>0</v>
      </c>
      <c r="N756" s="1">
        <v>3215811200</v>
      </c>
    </row>
    <row r="757" spans="1:14" ht="18" customHeight="1" x14ac:dyDescent="0.45">
      <c r="A757" s="13">
        <v>751</v>
      </c>
      <c r="B757" s="40" t="s">
        <v>48</v>
      </c>
      <c r="C757" s="40" t="s">
        <v>70</v>
      </c>
      <c r="D757" s="14" t="s">
        <v>3</v>
      </c>
      <c r="E757" s="15">
        <v>1</v>
      </c>
      <c r="F757" s="16">
        <v>9</v>
      </c>
      <c r="G757" s="17">
        <v>9</v>
      </c>
      <c r="H757" s="16">
        <v>9</v>
      </c>
      <c r="I757" s="17">
        <v>9</v>
      </c>
      <c r="J757" s="15">
        <v>18</v>
      </c>
      <c r="K757" s="43">
        <f t="shared" ref="K757" si="323">SUM(M757:M761)</f>
        <v>7</v>
      </c>
      <c r="L757" s="28">
        <v>2</v>
      </c>
      <c r="M757" s="33">
        <f t="shared" si="304"/>
        <v>2</v>
      </c>
      <c r="N757" s="1">
        <v>3215821200</v>
      </c>
    </row>
    <row r="758" spans="1:14" ht="18" customHeight="1" x14ac:dyDescent="0.45">
      <c r="A758" s="13">
        <v>752</v>
      </c>
      <c r="B758" s="41" t="str">
        <f t="shared" ref="B758:C761" si="324">B757</f>
        <v>神奈川静岡本部</v>
      </c>
      <c r="C758" s="41" t="str">
        <f t="shared" si="324"/>
        <v>そんぽの家　東静岡</v>
      </c>
      <c r="D758" s="14" t="s">
        <v>4</v>
      </c>
      <c r="E758" s="15">
        <v>1</v>
      </c>
      <c r="F758" s="16">
        <v>5</v>
      </c>
      <c r="G758" s="17">
        <v>5</v>
      </c>
      <c r="H758" s="16">
        <v>4</v>
      </c>
      <c r="I758" s="17">
        <v>4</v>
      </c>
      <c r="J758" s="15">
        <v>9</v>
      </c>
      <c r="K758" s="44">
        <f t="shared" si="310"/>
        <v>7</v>
      </c>
      <c r="L758" s="28">
        <v>2</v>
      </c>
      <c r="M758" s="33">
        <f t="shared" si="304"/>
        <v>2</v>
      </c>
      <c r="N758" s="1">
        <v>3215821200</v>
      </c>
    </row>
    <row r="759" spans="1:14" ht="18" customHeight="1" x14ac:dyDescent="0.45">
      <c r="A759" s="13">
        <v>753</v>
      </c>
      <c r="B759" s="41" t="str">
        <f t="shared" si="324"/>
        <v>神奈川静岡本部</v>
      </c>
      <c r="C759" s="41" t="str">
        <f t="shared" si="324"/>
        <v>そんぽの家　東静岡</v>
      </c>
      <c r="D759" s="14" t="s">
        <v>5</v>
      </c>
      <c r="E759" s="15">
        <v>2</v>
      </c>
      <c r="F759" s="16">
        <v>39</v>
      </c>
      <c r="G759" s="17">
        <v>19.5</v>
      </c>
      <c r="H759" s="16">
        <v>0</v>
      </c>
      <c r="I759" s="17">
        <v>0</v>
      </c>
      <c r="J759" s="15">
        <v>39</v>
      </c>
      <c r="K759" s="44">
        <f t="shared" si="310"/>
        <v>7</v>
      </c>
      <c r="L759" s="28">
        <v>2</v>
      </c>
      <c r="M759" s="33">
        <f t="shared" si="304"/>
        <v>2</v>
      </c>
      <c r="N759" s="1">
        <v>3215821200</v>
      </c>
    </row>
    <row r="760" spans="1:14" ht="18" customHeight="1" x14ac:dyDescent="0.45">
      <c r="A760" s="13">
        <v>754</v>
      </c>
      <c r="B760" s="41" t="str">
        <f t="shared" si="324"/>
        <v>神奈川静岡本部</v>
      </c>
      <c r="C760" s="41" t="str">
        <f t="shared" si="324"/>
        <v>そんぽの家　東静岡</v>
      </c>
      <c r="D760" s="14" t="s">
        <v>6</v>
      </c>
      <c r="E760" s="15">
        <v>3</v>
      </c>
      <c r="F760" s="16">
        <v>4</v>
      </c>
      <c r="G760" s="17">
        <v>1.3</v>
      </c>
      <c r="H760" s="16">
        <v>0</v>
      </c>
      <c r="I760" s="17">
        <v>0</v>
      </c>
      <c r="J760" s="15">
        <v>4</v>
      </c>
      <c r="K760" s="44">
        <f t="shared" si="310"/>
        <v>7</v>
      </c>
      <c r="L760" s="28">
        <v>1</v>
      </c>
      <c r="M760" s="33">
        <f t="shared" si="304"/>
        <v>1</v>
      </c>
      <c r="N760" s="1">
        <v>3215821200</v>
      </c>
    </row>
    <row r="761" spans="1:14" ht="18" customHeight="1" x14ac:dyDescent="0.45">
      <c r="A761" s="13">
        <v>755</v>
      </c>
      <c r="B761" s="42" t="str">
        <f t="shared" si="324"/>
        <v>神奈川静岡本部</v>
      </c>
      <c r="C761" s="42" t="str">
        <f t="shared" si="324"/>
        <v>そんぽの家　東静岡</v>
      </c>
      <c r="D761" s="14" t="s">
        <v>2</v>
      </c>
      <c r="E761" s="15">
        <v>2</v>
      </c>
      <c r="F761" s="16">
        <v>3</v>
      </c>
      <c r="G761" s="17">
        <v>1.5</v>
      </c>
      <c r="H761" s="16">
        <v>0</v>
      </c>
      <c r="I761" s="17">
        <v>0</v>
      </c>
      <c r="J761" s="15">
        <v>3</v>
      </c>
      <c r="K761" s="45">
        <f t="shared" si="310"/>
        <v>7</v>
      </c>
      <c r="L761" s="28">
        <v>0</v>
      </c>
      <c r="M761" s="33">
        <f t="shared" si="304"/>
        <v>0</v>
      </c>
      <c r="N761" s="1">
        <v>3215821200</v>
      </c>
    </row>
    <row r="762" spans="1:14" ht="18" customHeight="1" x14ac:dyDescent="0.45">
      <c r="A762" s="8">
        <v>756</v>
      </c>
      <c r="B762" s="34" t="s">
        <v>48</v>
      </c>
      <c r="C762" s="34" t="s">
        <v>86</v>
      </c>
      <c r="D762" s="9" t="s">
        <v>3</v>
      </c>
      <c r="E762" s="10">
        <v>1</v>
      </c>
      <c r="F762" s="11">
        <v>0</v>
      </c>
      <c r="G762" s="12">
        <v>0</v>
      </c>
      <c r="H762" s="11">
        <v>0</v>
      </c>
      <c r="I762" s="12">
        <v>0</v>
      </c>
      <c r="J762" s="10">
        <v>0</v>
      </c>
      <c r="K762" s="37">
        <f t="shared" ref="K762" si="325">SUM(M762:M766)</f>
        <v>3</v>
      </c>
      <c r="L762" s="28">
        <v>0</v>
      </c>
      <c r="M762" s="33">
        <f t="shared" si="304"/>
        <v>0</v>
      </c>
      <c r="N762" s="1">
        <v>3215831200</v>
      </c>
    </row>
    <row r="763" spans="1:14" ht="18" customHeight="1" x14ac:dyDescent="0.45">
      <c r="A763" s="8">
        <v>757</v>
      </c>
      <c r="B763" s="35" t="str">
        <f t="shared" ref="B763:C766" si="326">B762</f>
        <v>神奈川静岡本部</v>
      </c>
      <c r="C763" s="35" t="str">
        <f t="shared" si="326"/>
        <v>そんぽの家　浜松高丘</v>
      </c>
      <c r="D763" s="9" t="s">
        <v>4</v>
      </c>
      <c r="E763" s="10">
        <v>1</v>
      </c>
      <c r="F763" s="11">
        <v>5</v>
      </c>
      <c r="G763" s="12">
        <v>5</v>
      </c>
      <c r="H763" s="11">
        <v>1</v>
      </c>
      <c r="I763" s="12">
        <v>1</v>
      </c>
      <c r="J763" s="10">
        <v>6</v>
      </c>
      <c r="K763" s="38">
        <f t="shared" si="310"/>
        <v>3</v>
      </c>
      <c r="L763" s="28">
        <v>1</v>
      </c>
      <c r="M763" s="33">
        <f t="shared" si="304"/>
        <v>1</v>
      </c>
      <c r="N763" s="1">
        <v>3215831200</v>
      </c>
    </row>
    <row r="764" spans="1:14" ht="18" customHeight="1" x14ac:dyDescent="0.45">
      <c r="A764" s="8">
        <v>758</v>
      </c>
      <c r="B764" s="35" t="str">
        <f t="shared" si="326"/>
        <v>神奈川静岡本部</v>
      </c>
      <c r="C764" s="35" t="str">
        <f t="shared" si="326"/>
        <v>そんぽの家　浜松高丘</v>
      </c>
      <c r="D764" s="9" t="s">
        <v>5</v>
      </c>
      <c r="E764" s="10">
        <v>1</v>
      </c>
      <c r="F764" s="11">
        <v>0</v>
      </c>
      <c r="G764" s="12">
        <v>0</v>
      </c>
      <c r="H764" s="11">
        <v>0</v>
      </c>
      <c r="I764" s="12">
        <v>0</v>
      </c>
      <c r="J764" s="10">
        <v>0</v>
      </c>
      <c r="K764" s="38">
        <f t="shared" si="310"/>
        <v>3</v>
      </c>
      <c r="L764" s="28">
        <v>0</v>
      </c>
      <c r="M764" s="33">
        <f t="shared" si="304"/>
        <v>0</v>
      </c>
      <c r="N764" s="1">
        <v>3215831200</v>
      </c>
    </row>
    <row r="765" spans="1:14" ht="18" customHeight="1" x14ac:dyDescent="0.45">
      <c r="A765" s="8">
        <v>759</v>
      </c>
      <c r="B765" s="35" t="str">
        <f t="shared" si="326"/>
        <v>神奈川静岡本部</v>
      </c>
      <c r="C765" s="35" t="str">
        <f t="shared" si="326"/>
        <v>そんぽの家　浜松高丘</v>
      </c>
      <c r="D765" s="9" t="s">
        <v>6</v>
      </c>
      <c r="E765" s="10">
        <v>3</v>
      </c>
      <c r="F765" s="11">
        <v>1</v>
      </c>
      <c r="G765" s="12">
        <v>0.3</v>
      </c>
      <c r="H765" s="11">
        <v>0</v>
      </c>
      <c r="I765" s="12">
        <v>0</v>
      </c>
      <c r="J765" s="10">
        <v>1</v>
      </c>
      <c r="K765" s="38">
        <f t="shared" si="310"/>
        <v>3</v>
      </c>
      <c r="L765" s="28">
        <v>0</v>
      </c>
      <c r="M765" s="33">
        <f t="shared" si="304"/>
        <v>0</v>
      </c>
      <c r="N765" s="1">
        <v>3215831200</v>
      </c>
    </row>
    <row r="766" spans="1:14" ht="18" customHeight="1" x14ac:dyDescent="0.45">
      <c r="A766" s="8">
        <v>760</v>
      </c>
      <c r="B766" s="36" t="str">
        <f t="shared" si="326"/>
        <v>神奈川静岡本部</v>
      </c>
      <c r="C766" s="36" t="str">
        <f t="shared" si="326"/>
        <v>そんぽの家　浜松高丘</v>
      </c>
      <c r="D766" s="9" t="s">
        <v>2</v>
      </c>
      <c r="E766" s="10">
        <v>2</v>
      </c>
      <c r="F766" s="11">
        <v>11</v>
      </c>
      <c r="G766" s="12">
        <v>5.5</v>
      </c>
      <c r="H766" s="11">
        <v>0</v>
      </c>
      <c r="I766" s="12">
        <v>0</v>
      </c>
      <c r="J766" s="10">
        <v>11</v>
      </c>
      <c r="K766" s="39">
        <f t="shared" si="310"/>
        <v>3</v>
      </c>
      <c r="L766" s="28">
        <v>2</v>
      </c>
      <c r="M766" s="33">
        <f t="shared" si="304"/>
        <v>2</v>
      </c>
      <c r="N766" s="1">
        <v>3215831200</v>
      </c>
    </row>
    <row r="767" spans="1:14" ht="18" customHeight="1" x14ac:dyDescent="0.45">
      <c r="A767" s="13">
        <v>761</v>
      </c>
      <c r="B767" s="40" t="s">
        <v>48</v>
      </c>
      <c r="C767" s="40" t="s">
        <v>87</v>
      </c>
      <c r="D767" s="14" t="s">
        <v>3</v>
      </c>
      <c r="E767" s="15">
        <v>1</v>
      </c>
      <c r="F767" s="16">
        <v>4</v>
      </c>
      <c r="G767" s="17">
        <v>4</v>
      </c>
      <c r="H767" s="16">
        <v>4</v>
      </c>
      <c r="I767" s="17">
        <v>4</v>
      </c>
      <c r="J767" s="15">
        <v>8</v>
      </c>
      <c r="K767" s="43">
        <f t="shared" ref="K767" si="327">SUM(M767:M771)</f>
        <v>4</v>
      </c>
      <c r="L767" s="28">
        <v>2</v>
      </c>
      <c r="M767" s="33">
        <f t="shared" si="304"/>
        <v>2</v>
      </c>
      <c r="N767" s="1">
        <v>3215841200</v>
      </c>
    </row>
    <row r="768" spans="1:14" ht="18" customHeight="1" x14ac:dyDescent="0.45">
      <c r="A768" s="13">
        <v>762</v>
      </c>
      <c r="B768" s="41" t="str">
        <f t="shared" ref="B768:C771" si="328">B767</f>
        <v>神奈川静岡本部</v>
      </c>
      <c r="C768" s="41" t="str">
        <f t="shared" si="328"/>
        <v>そんぽの家　浜松</v>
      </c>
      <c r="D768" s="14" t="s">
        <v>4</v>
      </c>
      <c r="E768" s="15">
        <v>1</v>
      </c>
      <c r="F768" s="16">
        <v>0</v>
      </c>
      <c r="G768" s="17">
        <v>0</v>
      </c>
      <c r="H768" s="16">
        <v>0</v>
      </c>
      <c r="I768" s="17">
        <v>0</v>
      </c>
      <c r="J768" s="15">
        <v>0</v>
      </c>
      <c r="K768" s="44">
        <f t="shared" si="310"/>
        <v>4</v>
      </c>
      <c r="L768" s="28">
        <v>0</v>
      </c>
      <c r="M768" s="33">
        <f t="shared" si="304"/>
        <v>0</v>
      </c>
      <c r="N768" s="1">
        <v>3215841200</v>
      </c>
    </row>
    <row r="769" spans="1:14" ht="18" customHeight="1" x14ac:dyDescent="0.45">
      <c r="A769" s="13">
        <v>763</v>
      </c>
      <c r="B769" s="41" t="str">
        <f t="shared" si="328"/>
        <v>神奈川静岡本部</v>
      </c>
      <c r="C769" s="41" t="str">
        <f t="shared" si="328"/>
        <v>そんぽの家　浜松</v>
      </c>
      <c r="D769" s="14" t="s">
        <v>5</v>
      </c>
      <c r="E769" s="15">
        <v>1</v>
      </c>
      <c r="F769" s="16">
        <v>33</v>
      </c>
      <c r="G769" s="17">
        <v>33</v>
      </c>
      <c r="H769" s="16">
        <v>4</v>
      </c>
      <c r="I769" s="17">
        <v>4</v>
      </c>
      <c r="J769" s="15">
        <v>37</v>
      </c>
      <c r="K769" s="44">
        <f t="shared" si="310"/>
        <v>4</v>
      </c>
      <c r="L769" s="28">
        <v>2</v>
      </c>
      <c r="M769" s="33">
        <f t="shared" si="304"/>
        <v>2</v>
      </c>
      <c r="N769" s="1">
        <v>3215841200</v>
      </c>
    </row>
    <row r="770" spans="1:14" ht="18" customHeight="1" x14ac:dyDescent="0.45">
      <c r="A770" s="13">
        <v>764</v>
      </c>
      <c r="B770" s="41" t="str">
        <f t="shared" si="328"/>
        <v>神奈川静岡本部</v>
      </c>
      <c r="C770" s="41" t="str">
        <f t="shared" si="328"/>
        <v>そんぽの家　浜松</v>
      </c>
      <c r="D770" s="14" t="s">
        <v>6</v>
      </c>
      <c r="E770" s="15">
        <v>3</v>
      </c>
      <c r="F770" s="16">
        <v>0</v>
      </c>
      <c r="G770" s="17">
        <v>0</v>
      </c>
      <c r="H770" s="16">
        <v>0</v>
      </c>
      <c r="I770" s="17">
        <v>0</v>
      </c>
      <c r="J770" s="15">
        <v>0</v>
      </c>
      <c r="K770" s="44">
        <f t="shared" si="310"/>
        <v>4</v>
      </c>
      <c r="L770" s="28">
        <v>0</v>
      </c>
      <c r="M770" s="33">
        <f t="shared" si="304"/>
        <v>0</v>
      </c>
      <c r="N770" s="1">
        <v>3215841200</v>
      </c>
    </row>
    <row r="771" spans="1:14" ht="18" customHeight="1" x14ac:dyDescent="0.45">
      <c r="A771" s="13">
        <v>765</v>
      </c>
      <c r="B771" s="42" t="str">
        <f t="shared" si="328"/>
        <v>神奈川静岡本部</v>
      </c>
      <c r="C771" s="42" t="str">
        <f t="shared" si="328"/>
        <v>そんぽの家　浜松</v>
      </c>
      <c r="D771" s="14" t="s">
        <v>2</v>
      </c>
      <c r="E771" s="15">
        <v>0</v>
      </c>
      <c r="F771" s="16">
        <v>0</v>
      </c>
      <c r="G771" s="17">
        <v>0</v>
      </c>
      <c r="H771" s="16">
        <v>0</v>
      </c>
      <c r="I771" s="17">
        <v>0</v>
      </c>
      <c r="J771" s="15">
        <v>0</v>
      </c>
      <c r="K771" s="45">
        <f t="shared" si="310"/>
        <v>4</v>
      </c>
      <c r="L771" s="28">
        <v>0</v>
      </c>
      <c r="M771" s="33">
        <f t="shared" si="304"/>
        <v>0</v>
      </c>
      <c r="N771" s="1">
        <v>3215841200</v>
      </c>
    </row>
    <row r="772" spans="1:14" ht="18" customHeight="1" x14ac:dyDescent="0.45">
      <c r="A772" s="8">
        <v>766</v>
      </c>
      <c r="B772" s="34" t="s">
        <v>71</v>
      </c>
      <c r="C772" s="34" t="s">
        <v>72</v>
      </c>
      <c r="D772" s="9" t="s">
        <v>3</v>
      </c>
      <c r="E772" s="10">
        <v>1</v>
      </c>
      <c r="F772" s="11">
        <v>19</v>
      </c>
      <c r="G772" s="12">
        <v>19</v>
      </c>
      <c r="H772" s="11">
        <v>19</v>
      </c>
      <c r="I772" s="12">
        <v>19</v>
      </c>
      <c r="J772" s="10">
        <v>38</v>
      </c>
      <c r="K772" s="37">
        <f t="shared" ref="K772" si="329">SUM(M772:M776)</f>
        <v>6</v>
      </c>
      <c r="L772" s="28">
        <v>2</v>
      </c>
      <c r="M772" s="33">
        <f t="shared" si="304"/>
        <v>2</v>
      </c>
      <c r="N772" s="1">
        <v>2114001200</v>
      </c>
    </row>
    <row r="773" spans="1:14" ht="18" customHeight="1" x14ac:dyDescent="0.45">
      <c r="A773" s="8">
        <v>767</v>
      </c>
      <c r="B773" s="35" t="str">
        <f t="shared" ref="B773:C776" si="330">B772</f>
        <v>埼玉千葉本部</v>
      </c>
      <c r="C773" s="35" t="str">
        <f t="shared" si="330"/>
        <v>そんぽの家　大宮見沼</v>
      </c>
      <c r="D773" s="9" t="s">
        <v>4</v>
      </c>
      <c r="E773" s="10">
        <v>1</v>
      </c>
      <c r="F773" s="11">
        <v>17</v>
      </c>
      <c r="G773" s="12">
        <v>17</v>
      </c>
      <c r="H773" s="11">
        <v>17</v>
      </c>
      <c r="I773" s="12">
        <v>17</v>
      </c>
      <c r="J773" s="10">
        <v>34</v>
      </c>
      <c r="K773" s="38">
        <f t="shared" si="310"/>
        <v>6</v>
      </c>
      <c r="L773" s="28">
        <v>2</v>
      </c>
      <c r="M773" s="33">
        <f t="shared" si="304"/>
        <v>2</v>
      </c>
      <c r="N773" s="1">
        <v>2114001200</v>
      </c>
    </row>
    <row r="774" spans="1:14" ht="18" customHeight="1" x14ac:dyDescent="0.45">
      <c r="A774" s="8">
        <v>768</v>
      </c>
      <c r="B774" s="35" t="str">
        <f t="shared" si="330"/>
        <v>埼玉千葉本部</v>
      </c>
      <c r="C774" s="35" t="str">
        <f t="shared" si="330"/>
        <v>そんぽの家　大宮見沼</v>
      </c>
      <c r="D774" s="9" t="s">
        <v>5</v>
      </c>
      <c r="E774" s="10">
        <v>1</v>
      </c>
      <c r="F774" s="11">
        <v>22</v>
      </c>
      <c r="G774" s="12">
        <v>22</v>
      </c>
      <c r="H774" s="11">
        <v>0</v>
      </c>
      <c r="I774" s="12">
        <v>0</v>
      </c>
      <c r="J774" s="10">
        <v>22</v>
      </c>
      <c r="K774" s="38">
        <f t="shared" si="310"/>
        <v>6</v>
      </c>
      <c r="L774" s="28">
        <v>2</v>
      </c>
      <c r="M774" s="33">
        <f t="shared" si="304"/>
        <v>2</v>
      </c>
      <c r="N774" s="1">
        <v>2114001200</v>
      </c>
    </row>
    <row r="775" spans="1:14" ht="18" customHeight="1" x14ac:dyDescent="0.45">
      <c r="A775" s="8">
        <v>769</v>
      </c>
      <c r="B775" s="35" t="str">
        <f t="shared" si="330"/>
        <v>埼玉千葉本部</v>
      </c>
      <c r="C775" s="35" t="str">
        <f t="shared" si="330"/>
        <v>そんぽの家　大宮見沼</v>
      </c>
      <c r="D775" s="9" t="s">
        <v>6</v>
      </c>
      <c r="E775" s="10">
        <v>3</v>
      </c>
      <c r="F775" s="11">
        <v>1</v>
      </c>
      <c r="G775" s="12">
        <v>0.3</v>
      </c>
      <c r="H775" s="11">
        <v>0</v>
      </c>
      <c r="I775" s="12">
        <v>0</v>
      </c>
      <c r="J775" s="10">
        <v>1</v>
      </c>
      <c r="K775" s="38">
        <f t="shared" si="310"/>
        <v>6</v>
      </c>
      <c r="L775" s="28">
        <v>0</v>
      </c>
      <c r="M775" s="33">
        <f t="shared" si="304"/>
        <v>0</v>
      </c>
      <c r="N775" s="1">
        <v>2114001200</v>
      </c>
    </row>
    <row r="776" spans="1:14" ht="18" customHeight="1" x14ac:dyDescent="0.45">
      <c r="A776" s="8">
        <v>770</v>
      </c>
      <c r="B776" s="36" t="str">
        <f t="shared" si="330"/>
        <v>埼玉千葉本部</v>
      </c>
      <c r="C776" s="36" t="str">
        <f t="shared" si="330"/>
        <v>そんぽの家　大宮見沼</v>
      </c>
      <c r="D776" s="9" t="s">
        <v>2</v>
      </c>
      <c r="E776" s="10">
        <v>1</v>
      </c>
      <c r="F776" s="11">
        <v>0</v>
      </c>
      <c r="G776" s="12">
        <v>0</v>
      </c>
      <c r="H776" s="11">
        <v>0</v>
      </c>
      <c r="I776" s="12">
        <v>0</v>
      </c>
      <c r="J776" s="10">
        <v>0</v>
      </c>
      <c r="K776" s="39">
        <f t="shared" si="310"/>
        <v>6</v>
      </c>
      <c r="L776" s="28">
        <v>0</v>
      </c>
      <c r="M776" s="33">
        <f t="shared" ref="M776:M839" si="331">L776</f>
        <v>0</v>
      </c>
      <c r="N776" s="1">
        <v>2114001200</v>
      </c>
    </row>
    <row r="777" spans="1:14" ht="18" customHeight="1" x14ac:dyDescent="0.45">
      <c r="A777" s="13">
        <v>771</v>
      </c>
      <c r="B777" s="40" t="s">
        <v>71</v>
      </c>
      <c r="C777" s="40" t="s">
        <v>276</v>
      </c>
      <c r="D777" s="14" t="s">
        <v>3</v>
      </c>
      <c r="E777" s="15">
        <v>1</v>
      </c>
      <c r="F777" s="16">
        <v>15</v>
      </c>
      <c r="G777" s="17">
        <v>15</v>
      </c>
      <c r="H777" s="16">
        <v>16</v>
      </c>
      <c r="I777" s="17">
        <v>16</v>
      </c>
      <c r="J777" s="15">
        <v>31</v>
      </c>
      <c r="K777" s="43">
        <f t="shared" ref="K777" si="332">SUM(M777:M781)</f>
        <v>6</v>
      </c>
      <c r="L777" s="28">
        <v>2</v>
      </c>
      <c r="M777" s="33">
        <f t="shared" si="331"/>
        <v>2</v>
      </c>
      <c r="N777" s="1">
        <v>2114011100</v>
      </c>
    </row>
    <row r="778" spans="1:14" ht="18" customHeight="1" x14ac:dyDescent="0.45">
      <c r="A778" s="13">
        <v>772</v>
      </c>
      <c r="B778" s="41" t="str">
        <f t="shared" ref="B778:C781" si="333">B777</f>
        <v>埼玉千葉本部</v>
      </c>
      <c r="C778" s="41" t="str">
        <f t="shared" si="333"/>
        <v>ラヴィーレ大宮弐番館</v>
      </c>
      <c r="D778" s="14" t="s">
        <v>4</v>
      </c>
      <c r="E778" s="15">
        <v>1</v>
      </c>
      <c r="F778" s="16">
        <v>22</v>
      </c>
      <c r="G778" s="17">
        <v>22</v>
      </c>
      <c r="H778" s="16">
        <v>22</v>
      </c>
      <c r="I778" s="17">
        <v>22</v>
      </c>
      <c r="J778" s="15">
        <v>44</v>
      </c>
      <c r="K778" s="44">
        <f t="shared" si="310"/>
        <v>6</v>
      </c>
      <c r="L778" s="28">
        <v>2</v>
      </c>
      <c r="M778" s="33">
        <f t="shared" si="331"/>
        <v>2</v>
      </c>
      <c r="N778" s="1">
        <v>2114011100</v>
      </c>
    </row>
    <row r="779" spans="1:14" ht="18" customHeight="1" x14ac:dyDescent="0.45">
      <c r="A779" s="13">
        <v>773</v>
      </c>
      <c r="B779" s="41" t="str">
        <f t="shared" si="333"/>
        <v>埼玉千葉本部</v>
      </c>
      <c r="C779" s="41" t="str">
        <f t="shared" si="333"/>
        <v>ラヴィーレ大宮弐番館</v>
      </c>
      <c r="D779" s="14" t="s">
        <v>5</v>
      </c>
      <c r="E779" s="15">
        <v>2</v>
      </c>
      <c r="F779" s="16">
        <v>37</v>
      </c>
      <c r="G779" s="17">
        <v>18.5</v>
      </c>
      <c r="H779" s="16">
        <v>0</v>
      </c>
      <c r="I779" s="17">
        <v>0</v>
      </c>
      <c r="J779" s="15">
        <v>37</v>
      </c>
      <c r="K779" s="44">
        <f t="shared" si="310"/>
        <v>6</v>
      </c>
      <c r="L779" s="28">
        <v>2</v>
      </c>
      <c r="M779" s="33">
        <f t="shared" si="331"/>
        <v>2</v>
      </c>
      <c r="N779" s="1">
        <v>2114011100</v>
      </c>
    </row>
    <row r="780" spans="1:14" ht="18" customHeight="1" x14ac:dyDescent="0.45">
      <c r="A780" s="13">
        <v>774</v>
      </c>
      <c r="B780" s="41" t="str">
        <f t="shared" si="333"/>
        <v>埼玉千葉本部</v>
      </c>
      <c r="C780" s="41" t="str">
        <f t="shared" si="333"/>
        <v>ラヴィーレ大宮弐番館</v>
      </c>
      <c r="D780" s="14" t="s">
        <v>6</v>
      </c>
      <c r="E780" s="15">
        <v>4</v>
      </c>
      <c r="F780" s="16">
        <v>1</v>
      </c>
      <c r="G780" s="17">
        <v>0.3</v>
      </c>
      <c r="H780" s="16">
        <v>0</v>
      </c>
      <c r="I780" s="17">
        <v>0</v>
      </c>
      <c r="J780" s="15">
        <v>1</v>
      </c>
      <c r="K780" s="44">
        <f t="shared" si="310"/>
        <v>6</v>
      </c>
      <c r="L780" s="28">
        <v>0</v>
      </c>
      <c r="M780" s="33">
        <f t="shared" si="331"/>
        <v>0</v>
      </c>
      <c r="N780" s="1">
        <v>2114011100</v>
      </c>
    </row>
    <row r="781" spans="1:14" ht="18" customHeight="1" x14ac:dyDescent="0.45">
      <c r="A781" s="13">
        <v>775</v>
      </c>
      <c r="B781" s="42" t="str">
        <f t="shared" si="333"/>
        <v>埼玉千葉本部</v>
      </c>
      <c r="C781" s="42" t="str">
        <f t="shared" si="333"/>
        <v>ラヴィーレ大宮弐番館</v>
      </c>
      <c r="D781" s="14" t="s">
        <v>2</v>
      </c>
      <c r="E781" s="15">
        <v>3</v>
      </c>
      <c r="F781" s="16">
        <v>0</v>
      </c>
      <c r="G781" s="17">
        <v>0</v>
      </c>
      <c r="H781" s="16">
        <v>0</v>
      </c>
      <c r="I781" s="17">
        <v>0</v>
      </c>
      <c r="J781" s="15">
        <v>0</v>
      </c>
      <c r="K781" s="45">
        <f t="shared" si="310"/>
        <v>6</v>
      </c>
      <c r="L781" s="28">
        <v>0</v>
      </c>
      <c r="M781" s="33">
        <f t="shared" si="331"/>
        <v>0</v>
      </c>
      <c r="N781" s="1">
        <v>2114011100</v>
      </c>
    </row>
    <row r="782" spans="1:14" ht="18" customHeight="1" x14ac:dyDescent="0.45">
      <c r="A782" s="31">
        <v>776</v>
      </c>
      <c r="B782" s="34" t="s">
        <v>71</v>
      </c>
      <c r="C782" s="34" t="s">
        <v>277</v>
      </c>
      <c r="D782" s="9" t="s">
        <v>3</v>
      </c>
      <c r="E782" s="10">
        <v>1</v>
      </c>
      <c r="F782" s="11">
        <v>15</v>
      </c>
      <c r="G782" s="12">
        <v>15</v>
      </c>
      <c r="H782" s="11">
        <v>2</v>
      </c>
      <c r="I782" s="12">
        <v>2</v>
      </c>
      <c r="J782" s="10">
        <v>17</v>
      </c>
      <c r="K782" s="37">
        <f t="shared" ref="K782" si="334">SUM(M782:M786)</f>
        <v>6</v>
      </c>
      <c r="L782" s="28">
        <v>2</v>
      </c>
      <c r="M782" s="33">
        <f t="shared" si="331"/>
        <v>2</v>
      </c>
      <c r="N782" s="1">
        <v>2114021100</v>
      </c>
    </row>
    <row r="783" spans="1:14" ht="18" customHeight="1" x14ac:dyDescent="0.45">
      <c r="A783" s="31">
        <v>777</v>
      </c>
      <c r="B783" s="35" t="str">
        <f t="shared" ref="B783:C786" si="335">B782</f>
        <v>埼玉千葉本部</v>
      </c>
      <c r="C783" s="35" t="str">
        <f t="shared" si="335"/>
        <v>ラヴィーレ大宮</v>
      </c>
      <c r="D783" s="9" t="s">
        <v>4</v>
      </c>
      <c r="E783" s="10">
        <v>1</v>
      </c>
      <c r="F783" s="11">
        <v>8</v>
      </c>
      <c r="G783" s="12">
        <v>8</v>
      </c>
      <c r="H783" s="11">
        <v>0</v>
      </c>
      <c r="I783" s="12">
        <v>0</v>
      </c>
      <c r="J783" s="10">
        <v>8</v>
      </c>
      <c r="K783" s="38">
        <f t="shared" si="310"/>
        <v>6</v>
      </c>
      <c r="L783" s="28">
        <v>2</v>
      </c>
      <c r="M783" s="33">
        <f t="shared" si="331"/>
        <v>2</v>
      </c>
      <c r="N783" s="1">
        <v>2114021100</v>
      </c>
    </row>
    <row r="784" spans="1:14" ht="18" customHeight="1" x14ac:dyDescent="0.45">
      <c r="A784" s="31">
        <v>778</v>
      </c>
      <c r="B784" s="35" t="str">
        <f t="shared" si="335"/>
        <v>埼玉千葉本部</v>
      </c>
      <c r="C784" s="35" t="str">
        <f t="shared" si="335"/>
        <v>ラヴィーレ大宮</v>
      </c>
      <c r="D784" s="9" t="s">
        <v>5</v>
      </c>
      <c r="E784" s="10">
        <v>2</v>
      </c>
      <c r="F784" s="11">
        <v>13</v>
      </c>
      <c r="G784" s="12">
        <v>6.5</v>
      </c>
      <c r="H784" s="11">
        <v>0</v>
      </c>
      <c r="I784" s="12">
        <v>0</v>
      </c>
      <c r="J784" s="10">
        <v>13</v>
      </c>
      <c r="K784" s="38">
        <f t="shared" si="310"/>
        <v>6</v>
      </c>
      <c r="L784" s="28">
        <v>2</v>
      </c>
      <c r="M784" s="33">
        <f t="shared" si="331"/>
        <v>2</v>
      </c>
      <c r="N784" s="1">
        <v>2114021100</v>
      </c>
    </row>
    <row r="785" spans="1:14" ht="18" customHeight="1" x14ac:dyDescent="0.45">
      <c r="A785" s="31">
        <v>779</v>
      </c>
      <c r="B785" s="35" t="str">
        <f t="shared" si="335"/>
        <v>埼玉千葉本部</v>
      </c>
      <c r="C785" s="35" t="str">
        <f t="shared" si="335"/>
        <v>ラヴィーレ大宮</v>
      </c>
      <c r="D785" s="9" t="s">
        <v>6</v>
      </c>
      <c r="E785" s="10">
        <v>4</v>
      </c>
      <c r="F785" s="11">
        <v>0</v>
      </c>
      <c r="G785" s="12">
        <v>0</v>
      </c>
      <c r="H785" s="11">
        <v>0</v>
      </c>
      <c r="I785" s="12">
        <v>0</v>
      </c>
      <c r="J785" s="10">
        <v>0</v>
      </c>
      <c r="K785" s="38">
        <f t="shared" si="310"/>
        <v>6</v>
      </c>
      <c r="L785" s="28">
        <v>0</v>
      </c>
      <c r="M785" s="33">
        <f t="shared" si="331"/>
        <v>0</v>
      </c>
      <c r="N785" s="1">
        <v>2114021100</v>
      </c>
    </row>
    <row r="786" spans="1:14" ht="18" customHeight="1" x14ac:dyDescent="0.45">
      <c r="A786" s="31">
        <v>780</v>
      </c>
      <c r="B786" s="36" t="str">
        <f t="shared" si="335"/>
        <v>埼玉千葉本部</v>
      </c>
      <c r="C786" s="36" t="str">
        <f t="shared" si="335"/>
        <v>ラヴィーレ大宮</v>
      </c>
      <c r="D786" s="9" t="s">
        <v>2</v>
      </c>
      <c r="E786" s="10">
        <v>2</v>
      </c>
      <c r="F786" s="11">
        <v>0</v>
      </c>
      <c r="G786" s="12">
        <v>0</v>
      </c>
      <c r="H786" s="11">
        <v>0</v>
      </c>
      <c r="I786" s="12">
        <v>0</v>
      </c>
      <c r="J786" s="10">
        <v>0</v>
      </c>
      <c r="K786" s="39">
        <f t="shared" si="310"/>
        <v>6</v>
      </c>
      <c r="L786" s="28">
        <v>0</v>
      </c>
      <c r="M786" s="33">
        <f t="shared" si="331"/>
        <v>0</v>
      </c>
      <c r="N786" s="1">
        <v>2114021100</v>
      </c>
    </row>
    <row r="787" spans="1:14" ht="18" customHeight="1" x14ac:dyDescent="0.45">
      <c r="A787" s="13">
        <v>781</v>
      </c>
      <c r="B787" s="40" t="s">
        <v>71</v>
      </c>
      <c r="C787" s="40" t="s">
        <v>73</v>
      </c>
      <c r="D787" s="14" t="s">
        <v>3</v>
      </c>
      <c r="E787" s="15">
        <v>1</v>
      </c>
      <c r="F787" s="16">
        <v>3</v>
      </c>
      <c r="G787" s="17">
        <v>3</v>
      </c>
      <c r="H787" s="16">
        <v>1</v>
      </c>
      <c r="I787" s="17">
        <v>1</v>
      </c>
      <c r="J787" s="15">
        <v>4</v>
      </c>
      <c r="K787" s="43">
        <f t="shared" ref="K787" si="336">SUM(M787:M791)</f>
        <v>8</v>
      </c>
      <c r="L787" s="28">
        <v>1</v>
      </c>
      <c r="M787" s="33">
        <f t="shared" si="331"/>
        <v>1</v>
      </c>
      <c r="N787" s="1">
        <v>2114071200</v>
      </c>
    </row>
    <row r="788" spans="1:14" ht="18" customHeight="1" x14ac:dyDescent="0.45">
      <c r="A788" s="13">
        <v>782</v>
      </c>
      <c r="B788" s="41" t="str">
        <f t="shared" ref="B788:C791" si="337">B787</f>
        <v>埼玉千葉本部</v>
      </c>
      <c r="C788" s="41" t="str">
        <f t="shared" si="337"/>
        <v>そんぽの家　大宮</v>
      </c>
      <c r="D788" s="14" t="s">
        <v>4</v>
      </c>
      <c r="E788" s="15">
        <v>1</v>
      </c>
      <c r="F788" s="16">
        <v>5</v>
      </c>
      <c r="G788" s="17">
        <v>5</v>
      </c>
      <c r="H788" s="16">
        <v>7</v>
      </c>
      <c r="I788" s="17">
        <v>7</v>
      </c>
      <c r="J788" s="15">
        <v>12</v>
      </c>
      <c r="K788" s="44">
        <f t="shared" ref="K788:K851" si="338">K787</f>
        <v>8</v>
      </c>
      <c r="L788" s="28">
        <v>2</v>
      </c>
      <c r="M788" s="33">
        <f t="shared" si="331"/>
        <v>2</v>
      </c>
      <c r="N788" s="1">
        <v>2114071200</v>
      </c>
    </row>
    <row r="789" spans="1:14" ht="18" customHeight="1" x14ac:dyDescent="0.45">
      <c r="A789" s="13">
        <v>783</v>
      </c>
      <c r="B789" s="41" t="str">
        <f t="shared" si="337"/>
        <v>埼玉千葉本部</v>
      </c>
      <c r="C789" s="41" t="str">
        <f t="shared" si="337"/>
        <v>そんぽの家　大宮</v>
      </c>
      <c r="D789" s="14" t="s">
        <v>5</v>
      </c>
      <c r="E789" s="15">
        <v>1</v>
      </c>
      <c r="F789" s="16">
        <v>23</v>
      </c>
      <c r="G789" s="17">
        <v>23</v>
      </c>
      <c r="H789" s="16">
        <v>0</v>
      </c>
      <c r="I789" s="17">
        <v>0</v>
      </c>
      <c r="J789" s="15">
        <v>23</v>
      </c>
      <c r="K789" s="44">
        <f t="shared" si="338"/>
        <v>8</v>
      </c>
      <c r="L789" s="28">
        <v>2</v>
      </c>
      <c r="M789" s="33">
        <f t="shared" si="331"/>
        <v>2</v>
      </c>
      <c r="N789" s="1">
        <v>2114071200</v>
      </c>
    </row>
    <row r="790" spans="1:14" ht="18" customHeight="1" x14ac:dyDescent="0.45">
      <c r="A790" s="13">
        <v>784</v>
      </c>
      <c r="B790" s="41" t="str">
        <f t="shared" si="337"/>
        <v>埼玉千葉本部</v>
      </c>
      <c r="C790" s="41" t="str">
        <f t="shared" si="337"/>
        <v>そんぽの家　大宮</v>
      </c>
      <c r="D790" s="14" t="s">
        <v>6</v>
      </c>
      <c r="E790" s="15">
        <v>3</v>
      </c>
      <c r="F790" s="16">
        <v>14</v>
      </c>
      <c r="G790" s="17">
        <v>4.7</v>
      </c>
      <c r="H790" s="16">
        <v>0</v>
      </c>
      <c r="I790" s="17">
        <v>0</v>
      </c>
      <c r="J790" s="15">
        <v>14</v>
      </c>
      <c r="K790" s="44">
        <f t="shared" si="338"/>
        <v>8</v>
      </c>
      <c r="L790" s="28">
        <v>2</v>
      </c>
      <c r="M790" s="33">
        <f t="shared" si="331"/>
        <v>2</v>
      </c>
      <c r="N790" s="1">
        <v>2114071200</v>
      </c>
    </row>
    <row r="791" spans="1:14" ht="18" customHeight="1" x14ac:dyDescent="0.45">
      <c r="A791" s="13">
        <v>785</v>
      </c>
      <c r="B791" s="42" t="str">
        <f t="shared" si="337"/>
        <v>埼玉千葉本部</v>
      </c>
      <c r="C791" s="42" t="str">
        <f t="shared" si="337"/>
        <v>そんぽの家　大宮</v>
      </c>
      <c r="D791" s="14" t="s">
        <v>2</v>
      </c>
      <c r="E791" s="15">
        <v>2</v>
      </c>
      <c r="F791" s="16">
        <v>6</v>
      </c>
      <c r="G791" s="17">
        <v>3</v>
      </c>
      <c r="H791" s="16">
        <v>0</v>
      </c>
      <c r="I791" s="17">
        <v>0</v>
      </c>
      <c r="J791" s="15">
        <v>6</v>
      </c>
      <c r="K791" s="45">
        <f t="shared" si="338"/>
        <v>8</v>
      </c>
      <c r="L791" s="28">
        <v>1</v>
      </c>
      <c r="M791" s="33">
        <f t="shared" si="331"/>
        <v>1</v>
      </c>
      <c r="N791" s="1">
        <v>2114071200</v>
      </c>
    </row>
    <row r="792" spans="1:14" ht="18" customHeight="1" x14ac:dyDescent="0.45">
      <c r="A792" s="8">
        <v>786</v>
      </c>
      <c r="B792" s="34" t="s">
        <v>71</v>
      </c>
      <c r="C792" s="34" t="s">
        <v>278</v>
      </c>
      <c r="D792" s="9" t="s">
        <v>3</v>
      </c>
      <c r="E792" s="10">
        <v>1</v>
      </c>
      <c r="F792" s="11">
        <v>20</v>
      </c>
      <c r="G792" s="12">
        <v>20</v>
      </c>
      <c r="H792" s="11">
        <v>17</v>
      </c>
      <c r="I792" s="12">
        <v>17</v>
      </c>
      <c r="J792" s="10">
        <v>37</v>
      </c>
      <c r="K792" s="37">
        <f t="shared" ref="K792" si="339">SUM(M792:M796)</f>
        <v>8</v>
      </c>
      <c r="L792" s="28">
        <v>2</v>
      </c>
      <c r="M792" s="33">
        <f t="shared" si="331"/>
        <v>2</v>
      </c>
      <c r="N792" s="1">
        <v>2114081100</v>
      </c>
    </row>
    <row r="793" spans="1:14" ht="18" customHeight="1" x14ac:dyDescent="0.45">
      <c r="A793" s="8">
        <v>787</v>
      </c>
      <c r="B793" s="35" t="str">
        <f t="shared" ref="B793:C796" si="340">B792</f>
        <v>埼玉千葉本部</v>
      </c>
      <c r="C793" s="35" t="str">
        <f t="shared" si="340"/>
        <v>ラヴィーレ西大宮</v>
      </c>
      <c r="D793" s="9" t="s">
        <v>4</v>
      </c>
      <c r="E793" s="10">
        <v>1</v>
      </c>
      <c r="F793" s="11">
        <v>16</v>
      </c>
      <c r="G793" s="12">
        <v>16</v>
      </c>
      <c r="H793" s="11">
        <v>16</v>
      </c>
      <c r="I793" s="12">
        <v>16</v>
      </c>
      <c r="J793" s="10">
        <v>32</v>
      </c>
      <c r="K793" s="38">
        <f t="shared" si="338"/>
        <v>8</v>
      </c>
      <c r="L793" s="28">
        <v>2</v>
      </c>
      <c r="M793" s="33">
        <f t="shared" si="331"/>
        <v>2</v>
      </c>
      <c r="N793" s="1">
        <v>2114081100</v>
      </c>
    </row>
    <row r="794" spans="1:14" ht="18" customHeight="1" x14ac:dyDescent="0.45">
      <c r="A794" s="8">
        <v>788</v>
      </c>
      <c r="B794" s="35" t="str">
        <f t="shared" si="340"/>
        <v>埼玉千葉本部</v>
      </c>
      <c r="C794" s="35" t="str">
        <f t="shared" si="340"/>
        <v>ラヴィーレ西大宮</v>
      </c>
      <c r="D794" s="9" t="s">
        <v>5</v>
      </c>
      <c r="E794" s="10">
        <v>1</v>
      </c>
      <c r="F794" s="11">
        <v>28</v>
      </c>
      <c r="G794" s="12">
        <v>28</v>
      </c>
      <c r="H794" s="11">
        <v>0</v>
      </c>
      <c r="I794" s="12">
        <v>0</v>
      </c>
      <c r="J794" s="10">
        <v>28</v>
      </c>
      <c r="K794" s="38">
        <f t="shared" si="338"/>
        <v>8</v>
      </c>
      <c r="L794" s="28">
        <v>2</v>
      </c>
      <c r="M794" s="33">
        <f t="shared" si="331"/>
        <v>2</v>
      </c>
      <c r="N794" s="1">
        <v>2114081100</v>
      </c>
    </row>
    <row r="795" spans="1:14" ht="18" customHeight="1" x14ac:dyDescent="0.45">
      <c r="A795" s="8">
        <v>789</v>
      </c>
      <c r="B795" s="35" t="str">
        <f t="shared" si="340"/>
        <v>埼玉千葉本部</v>
      </c>
      <c r="C795" s="35" t="str">
        <f t="shared" si="340"/>
        <v>ラヴィーレ西大宮</v>
      </c>
      <c r="D795" s="9" t="s">
        <v>6</v>
      </c>
      <c r="E795" s="10">
        <v>4</v>
      </c>
      <c r="F795" s="11">
        <v>1</v>
      </c>
      <c r="G795" s="12">
        <v>0.3</v>
      </c>
      <c r="H795" s="11">
        <v>0</v>
      </c>
      <c r="I795" s="12">
        <v>0</v>
      </c>
      <c r="J795" s="10">
        <v>1</v>
      </c>
      <c r="K795" s="38">
        <f t="shared" si="338"/>
        <v>8</v>
      </c>
      <c r="L795" s="28">
        <v>0</v>
      </c>
      <c r="M795" s="33">
        <f t="shared" si="331"/>
        <v>0</v>
      </c>
      <c r="N795" s="1">
        <v>2114081100</v>
      </c>
    </row>
    <row r="796" spans="1:14" ht="18" customHeight="1" x14ac:dyDescent="0.45">
      <c r="A796" s="8">
        <v>790</v>
      </c>
      <c r="B796" s="36" t="str">
        <f t="shared" si="340"/>
        <v>埼玉千葉本部</v>
      </c>
      <c r="C796" s="36" t="str">
        <f t="shared" si="340"/>
        <v>ラヴィーレ西大宮</v>
      </c>
      <c r="D796" s="9" t="s">
        <v>2</v>
      </c>
      <c r="E796" s="10">
        <v>2</v>
      </c>
      <c r="F796" s="11">
        <v>24</v>
      </c>
      <c r="G796" s="12">
        <v>12</v>
      </c>
      <c r="H796" s="11">
        <v>0</v>
      </c>
      <c r="I796" s="12">
        <v>0</v>
      </c>
      <c r="J796" s="10">
        <v>24</v>
      </c>
      <c r="K796" s="39">
        <f t="shared" si="338"/>
        <v>8</v>
      </c>
      <c r="L796" s="28">
        <v>2</v>
      </c>
      <c r="M796" s="33">
        <f t="shared" si="331"/>
        <v>2</v>
      </c>
      <c r="N796" s="1">
        <v>2114081100</v>
      </c>
    </row>
    <row r="797" spans="1:14" ht="18" customHeight="1" x14ac:dyDescent="0.45">
      <c r="A797" s="13">
        <v>791</v>
      </c>
      <c r="B797" s="40" t="s">
        <v>71</v>
      </c>
      <c r="C797" s="40" t="s">
        <v>279</v>
      </c>
      <c r="D797" s="14" t="s">
        <v>3</v>
      </c>
      <c r="E797" s="15">
        <v>1</v>
      </c>
      <c r="F797" s="16">
        <v>21</v>
      </c>
      <c r="G797" s="17">
        <v>21</v>
      </c>
      <c r="H797" s="16">
        <v>22</v>
      </c>
      <c r="I797" s="17">
        <v>22</v>
      </c>
      <c r="J797" s="15">
        <v>43</v>
      </c>
      <c r="K797" s="43">
        <f t="shared" ref="K797" si="341">SUM(M797:M801)</f>
        <v>10</v>
      </c>
      <c r="L797" s="28">
        <v>2</v>
      </c>
      <c r="M797" s="33">
        <f t="shared" si="331"/>
        <v>2</v>
      </c>
      <c r="N797" s="1">
        <v>2114091100</v>
      </c>
    </row>
    <row r="798" spans="1:14" ht="18" customHeight="1" x14ac:dyDescent="0.45">
      <c r="A798" s="13">
        <v>792</v>
      </c>
      <c r="B798" s="41" t="str">
        <f t="shared" ref="B798:C801" si="342">B797</f>
        <v>埼玉千葉本部</v>
      </c>
      <c r="C798" s="41" t="str">
        <f t="shared" si="342"/>
        <v>ラヴィーレ武蔵浦和</v>
      </c>
      <c r="D798" s="14" t="s">
        <v>4</v>
      </c>
      <c r="E798" s="15">
        <v>1</v>
      </c>
      <c r="F798" s="16">
        <v>9</v>
      </c>
      <c r="G798" s="17">
        <v>9</v>
      </c>
      <c r="H798" s="16">
        <v>2</v>
      </c>
      <c r="I798" s="17">
        <v>2</v>
      </c>
      <c r="J798" s="15">
        <v>11</v>
      </c>
      <c r="K798" s="44">
        <f t="shared" si="338"/>
        <v>10</v>
      </c>
      <c r="L798" s="28">
        <v>2</v>
      </c>
      <c r="M798" s="33">
        <f t="shared" si="331"/>
        <v>2</v>
      </c>
      <c r="N798" s="1">
        <v>2114091100</v>
      </c>
    </row>
    <row r="799" spans="1:14" ht="18" customHeight="1" x14ac:dyDescent="0.45">
      <c r="A799" s="13">
        <v>793</v>
      </c>
      <c r="B799" s="41" t="str">
        <f t="shared" si="342"/>
        <v>埼玉千葉本部</v>
      </c>
      <c r="C799" s="41" t="str">
        <f t="shared" si="342"/>
        <v>ラヴィーレ武蔵浦和</v>
      </c>
      <c r="D799" s="14" t="s">
        <v>5</v>
      </c>
      <c r="E799" s="15">
        <v>2</v>
      </c>
      <c r="F799" s="16">
        <v>21</v>
      </c>
      <c r="G799" s="17">
        <v>10.5</v>
      </c>
      <c r="H799" s="16">
        <v>0</v>
      </c>
      <c r="I799" s="17">
        <v>0</v>
      </c>
      <c r="J799" s="15">
        <v>21</v>
      </c>
      <c r="K799" s="44">
        <f t="shared" si="338"/>
        <v>10</v>
      </c>
      <c r="L799" s="28">
        <v>2</v>
      </c>
      <c r="M799" s="33">
        <f t="shared" si="331"/>
        <v>2</v>
      </c>
      <c r="N799" s="1">
        <v>2114091100</v>
      </c>
    </row>
    <row r="800" spans="1:14" ht="18" customHeight="1" x14ac:dyDescent="0.45">
      <c r="A800" s="13">
        <v>794</v>
      </c>
      <c r="B800" s="41" t="str">
        <f t="shared" si="342"/>
        <v>埼玉千葉本部</v>
      </c>
      <c r="C800" s="41" t="str">
        <f t="shared" si="342"/>
        <v>ラヴィーレ武蔵浦和</v>
      </c>
      <c r="D800" s="14" t="s">
        <v>6</v>
      </c>
      <c r="E800" s="15">
        <v>4</v>
      </c>
      <c r="F800" s="16">
        <v>17</v>
      </c>
      <c r="G800" s="17">
        <v>4.3</v>
      </c>
      <c r="H800" s="16">
        <v>0</v>
      </c>
      <c r="I800" s="17">
        <v>0</v>
      </c>
      <c r="J800" s="15">
        <v>17</v>
      </c>
      <c r="K800" s="44">
        <f t="shared" si="338"/>
        <v>10</v>
      </c>
      <c r="L800" s="28">
        <v>2</v>
      </c>
      <c r="M800" s="33">
        <f t="shared" si="331"/>
        <v>2</v>
      </c>
      <c r="N800" s="1">
        <v>2114091100</v>
      </c>
    </row>
    <row r="801" spans="1:14" ht="18" customHeight="1" x14ac:dyDescent="0.45">
      <c r="A801" s="13">
        <v>795</v>
      </c>
      <c r="B801" s="42" t="str">
        <f t="shared" si="342"/>
        <v>埼玉千葉本部</v>
      </c>
      <c r="C801" s="42" t="str">
        <f t="shared" si="342"/>
        <v>ラヴィーレ武蔵浦和</v>
      </c>
      <c r="D801" s="14" t="s">
        <v>2</v>
      </c>
      <c r="E801" s="15">
        <v>2</v>
      </c>
      <c r="F801" s="16">
        <v>8</v>
      </c>
      <c r="G801" s="17">
        <v>4</v>
      </c>
      <c r="H801" s="16">
        <v>0</v>
      </c>
      <c r="I801" s="17">
        <v>0</v>
      </c>
      <c r="J801" s="15">
        <v>8</v>
      </c>
      <c r="K801" s="45">
        <f t="shared" si="338"/>
        <v>10</v>
      </c>
      <c r="L801" s="28">
        <v>2</v>
      </c>
      <c r="M801" s="33">
        <f t="shared" si="331"/>
        <v>2</v>
      </c>
      <c r="N801" s="1">
        <v>2114091100</v>
      </c>
    </row>
    <row r="802" spans="1:14" ht="18" customHeight="1" x14ac:dyDescent="0.45">
      <c r="A802" s="8">
        <v>796</v>
      </c>
      <c r="B802" s="34" t="s">
        <v>71</v>
      </c>
      <c r="C802" s="34" t="s">
        <v>74</v>
      </c>
      <c r="D802" s="9" t="s">
        <v>3</v>
      </c>
      <c r="E802" s="10">
        <v>1</v>
      </c>
      <c r="F802" s="11">
        <v>11</v>
      </c>
      <c r="G802" s="12">
        <v>11</v>
      </c>
      <c r="H802" s="11">
        <v>3</v>
      </c>
      <c r="I802" s="12">
        <v>3</v>
      </c>
      <c r="J802" s="10">
        <v>14</v>
      </c>
      <c r="K802" s="37">
        <f t="shared" ref="K802" si="343">SUM(M802:M806)</f>
        <v>6</v>
      </c>
      <c r="L802" s="28">
        <v>2</v>
      </c>
      <c r="M802" s="33">
        <f t="shared" si="331"/>
        <v>2</v>
      </c>
      <c r="N802" s="1">
        <v>2114101200</v>
      </c>
    </row>
    <row r="803" spans="1:14" ht="18" customHeight="1" x14ac:dyDescent="0.45">
      <c r="A803" s="8">
        <v>797</v>
      </c>
      <c r="B803" s="35" t="str">
        <f t="shared" ref="B803:C806" si="344">B802</f>
        <v>埼玉千葉本部</v>
      </c>
      <c r="C803" s="35" t="str">
        <f t="shared" si="344"/>
        <v>そんぽの家　南与野</v>
      </c>
      <c r="D803" s="9" t="s">
        <v>4</v>
      </c>
      <c r="E803" s="10">
        <v>1</v>
      </c>
      <c r="F803" s="11">
        <v>7</v>
      </c>
      <c r="G803" s="12">
        <v>7</v>
      </c>
      <c r="H803" s="11">
        <v>7</v>
      </c>
      <c r="I803" s="12">
        <v>7</v>
      </c>
      <c r="J803" s="10">
        <v>14</v>
      </c>
      <c r="K803" s="38">
        <f t="shared" si="338"/>
        <v>6</v>
      </c>
      <c r="L803" s="28">
        <v>2</v>
      </c>
      <c r="M803" s="33">
        <f t="shared" si="331"/>
        <v>2</v>
      </c>
      <c r="N803" s="1">
        <v>2114101200</v>
      </c>
    </row>
    <row r="804" spans="1:14" ht="18" customHeight="1" x14ac:dyDescent="0.45">
      <c r="A804" s="8">
        <v>798</v>
      </c>
      <c r="B804" s="35" t="str">
        <f t="shared" si="344"/>
        <v>埼玉千葉本部</v>
      </c>
      <c r="C804" s="35" t="str">
        <f t="shared" si="344"/>
        <v>そんぽの家　南与野</v>
      </c>
      <c r="D804" s="9" t="s">
        <v>5</v>
      </c>
      <c r="E804" s="10">
        <v>1</v>
      </c>
      <c r="F804" s="11">
        <v>20</v>
      </c>
      <c r="G804" s="12">
        <v>20</v>
      </c>
      <c r="H804" s="11">
        <v>0</v>
      </c>
      <c r="I804" s="12">
        <v>0</v>
      </c>
      <c r="J804" s="10">
        <v>20</v>
      </c>
      <c r="K804" s="38">
        <f t="shared" si="338"/>
        <v>6</v>
      </c>
      <c r="L804" s="28">
        <v>2</v>
      </c>
      <c r="M804" s="33">
        <f t="shared" si="331"/>
        <v>2</v>
      </c>
      <c r="N804" s="1">
        <v>2114101200</v>
      </c>
    </row>
    <row r="805" spans="1:14" ht="18" customHeight="1" x14ac:dyDescent="0.45">
      <c r="A805" s="8">
        <v>799</v>
      </c>
      <c r="B805" s="35" t="str">
        <f t="shared" si="344"/>
        <v>埼玉千葉本部</v>
      </c>
      <c r="C805" s="35" t="str">
        <f t="shared" si="344"/>
        <v>そんぽの家　南与野</v>
      </c>
      <c r="D805" s="9" t="s">
        <v>6</v>
      </c>
      <c r="E805" s="10">
        <v>3</v>
      </c>
      <c r="F805" s="11">
        <v>0</v>
      </c>
      <c r="G805" s="12">
        <v>0</v>
      </c>
      <c r="H805" s="11">
        <v>0</v>
      </c>
      <c r="I805" s="12">
        <v>0</v>
      </c>
      <c r="J805" s="10">
        <v>0</v>
      </c>
      <c r="K805" s="38">
        <f t="shared" si="338"/>
        <v>6</v>
      </c>
      <c r="L805" s="28">
        <v>0</v>
      </c>
      <c r="M805" s="33">
        <f t="shared" si="331"/>
        <v>0</v>
      </c>
      <c r="N805" s="1">
        <v>2114101200</v>
      </c>
    </row>
    <row r="806" spans="1:14" ht="18" customHeight="1" x14ac:dyDescent="0.45">
      <c r="A806" s="8">
        <v>800</v>
      </c>
      <c r="B806" s="36" t="str">
        <f t="shared" si="344"/>
        <v>埼玉千葉本部</v>
      </c>
      <c r="C806" s="36" t="str">
        <f t="shared" si="344"/>
        <v>そんぽの家　南与野</v>
      </c>
      <c r="D806" s="9" t="s">
        <v>2</v>
      </c>
      <c r="E806" s="10">
        <v>1</v>
      </c>
      <c r="F806" s="11">
        <v>1</v>
      </c>
      <c r="G806" s="12">
        <v>1</v>
      </c>
      <c r="H806" s="11">
        <v>0</v>
      </c>
      <c r="I806" s="12">
        <v>0</v>
      </c>
      <c r="J806" s="10">
        <v>1</v>
      </c>
      <c r="K806" s="39">
        <f t="shared" si="338"/>
        <v>6</v>
      </c>
      <c r="L806" s="28">
        <v>0</v>
      </c>
      <c r="M806" s="33">
        <f t="shared" si="331"/>
        <v>0</v>
      </c>
      <c r="N806" s="1">
        <v>2114101200</v>
      </c>
    </row>
    <row r="807" spans="1:14" ht="18" customHeight="1" x14ac:dyDescent="0.45">
      <c r="A807" s="13">
        <v>801</v>
      </c>
      <c r="B807" s="40" t="s">
        <v>71</v>
      </c>
      <c r="C807" s="40" t="s">
        <v>75</v>
      </c>
      <c r="D807" s="14" t="s">
        <v>3</v>
      </c>
      <c r="E807" s="15">
        <v>1</v>
      </c>
      <c r="F807" s="16">
        <v>3</v>
      </c>
      <c r="G807" s="17">
        <v>3</v>
      </c>
      <c r="H807" s="16">
        <v>2</v>
      </c>
      <c r="I807" s="17">
        <v>2</v>
      </c>
      <c r="J807" s="15">
        <v>5</v>
      </c>
      <c r="K807" s="43">
        <f t="shared" ref="K807" si="345">SUM(M807:M811)</f>
        <v>7</v>
      </c>
      <c r="L807" s="28">
        <v>1</v>
      </c>
      <c r="M807" s="33">
        <f t="shared" si="331"/>
        <v>1</v>
      </c>
      <c r="N807" s="1">
        <v>2114131200</v>
      </c>
    </row>
    <row r="808" spans="1:14" ht="18" customHeight="1" x14ac:dyDescent="0.45">
      <c r="A808" s="13">
        <v>802</v>
      </c>
      <c r="B808" s="41" t="str">
        <f t="shared" ref="B808:C811" si="346">B807</f>
        <v>埼玉千葉本部</v>
      </c>
      <c r="C808" s="41" t="str">
        <f t="shared" si="346"/>
        <v>そんぽの家　越谷</v>
      </c>
      <c r="D808" s="14" t="s">
        <v>4</v>
      </c>
      <c r="E808" s="15">
        <v>1</v>
      </c>
      <c r="F808" s="16">
        <v>13</v>
      </c>
      <c r="G808" s="17">
        <v>13</v>
      </c>
      <c r="H808" s="16">
        <v>12</v>
      </c>
      <c r="I808" s="17">
        <v>12</v>
      </c>
      <c r="J808" s="15">
        <v>25</v>
      </c>
      <c r="K808" s="44">
        <f t="shared" si="338"/>
        <v>7</v>
      </c>
      <c r="L808" s="28">
        <v>2</v>
      </c>
      <c r="M808" s="33">
        <f t="shared" si="331"/>
        <v>2</v>
      </c>
      <c r="N808" s="1">
        <v>2114131200</v>
      </c>
    </row>
    <row r="809" spans="1:14" ht="18" customHeight="1" x14ac:dyDescent="0.45">
      <c r="A809" s="13">
        <v>803</v>
      </c>
      <c r="B809" s="41" t="str">
        <f t="shared" si="346"/>
        <v>埼玉千葉本部</v>
      </c>
      <c r="C809" s="41" t="str">
        <f t="shared" si="346"/>
        <v>そんぽの家　越谷</v>
      </c>
      <c r="D809" s="14" t="s">
        <v>5</v>
      </c>
      <c r="E809" s="15">
        <v>1</v>
      </c>
      <c r="F809" s="16">
        <v>34</v>
      </c>
      <c r="G809" s="17">
        <v>34</v>
      </c>
      <c r="H809" s="16">
        <v>0</v>
      </c>
      <c r="I809" s="17">
        <v>0</v>
      </c>
      <c r="J809" s="15">
        <v>34</v>
      </c>
      <c r="K809" s="44">
        <f t="shared" si="338"/>
        <v>7</v>
      </c>
      <c r="L809" s="28">
        <v>2</v>
      </c>
      <c r="M809" s="33">
        <f t="shared" si="331"/>
        <v>2</v>
      </c>
      <c r="N809" s="1">
        <v>2114131200</v>
      </c>
    </row>
    <row r="810" spans="1:14" ht="18" customHeight="1" x14ac:dyDescent="0.45">
      <c r="A810" s="13">
        <v>804</v>
      </c>
      <c r="B810" s="41" t="str">
        <f t="shared" si="346"/>
        <v>埼玉千葉本部</v>
      </c>
      <c r="C810" s="41" t="str">
        <f t="shared" si="346"/>
        <v>そんぽの家　越谷</v>
      </c>
      <c r="D810" s="14" t="s">
        <v>6</v>
      </c>
      <c r="E810" s="15">
        <v>4</v>
      </c>
      <c r="F810" s="16">
        <v>1</v>
      </c>
      <c r="G810" s="17">
        <v>0.3</v>
      </c>
      <c r="H810" s="16">
        <v>0</v>
      </c>
      <c r="I810" s="17">
        <v>0</v>
      </c>
      <c r="J810" s="15">
        <v>1</v>
      </c>
      <c r="K810" s="44">
        <f t="shared" si="338"/>
        <v>7</v>
      </c>
      <c r="L810" s="28">
        <v>0</v>
      </c>
      <c r="M810" s="33">
        <f t="shared" si="331"/>
        <v>0</v>
      </c>
      <c r="N810" s="1">
        <v>2114131200</v>
      </c>
    </row>
    <row r="811" spans="1:14" ht="18" customHeight="1" x14ac:dyDescent="0.45">
      <c r="A811" s="13">
        <v>805</v>
      </c>
      <c r="B811" s="42" t="str">
        <f t="shared" si="346"/>
        <v>埼玉千葉本部</v>
      </c>
      <c r="C811" s="42" t="str">
        <f t="shared" si="346"/>
        <v>そんぽの家　越谷</v>
      </c>
      <c r="D811" s="14" t="s">
        <v>2</v>
      </c>
      <c r="E811" s="15">
        <v>1</v>
      </c>
      <c r="F811" s="16">
        <v>22</v>
      </c>
      <c r="G811" s="17">
        <v>22</v>
      </c>
      <c r="H811" s="16">
        <v>0</v>
      </c>
      <c r="I811" s="17">
        <v>0</v>
      </c>
      <c r="J811" s="15">
        <v>22</v>
      </c>
      <c r="K811" s="45">
        <f t="shared" si="338"/>
        <v>7</v>
      </c>
      <c r="L811" s="28">
        <v>2</v>
      </c>
      <c r="M811" s="33">
        <f t="shared" si="331"/>
        <v>2</v>
      </c>
      <c r="N811" s="1">
        <v>2114131200</v>
      </c>
    </row>
    <row r="812" spans="1:14" ht="18" customHeight="1" x14ac:dyDescent="0.45">
      <c r="A812" s="8">
        <v>806</v>
      </c>
      <c r="B812" s="34" t="s">
        <v>71</v>
      </c>
      <c r="C812" s="34" t="s">
        <v>280</v>
      </c>
      <c r="D812" s="9" t="s">
        <v>3</v>
      </c>
      <c r="E812" s="10">
        <v>1</v>
      </c>
      <c r="F812" s="11">
        <v>17</v>
      </c>
      <c r="G812" s="12">
        <v>17</v>
      </c>
      <c r="H812" s="11">
        <v>16</v>
      </c>
      <c r="I812" s="12">
        <v>16</v>
      </c>
      <c r="J812" s="10">
        <v>33</v>
      </c>
      <c r="K812" s="37">
        <f t="shared" ref="K812" si="347">SUM(M812:M816)</f>
        <v>7</v>
      </c>
      <c r="L812" s="28">
        <v>2</v>
      </c>
      <c r="M812" s="33">
        <f t="shared" si="331"/>
        <v>2</v>
      </c>
      <c r="N812" s="1">
        <v>2114141100</v>
      </c>
    </row>
    <row r="813" spans="1:14" ht="18" customHeight="1" x14ac:dyDescent="0.45">
      <c r="A813" s="8">
        <v>807</v>
      </c>
      <c r="B813" s="35" t="str">
        <f t="shared" ref="B813:C816" si="348">B812</f>
        <v>埼玉千葉本部</v>
      </c>
      <c r="C813" s="35" t="str">
        <f t="shared" si="348"/>
        <v>ラヴィーレ越谷</v>
      </c>
      <c r="D813" s="9" t="s">
        <v>4</v>
      </c>
      <c r="E813" s="10">
        <v>2</v>
      </c>
      <c r="F813" s="11">
        <v>4</v>
      </c>
      <c r="G813" s="12">
        <v>2</v>
      </c>
      <c r="H813" s="11">
        <v>1</v>
      </c>
      <c r="I813" s="12">
        <v>0.5</v>
      </c>
      <c r="J813" s="10">
        <v>5</v>
      </c>
      <c r="K813" s="38">
        <f t="shared" si="338"/>
        <v>7</v>
      </c>
      <c r="L813" s="28">
        <v>1</v>
      </c>
      <c r="M813" s="33">
        <f t="shared" si="331"/>
        <v>1</v>
      </c>
      <c r="N813" s="1">
        <v>2114141100</v>
      </c>
    </row>
    <row r="814" spans="1:14" ht="18" customHeight="1" x14ac:dyDescent="0.45">
      <c r="A814" s="8">
        <v>808</v>
      </c>
      <c r="B814" s="35" t="str">
        <f t="shared" si="348"/>
        <v>埼玉千葉本部</v>
      </c>
      <c r="C814" s="35" t="str">
        <f t="shared" si="348"/>
        <v>ラヴィーレ越谷</v>
      </c>
      <c r="D814" s="9" t="s">
        <v>5</v>
      </c>
      <c r="E814" s="10">
        <v>2</v>
      </c>
      <c r="F814" s="11">
        <v>42</v>
      </c>
      <c r="G814" s="12">
        <v>21</v>
      </c>
      <c r="H814" s="11">
        <v>0</v>
      </c>
      <c r="I814" s="12">
        <v>0</v>
      </c>
      <c r="J814" s="10">
        <v>42</v>
      </c>
      <c r="K814" s="38">
        <f t="shared" si="338"/>
        <v>7</v>
      </c>
      <c r="L814" s="28">
        <v>2</v>
      </c>
      <c r="M814" s="33">
        <f t="shared" si="331"/>
        <v>2</v>
      </c>
      <c r="N814" s="1">
        <v>2114141100</v>
      </c>
    </row>
    <row r="815" spans="1:14" ht="18" customHeight="1" x14ac:dyDescent="0.45">
      <c r="A815" s="8">
        <v>809</v>
      </c>
      <c r="B815" s="35" t="str">
        <f t="shared" si="348"/>
        <v>埼玉千葉本部</v>
      </c>
      <c r="C815" s="35" t="str">
        <f t="shared" si="348"/>
        <v>ラヴィーレ越谷</v>
      </c>
      <c r="D815" s="9" t="s">
        <v>6</v>
      </c>
      <c r="E815" s="10">
        <v>4</v>
      </c>
      <c r="F815" s="11">
        <v>0</v>
      </c>
      <c r="G815" s="12">
        <v>0</v>
      </c>
      <c r="H815" s="11">
        <v>0</v>
      </c>
      <c r="I815" s="12">
        <v>0</v>
      </c>
      <c r="J815" s="10">
        <v>0</v>
      </c>
      <c r="K815" s="38">
        <f t="shared" si="338"/>
        <v>7</v>
      </c>
      <c r="L815" s="28">
        <v>0</v>
      </c>
      <c r="M815" s="33">
        <f t="shared" si="331"/>
        <v>0</v>
      </c>
      <c r="N815" s="1">
        <v>2114141100</v>
      </c>
    </row>
    <row r="816" spans="1:14" ht="18" customHeight="1" x14ac:dyDescent="0.45">
      <c r="A816" s="8">
        <v>810</v>
      </c>
      <c r="B816" s="36" t="str">
        <f t="shared" si="348"/>
        <v>埼玉千葉本部</v>
      </c>
      <c r="C816" s="36" t="str">
        <f t="shared" si="348"/>
        <v>ラヴィーレ越谷</v>
      </c>
      <c r="D816" s="9" t="s">
        <v>2</v>
      </c>
      <c r="E816" s="10">
        <v>2</v>
      </c>
      <c r="F816" s="11">
        <v>21</v>
      </c>
      <c r="G816" s="12">
        <v>10.5</v>
      </c>
      <c r="H816" s="11">
        <v>0</v>
      </c>
      <c r="I816" s="12">
        <v>0</v>
      </c>
      <c r="J816" s="10">
        <v>21</v>
      </c>
      <c r="K816" s="39">
        <f t="shared" si="338"/>
        <v>7</v>
      </c>
      <c r="L816" s="28">
        <v>2</v>
      </c>
      <c r="M816" s="33">
        <f t="shared" si="331"/>
        <v>2</v>
      </c>
      <c r="N816" s="1">
        <v>2114141100</v>
      </c>
    </row>
    <row r="817" spans="1:14" ht="18" customHeight="1" x14ac:dyDescent="0.45">
      <c r="A817" s="13">
        <v>811</v>
      </c>
      <c r="B817" s="40" t="s">
        <v>71</v>
      </c>
      <c r="C817" s="40" t="s">
        <v>281</v>
      </c>
      <c r="D817" s="14" t="s">
        <v>3</v>
      </c>
      <c r="E817" s="15">
        <v>1</v>
      </c>
      <c r="F817" s="16">
        <v>15</v>
      </c>
      <c r="G817" s="17">
        <v>15</v>
      </c>
      <c r="H817" s="16">
        <v>2</v>
      </c>
      <c r="I817" s="17">
        <v>2</v>
      </c>
      <c r="J817" s="15">
        <v>17</v>
      </c>
      <c r="K817" s="43">
        <f t="shared" ref="K817" si="349">SUM(M817:M821)</f>
        <v>6</v>
      </c>
      <c r="L817" s="28">
        <v>2</v>
      </c>
      <c r="M817" s="33">
        <f t="shared" si="331"/>
        <v>2</v>
      </c>
      <c r="N817" s="1">
        <v>2114181100</v>
      </c>
    </row>
    <row r="818" spans="1:14" ht="18" customHeight="1" x14ac:dyDescent="0.45">
      <c r="A818" s="13">
        <v>812</v>
      </c>
      <c r="B818" s="41" t="str">
        <f t="shared" ref="B818:C821" si="350">B817</f>
        <v>埼玉千葉本部</v>
      </c>
      <c r="C818" s="41" t="str">
        <f t="shared" si="350"/>
        <v>ラヴィーレ草加松原</v>
      </c>
      <c r="D818" s="14" t="s">
        <v>4</v>
      </c>
      <c r="E818" s="15">
        <v>1</v>
      </c>
      <c r="F818" s="16">
        <v>6</v>
      </c>
      <c r="G818" s="17">
        <v>6</v>
      </c>
      <c r="H818" s="16">
        <v>2</v>
      </c>
      <c r="I818" s="17">
        <v>2</v>
      </c>
      <c r="J818" s="15">
        <v>8</v>
      </c>
      <c r="K818" s="44">
        <f t="shared" si="338"/>
        <v>6</v>
      </c>
      <c r="L818" s="28">
        <v>2</v>
      </c>
      <c r="M818" s="33">
        <f t="shared" si="331"/>
        <v>2</v>
      </c>
      <c r="N818" s="1">
        <v>2114181100</v>
      </c>
    </row>
    <row r="819" spans="1:14" ht="18" customHeight="1" x14ac:dyDescent="0.45">
      <c r="A819" s="13">
        <v>813</v>
      </c>
      <c r="B819" s="41" t="str">
        <f t="shared" si="350"/>
        <v>埼玉千葉本部</v>
      </c>
      <c r="C819" s="41" t="str">
        <f t="shared" si="350"/>
        <v>ラヴィーレ草加松原</v>
      </c>
      <c r="D819" s="14" t="s">
        <v>5</v>
      </c>
      <c r="E819" s="15">
        <v>2</v>
      </c>
      <c r="F819" s="16">
        <v>8</v>
      </c>
      <c r="G819" s="17">
        <v>4</v>
      </c>
      <c r="H819" s="16">
        <v>0</v>
      </c>
      <c r="I819" s="17">
        <v>0</v>
      </c>
      <c r="J819" s="15">
        <v>8</v>
      </c>
      <c r="K819" s="44">
        <f t="shared" si="338"/>
        <v>6</v>
      </c>
      <c r="L819" s="28">
        <v>2</v>
      </c>
      <c r="M819" s="33">
        <f t="shared" si="331"/>
        <v>2</v>
      </c>
      <c r="N819" s="1">
        <v>2114181100</v>
      </c>
    </row>
    <row r="820" spans="1:14" ht="18" customHeight="1" x14ac:dyDescent="0.45">
      <c r="A820" s="13">
        <v>814</v>
      </c>
      <c r="B820" s="41" t="str">
        <f t="shared" si="350"/>
        <v>埼玉千葉本部</v>
      </c>
      <c r="C820" s="41" t="str">
        <f t="shared" si="350"/>
        <v>ラヴィーレ草加松原</v>
      </c>
      <c r="D820" s="14" t="s">
        <v>6</v>
      </c>
      <c r="E820" s="15">
        <v>10</v>
      </c>
      <c r="F820" s="16">
        <v>2</v>
      </c>
      <c r="G820" s="17">
        <v>0.2</v>
      </c>
      <c r="H820" s="16">
        <v>0</v>
      </c>
      <c r="I820" s="17">
        <v>0</v>
      </c>
      <c r="J820" s="15">
        <v>2</v>
      </c>
      <c r="K820" s="44">
        <f t="shared" si="338"/>
        <v>6</v>
      </c>
      <c r="L820" s="28">
        <v>0</v>
      </c>
      <c r="M820" s="33">
        <f t="shared" si="331"/>
        <v>0</v>
      </c>
      <c r="N820" s="1">
        <v>2114181100</v>
      </c>
    </row>
    <row r="821" spans="1:14" ht="18" customHeight="1" x14ac:dyDescent="0.45">
      <c r="A821" s="13">
        <v>815</v>
      </c>
      <c r="B821" s="42" t="str">
        <f t="shared" si="350"/>
        <v>埼玉千葉本部</v>
      </c>
      <c r="C821" s="42" t="str">
        <f t="shared" si="350"/>
        <v>ラヴィーレ草加松原</v>
      </c>
      <c r="D821" s="14" t="s">
        <v>2</v>
      </c>
      <c r="E821" s="15">
        <v>2</v>
      </c>
      <c r="F821" s="16">
        <v>0</v>
      </c>
      <c r="G821" s="17">
        <v>0</v>
      </c>
      <c r="H821" s="16">
        <v>0</v>
      </c>
      <c r="I821" s="17">
        <v>0</v>
      </c>
      <c r="J821" s="15">
        <v>0</v>
      </c>
      <c r="K821" s="45">
        <f t="shared" si="338"/>
        <v>6</v>
      </c>
      <c r="L821" s="28">
        <v>0</v>
      </c>
      <c r="M821" s="33">
        <f t="shared" si="331"/>
        <v>0</v>
      </c>
      <c r="N821" s="1">
        <v>2114181100</v>
      </c>
    </row>
    <row r="822" spans="1:14" ht="18" customHeight="1" x14ac:dyDescent="0.45">
      <c r="A822" s="8">
        <v>816</v>
      </c>
      <c r="B822" s="34" t="s">
        <v>71</v>
      </c>
      <c r="C822" s="34" t="s">
        <v>282</v>
      </c>
      <c r="D822" s="9" t="s">
        <v>3</v>
      </c>
      <c r="E822" s="10">
        <v>1</v>
      </c>
      <c r="F822" s="11">
        <v>11</v>
      </c>
      <c r="G822" s="12">
        <v>11</v>
      </c>
      <c r="H822" s="11">
        <v>11</v>
      </c>
      <c r="I822" s="12">
        <v>11</v>
      </c>
      <c r="J822" s="10">
        <v>22</v>
      </c>
      <c r="K822" s="37">
        <f t="shared" ref="K822" si="351">SUM(M822:M826)</f>
        <v>8</v>
      </c>
      <c r="L822" s="28">
        <v>2</v>
      </c>
      <c r="M822" s="33">
        <f t="shared" si="331"/>
        <v>2</v>
      </c>
      <c r="N822" s="1">
        <v>2114211100</v>
      </c>
    </row>
    <row r="823" spans="1:14" ht="18" customHeight="1" x14ac:dyDescent="0.45">
      <c r="A823" s="8">
        <v>817</v>
      </c>
      <c r="B823" s="35" t="str">
        <f t="shared" ref="B823:C826" si="352">B822</f>
        <v>埼玉千葉本部</v>
      </c>
      <c r="C823" s="35" t="str">
        <f t="shared" si="352"/>
        <v>ラヴィーレ草加</v>
      </c>
      <c r="D823" s="9" t="s">
        <v>4</v>
      </c>
      <c r="E823" s="10">
        <v>2</v>
      </c>
      <c r="F823" s="11">
        <v>19</v>
      </c>
      <c r="G823" s="12">
        <v>9.5</v>
      </c>
      <c r="H823" s="11">
        <v>11</v>
      </c>
      <c r="I823" s="12">
        <v>5.5</v>
      </c>
      <c r="J823" s="10">
        <v>30</v>
      </c>
      <c r="K823" s="38">
        <f t="shared" si="338"/>
        <v>8</v>
      </c>
      <c r="L823" s="28">
        <v>2</v>
      </c>
      <c r="M823" s="33">
        <f t="shared" si="331"/>
        <v>2</v>
      </c>
      <c r="N823" s="1">
        <v>2114211100</v>
      </c>
    </row>
    <row r="824" spans="1:14" ht="18" customHeight="1" x14ac:dyDescent="0.45">
      <c r="A824" s="8">
        <v>818</v>
      </c>
      <c r="B824" s="35" t="str">
        <f t="shared" si="352"/>
        <v>埼玉千葉本部</v>
      </c>
      <c r="C824" s="35" t="str">
        <f t="shared" si="352"/>
        <v>ラヴィーレ草加</v>
      </c>
      <c r="D824" s="9" t="s">
        <v>5</v>
      </c>
      <c r="E824" s="10">
        <v>4</v>
      </c>
      <c r="F824" s="11">
        <v>49</v>
      </c>
      <c r="G824" s="12">
        <v>12.3</v>
      </c>
      <c r="H824" s="11">
        <v>0</v>
      </c>
      <c r="I824" s="12">
        <v>0</v>
      </c>
      <c r="J824" s="10">
        <v>49</v>
      </c>
      <c r="K824" s="38">
        <f t="shared" si="338"/>
        <v>8</v>
      </c>
      <c r="L824" s="28">
        <v>2</v>
      </c>
      <c r="M824" s="33">
        <f t="shared" si="331"/>
        <v>2</v>
      </c>
      <c r="N824" s="1">
        <v>2114211100</v>
      </c>
    </row>
    <row r="825" spans="1:14" ht="18" customHeight="1" x14ac:dyDescent="0.45">
      <c r="A825" s="8">
        <v>819</v>
      </c>
      <c r="B825" s="35" t="str">
        <f t="shared" si="352"/>
        <v>埼玉千葉本部</v>
      </c>
      <c r="C825" s="35" t="str">
        <f t="shared" si="352"/>
        <v>ラヴィーレ草加</v>
      </c>
      <c r="D825" s="9" t="s">
        <v>6</v>
      </c>
      <c r="E825" s="10">
        <v>5</v>
      </c>
      <c r="F825" s="11">
        <v>0</v>
      </c>
      <c r="G825" s="12">
        <v>0</v>
      </c>
      <c r="H825" s="11">
        <v>0</v>
      </c>
      <c r="I825" s="12">
        <v>0</v>
      </c>
      <c r="J825" s="10">
        <v>0</v>
      </c>
      <c r="K825" s="38">
        <f t="shared" si="338"/>
        <v>8</v>
      </c>
      <c r="L825" s="28">
        <v>0</v>
      </c>
      <c r="M825" s="33">
        <f t="shared" si="331"/>
        <v>0</v>
      </c>
      <c r="N825" s="1">
        <v>2114211100</v>
      </c>
    </row>
    <row r="826" spans="1:14" ht="18" customHeight="1" x14ac:dyDescent="0.45">
      <c r="A826" s="8">
        <v>820</v>
      </c>
      <c r="B826" s="36" t="str">
        <f t="shared" si="352"/>
        <v>埼玉千葉本部</v>
      </c>
      <c r="C826" s="36" t="str">
        <f t="shared" si="352"/>
        <v>ラヴィーレ草加</v>
      </c>
      <c r="D826" s="9" t="s">
        <v>2</v>
      </c>
      <c r="E826" s="10">
        <v>4</v>
      </c>
      <c r="F826" s="11">
        <v>22</v>
      </c>
      <c r="G826" s="12">
        <v>5.5</v>
      </c>
      <c r="H826" s="11">
        <v>0</v>
      </c>
      <c r="I826" s="12">
        <v>0</v>
      </c>
      <c r="J826" s="10">
        <v>22</v>
      </c>
      <c r="K826" s="39">
        <f t="shared" si="338"/>
        <v>8</v>
      </c>
      <c r="L826" s="28">
        <v>2</v>
      </c>
      <c r="M826" s="33">
        <f t="shared" si="331"/>
        <v>2</v>
      </c>
      <c r="N826" s="1">
        <v>2114211100</v>
      </c>
    </row>
    <row r="827" spans="1:14" ht="18" customHeight="1" x14ac:dyDescent="0.45">
      <c r="A827" s="13">
        <v>821</v>
      </c>
      <c r="B827" s="40" t="s">
        <v>71</v>
      </c>
      <c r="C827" s="40" t="s">
        <v>283</v>
      </c>
      <c r="D827" s="14" t="s">
        <v>3</v>
      </c>
      <c r="E827" s="15">
        <v>1</v>
      </c>
      <c r="F827" s="16">
        <v>50</v>
      </c>
      <c r="G827" s="17">
        <v>50</v>
      </c>
      <c r="H827" s="16">
        <v>1</v>
      </c>
      <c r="I827" s="17">
        <v>1</v>
      </c>
      <c r="J827" s="15">
        <v>51</v>
      </c>
      <c r="K827" s="43">
        <f t="shared" ref="K827" si="353">SUM(M827:M831)</f>
        <v>8</v>
      </c>
      <c r="L827" s="28">
        <v>2</v>
      </c>
      <c r="M827" s="33">
        <f t="shared" si="331"/>
        <v>2</v>
      </c>
      <c r="N827" s="1">
        <v>2114221100</v>
      </c>
    </row>
    <row r="828" spans="1:14" ht="18" customHeight="1" x14ac:dyDescent="0.45">
      <c r="A828" s="13">
        <v>822</v>
      </c>
      <c r="B828" s="41" t="str">
        <f t="shared" ref="B828:C831" si="354">B827</f>
        <v>埼玉千葉本部</v>
      </c>
      <c r="C828" s="41" t="str">
        <f t="shared" si="354"/>
        <v>ラヴィーレ八潮</v>
      </c>
      <c r="D828" s="14" t="s">
        <v>4</v>
      </c>
      <c r="E828" s="15">
        <v>1</v>
      </c>
      <c r="F828" s="16">
        <v>9</v>
      </c>
      <c r="G828" s="17">
        <v>9</v>
      </c>
      <c r="H828" s="16">
        <v>9</v>
      </c>
      <c r="I828" s="17">
        <v>9</v>
      </c>
      <c r="J828" s="15">
        <v>18</v>
      </c>
      <c r="K828" s="44">
        <f t="shared" si="338"/>
        <v>8</v>
      </c>
      <c r="L828" s="28">
        <v>2</v>
      </c>
      <c r="M828" s="33">
        <f t="shared" si="331"/>
        <v>2</v>
      </c>
      <c r="N828" s="1">
        <v>2114221100</v>
      </c>
    </row>
    <row r="829" spans="1:14" ht="18" customHeight="1" x14ac:dyDescent="0.45">
      <c r="A829" s="13">
        <v>823</v>
      </c>
      <c r="B829" s="41" t="str">
        <f t="shared" si="354"/>
        <v>埼玉千葉本部</v>
      </c>
      <c r="C829" s="41" t="str">
        <f t="shared" si="354"/>
        <v>ラヴィーレ八潮</v>
      </c>
      <c r="D829" s="14" t="s">
        <v>5</v>
      </c>
      <c r="E829" s="15">
        <v>2</v>
      </c>
      <c r="F829" s="16">
        <v>51</v>
      </c>
      <c r="G829" s="17">
        <v>25.5</v>
      </c>
      <c r="H829" s="16">
        <v>0</v>
      </c>
      <c r="I829" s="17">
        <v>0</v>
      </c>
      <c r="J829" s="15">
        <v>51</v>
      </c>
      <c r="K829" s="44">
        <f t="shared" si="338"/>
        <v>8</v>
      </c>
      <c r="L829" s="28">
        <v>2</v>
      </c>
      <c r="M829" s="33">
        <f t="shared" si="331"/>
        <v>2</v>
      </c>
      <c r="N829" s="1">
        <v>2114221100</v>
      </c>
    </row>
    <row r="830" spans="1:14" ht="18" customHeight="1" x14ac:dyDescent="0.45">
      <c r="A830" s="13">
        <v>824</v>
      </c>
      <c r="B830" s="41" t="str">
        <f t="shared" si="354"/>
        <v>埼玉千葉本部</v>
      </c>
      <c r="C830" s="41" t="str">
        <f t="shared" si="354"/>
        <v>ラヴィーレ八潮</v>
      </c>
      <c r="D830" s="14" t="s">
        <v>6</v>
      </c>
      <c r="E830" s="15">
        <v>3</v>
      </c>
      <c r="F830" s="16">
        <v>0</v>
      </c>
      <c r="G830" s="17">
        <v>0</v>
      </c>
      <c r="H830" s="16">
        <v>0</v>
      </c>
      <c r="I830" s="17">
        <v>0</v>
      </c>
      <c r="J830" s="15">
        <v>0</v>
      </c>
      <c r="K830" s="44">
        <f t="shared" si="338"/>
        <v>8</v>
      </c>
      <c r="L830" s="28">
        <v>0</v>
      </c>
      <c r="M830" s="33">
        <f t="shared" si="331"/>
        <v>0</v>
      </c>
      <c r="N830" s="1">
        <v>2114221100</v>
      </c>
    </row>
    <row r="831" spans="1:14" ht="18" customHeight="1" x14ac:dyDescent="0.45">
      <c r="A831" s="13">
        <v>825</v>
      </c>
      <c r="B831" s="42" t="str">
        <f t="shared" si="354"/>
        <v>埼玉千葉本部</v>
      </c>
      <c r="C831" s="42" t="str">
        <f t="shared" si="354"/>
        <v>ラヴィーレ八潮</v>
      </c>
      <c r="D831" s="14" t="s">
        <v>2</v>
      </c>
      <c r="E831" s="15">
        <v>2</v>
      </c>
      <c r="F831" s="16">
        <v>8</v>
      </c>
      <c r="G831" s="17">
        <v>4</v>
      </c>
      <c r="H831" s="16">
        <v>0</v>
      </c>
      <c r="I831" s="17">
        <v>0</v>
      </c>
      <c r="J831" s="15">
        <v>8</v>
      </c>
      <c r="K831" s="45">
        <f t="shared" si="338"/>
        <v>8</v>
      </c>
      <c r="L831" s="28">
        <v>2</v>
      </c>
      <c r="M831" s="33">
        <f t="shared" si="331"/>
        <v>2</v>
      </c>
      <c r="N831" s="1">
        <v>2114221100</v>
      </c>
    </row>
    <row r="832" spans="1:14" ht="18" customHeight="1" x14ac:dyDescent="0.45">
      <c r="A832" s="8">
        <v>826</v>
      </c>
      <c r="B832" s="34" t="s">
        <v>71</v>
      </c>
      <c r="C832" s="34" t="s">
        <v>284</v>
      </c>
      <c r="D832" s="9" t="s">
        <v>3</v>
      </c>
      <c r="E832" s="10">
        <v>1</v>
      </c>
      <c r="F832" s="11">
        <v>23</v>
      </c>
      <c r="G832" s="12">
        <v>23</v>
      </c>
      <c r="H832" s="11">
        <v>0</v>
      </c>
      <c r="I832" s="12">
        <v>0</v>
      </c>
      <c r="J832" s="10">
        <v>23</v>
      </c>
      <c r="K832" s="37">
        <f t="shared" ref="K832" si="355">SUM(M832:M836)</f>
        <v>4</v>
      </c>
      <c r="L832" s="28">
        <v>2</v>
      </c>
      <c r="M832" s="33">
        <f t="shared" si="331"/>
        <v>2</v>
      </c>
      <c r="N832" s="1">
        <v>2114251100</v>
      </c>
    </row>
    <row r="833" spans="1:14" ht="18" customHeight="1" x14ac:dyDescent="0.45">
      <c r="A833" s="8">
        <v>827</v>
      </c>
      <c r="B833" s="35" t="str">
        <f t="shared" ref="B833:C836" si="356">B832</f>
        <v>埼玉千葉本部</v>
      </c>
      <c r="C833" s="35" t="str">
        <f t="shared" si="356"/>
        <v>ラヴィーレ戸田</v>
      </c>
      <c r="D833" s="9" t="s">
        <v>4</v>
      </c>
      <c r="E833" s="10">
        <v>1</v>
      </c>
      <c r="F833" s="11">
        <v>4</v>
      </c>
      <c r="G833" s="12">
        <v>4</v>
      </c>
      <c r="H833" s="11">
        <v>0</v>
      </c>
      <c r="I833" s="12">
        <v>0</v>
      </c>
      <c r="J833" s="10">
        <v>4</v>
      </c>
      <c r="K833" s="38">
        <f t="shared" si="338"/>
        <v>4</v>
      </c>
      <c r="L833" s="28">
        <v>1</v>
      </c>
      <c r="M833" s="33">
        <f t="shared" si="331"/>
        <v>1</v>
      </c>
      <c r="N833" s="1">
        <v>2114251100</v>
      </c>
    </row>
    <row r="834" spans="1:14" ht="18" customHeight="1" x14ac:dyDescent="0.45">
      <c r="A834" s="8">
        <v>828</v>
      </c>
      <c r="B834" s="35" t="str">
        <f t="shared" si="356"/>
        <v>埼玉千葉本部</v>
      </c>
      <c r="C834" s="35" t="str">
        <f t="shared" si="356"/>
        <v>ラヴィーレ戸田</v>
      </c>
      <c r="D834" s="9" t="s">
        <v>5</v>
      </c>
      <c r="E834" s="10">
        <v>2</v>
      </c>
      <c r="F834" s="11">
        <v>4</v>
      </c>
      <c r="G834" s="12">
        <v>2</v>
      </c>
      <c r="H834" s="11">
        <v>0</v>
      </c>
      <c r="I834" s="12">
        <v>0</v>
      </c>
      <c r="J834" s="10">
        <v>4</v>
      </c>
      <c r="K834" s="38">
        <f t="shared" si="338"/>
        <v>4</v>
      </c>
      <c r="L834" s="28">
        <v>1</v>
      </c>
      <c r="M834" s="33">
        <f t="shared" si="331"/>
        <v>1</v>
      </c>
      <c r="N834" s="1">
        <v>2114251100</v>
      </c>
    </row>
    <row r="835" spans="1:14" ht="18" customHeight="1" x14ac:dyDescent="0.45">
      <c r="A835" s="8">
        <v>829</v>
      </c>
      <c r="B835" s="35" t="str">
        <f t="shared" si="356"/>
        <v>埼玉千葉本部</v>
      </c>
      <c r="C835" s="35" t="str">
        <f t="shared" si="356"/>
        <v>ラヴィーレ戸田</v>
      </c>
      <c r="D835" s="9" t="s">
        <v>6</v>
      </c>
      <c r="E835" s="10">
        <v>4</v>
      </c>
      <c r="F835" s="11">
        <v>0</v>
      </c>
      <c r="G835" s="12">
        <v>0</v>
      </c>
      <c r="H835" s="11">
        <v>0</v>
      </c>
      <c r="I835" s="12">
        <v>0</v>
      </c>
      <c r="J835" s="10">
        <v>0</v>
      </c>
      <c r="K835" s="38">
        <f t="shared" si="338"/>
        <v>4</v>
      </c>
      <c r="L835" s="28">
        <v>0</v>
      </c>
      <c r="M835" s="33">
        <f t="shared" si="331"/>
        <v>0</v>
      </c>
      <c r="N835" s="1">
        <v>2114251100</v>
      </c>
    </row>
    <row r="836" spans="1:14" ht="18" customHeight="1" x14ac:dyDescent="0.45">
      <c r="A836" s="8">
        <v>830</v>
      </c>
      <c r="B836" s="36" t="str">
        <f t="shared" si="356"/>
        <v>埼玉千葉本部</v>
      </c>
      <c r="C836" s="36" t="str">
        <f t="shared" si="356"/>
        <v>ラヴィーレ戸田</v>
      </c>
      <c r="D836" s="9" t="s">
        <v>2</v>
      </c>
      <c r="E836" s="10">
        <v>2</v>
      </c>
      <c r="F836" s="11">
        <v>1</v>
      </c>
      <c r="G836" s="12">
        <v>0.5</v>
      </c>
      <c r="H836" s="11">
        <v>0</v>
      </c>
      <c r="I836" s="12">
        <v>0</v>
      </c>
      <c r="J836" s="10">
        <v>1</v>
      </c>
      <c r="K836" s="39">
        <f t="shared" si="338"/>
        <v>4</v>
      </c>
      <c r="L836" s="28">
        <v>0</v>
      </c>
      <c r="M836" s="33">
        <f t="shared" si="331"/>
        <v>0</v>
      </c>
      <c r="N836" s="1">
        <v>2114251100</v>
      </c>
    </row>
    <row r="837" spans="1:14" ht="18" customHeight="1" x14ac:dyDescent="0.45">
      <c r="A837" s="13">
        <v>831</v>
      </c>
      <c r="B837" s="40" t="s">
        <v>71</v>
      </c>
      <c r="C837" s="40" t="s">
        <v>76</v>
      </c>
      <c r="D837" s="14" t="s">
        <v>3</v>
      </c>
      <c r="E837" s="15">
        <v>1</v>
      </c>
      <c r="F837" s="16">
        <v>21</v>
      </c>
      <c r="G837" s="17">
        <v>21</v>
      </c>
      <c r="H837" s="16">
        <v>21</v>
      </c>
      <c r="I837" s="17">
        <v>21</v>
      </c>
      <c r="J837" s="15">
        <v>42</v>
      </c>
      <c r="K837" s="43">
        <f t="shared" ref="K837" si="357">SUM(M837:M841)</f>
        <v>7</v>
      </c>
      <c r="L837" s="28">
        <v>2</v>
      </c>
      <c r="M837" s="33">
        <f t="shared" si="331"/>
        <v>2</v>
      </c>
      <c r="N837" s="1">
        <v>2114301200</v>
      </c>
    </row>
    <row r="838" spans="1:14" ht="18" customHeight="1" x14ac:dyDescent="0.45">
      <c r="A838" s="13">
        <v>832</v>
      </c>
      <c r="B838" s="41" t="str">
        <f t="shared" ref="B838:C841" si="358">B837</f>
        <v>埼玉千葉本部</v>
      </c>
      <c r="C838" s="41" t="str">
        <f t="shared" si="358"/>
        <v>そんぽの家　東川口</v>
      </c>
      <c r="D838" s="14" t="s">
        <v>4</v>
      </c>
      <c r="E838" s="15">
        <v>1</v>
      </c>
      <c r="F838" s="16">
        <v>7</v>
      </c>
      <c r="G838" s="17">
        <v>7</v>
      </c>
      <c r="H838" s="16">
        <v>0</v>
      </c>
      <c r="I838" s="17">
        <v>0</v>
      </c>
      <c r="J838" s="15">
        <v>7</v>
      </c>
      <c r="K838" s="44">
        <f t="shared" si="338"/>
        <v>7</v>
      </c>
      <c r="L838" s="28">
        <v>1</v>
      </c>
      <c r="M838" s="33">
        <f t="shared" si="331"/>
        <v>1</v>
      </c>
      <c r="N838" s="1">
        <v>2114301200</v>
      </c>
    </row>
    <row r="839" spans="1:14" ht="18" customHeight="1" x14ac:dyDescent="0.45">
      <c r="A839" s="13">
        <v>833</v>
      </c>
      <c r="B839" s="41" t="str">
        <f t="shared" si="358"/>
        <v>埼玉千葉本部</v>
      </c>
      <c r="C839" s="41" t="str">
        <f t="shared" si="358"/>
        <v>そんぽの家　東川口</v>
      </c>
      <c r="D839" s="14" t="s">
        <v>5</v>
      </c>
      <c r="E839" s="15">
        <v>1</v>
      </c>
      <c r="F839" s="16">
        <v>13</v>
      </c>
      <c r="G839" s="17">
        <v>13</v>
      </c>
      <c r="H839" s="16">
        <v>0</v>
      </c>
      <c r="I839" s="17">
        <v>0</v>
      </c>
      <c r="J839" s="15">
        <v>13</v>
      </c>
      <c r="K839" s="44">
        <f t="shared" si="338"/>
        <v>7</v>
      </c>
      <c r="L839" s="28">
        <v>2</v>
      </c>
      <c r="M839" s="33">
        <f t="shared" si="331"/>
        <v>2</v>
      </c>
      <c r="N839" s="1">
        <v>2114301200</v>
      </c>
    </row>
    <row r="840" spans="1:14" ht="18" customHeight="1" x14ac:dyDescent="0.45">
      <c r="A840" s="13">
        <v>834</v>
      </c>
      <c r="B840" s="41" t="str">
        <f t="shared" si="358"/>
        <v>埼玉千葉本部</v>
      </c>
      <c r="C840" s="41" t="str">
        <f t="shared" si="358"/>
        <v>そんぽの家　東川口</v>
      </c>
      <c r="D840" s="14" t="s">
        <v>6</v>
      </c>
      <c r="E840" s="15">
        <v>4</v>
      </c>
      <c r="F840" s="16">
        <v>0</v>
      </c>
      <c r="G840" s="17">
        <v>0</v>
      </c>
      <c r="H840" s="16">
        <v>0</v>
      </c>
      <c r="I840" s="17">
        <v>0</v>
      </c>
      <c r="J840" s="15">
        <v>0</v>
      </c>
      <c r="K840" s="44">
        <f t="shared" si="338"/>
        <v>7</v>
      </c>
      <c r="L840" s="28">
        <v>0</v>
      </c>
      <c r="M840" s="33">
        <f t="shared" ref="M840:M903" si="359">L840</f>
        <v>0</v>
      </c>
      <c r="N840" s="1">
        <v>2114301200</v>
      </c>
    </row>
    <row r="841" spans="1:14" ht="18" customHeight="1" x14ac:dyDescent="0.45">
      <c r="A841" s="13">
        <v>835</v>
      </c>
      <c r="B841" s="42" t="str">
        <f t="shared" si="358"/>
        <v>埼玉千葉本部</v>
      </c>
      <c r="C841" s="42" t="str">
        <f t="shared" si="358"/>
        <v>そんぽの家　東川口</v>
      </c>
      <c r="D841" s="14" t="s">
        <v>2</v>
      </c>
      <c r="E841" s="15">
        <v>1</v>
      </c>
      <c r="F841" s="16">
        <v>14</v>
      </c>
      <c r="G841" s="17">
        <v>14</v>
      </c>
      <c r="H841" s="16">
        <v>0</v>
      </c>
      <c r="I841" s="17">
        <v>0</v>
      </c>
      <c r="J841" s="15">
        <v>14</v>
      </c>
      <c r="K841" s="45">
        <f t="shared" si="338"/>
        <v>7</v>
      </c>
      <c r="L841" s="28">
        <v>2</v>
      </c>
      <c r="M841" s="33">
        <f t="shared" si="359"/>
        <v>2</v>
      </c>
      <c r="N841" s="1">
        <v>2114301200</v>
      </c>
    </row>
    <row r="842" spans="1:14" ht="18" customHeight="1" x14ac:dyDescent="0.45">
      <c r="A842" s="8">
        <v>836</v>
      </c>
      <c r="B842" s="34" t="s">
        <v>71</v>
      </c>
      <c r="C842" s="34" t="s">
        <v>285</v>
      </c>
      <c r="D842" s="9" t="s">
        <v>3</v>
      </c>
      <c r="E842" s="10">
        <v>1</v>
      </c>
      <c r="F842" s="11">
        <v>8</v>
      </c>
      <c r="G842" s="12">
        <v>8</v>
      </c>
      <c r="H842" s="11">
        <v>4</v>
      </c>
      <c r="I842" s="12">
        <v>4</v>
      </c>
      <c r="J842" s="10">
        <v>12</v>
      </c>
      <c r="K842" s="37">
        <f t="shared" ref="K842" si="360">SUM(M842:M846)</f>
        <v>10</v>
      </c>
      <c r="L842" s="28">
        <v>2</v>
      </c>
      <c r="M842" s="33">
        <f t="shared" si="359"/>
        <v>2</v>
      </c>
      <c r="N842" s="1">
        <v>2114321100</v>
      </c>
    </row>
    <row r="843" spans="1:14" ht="18" customHeight="1" x14ac:dyDescent="0.45">
      <c r="A843" s="8">
        <v>837</v>
      </c>
      <c r="B843" s="35" t="str">
        <f t="shared" ref="B843:C846" si="361">B842</f>
        <v>埼玉千葉本部</v>
      </c>
      <c r="C843" s="35" t="str">
        <f t="shared" si="361"/>
        <v>ラヴィーレ南浦和</v>
      </c>
      <c r="D843" s="9" t="s">
        <v>4</v>
      </c>
      <c r="E843" s="10">
        <v>1</v>
      </c>
      <c r="F843" s="11">
        <v>16</v>
      </c>
      <c r="G843" s="12">
        <v>16</v>
      </c>
      <c r="H843" s="11">
        <v>16</v>
      </c>
      <c r="I843" s="12">
        <v>16</v>
      </c>
      <c r="J843" s="10">
        <v>32</v>
      </c>
      <c r="K843" s="38">
        <f t="shared" si="338"/>
        <v>10</v>
      </c>
      <c r="L843" s="28">
        <v>2</v>
      </c>
      <c r="M843" s="33">
        <f t="shared" si="359"/>
        <v>2</v>
      </c>
      <c r="N843" s="1">
        <v>2114321100</v>
      </c>
    </row>
    <row r="844" spans="1:14" ht="18" customHeight="1" x14ac:dyDescent="0.45">
      <c r="A844" s="8">
        <v>838</v>
      </c>
      <c r="B844" s="35" t="str">
        <f t="shared" si="361"/>
        <v>埼玉千葉本部</v>
      </c>
      <c r="C844" s="35" t="str">
        <f t="shared" si="361"/>
        <v>ラヴィーレ南浦和</v>
      </c>
      <c r="D844" s="9" t="s">
        <v>5</v>
      </c>
      <c r="E844" s="10">
        <v>2</v>
      </c>
      <c r="F844" s="11">
        <v>21</v>
      </c>
      <c r="G844" s="12">
        <v>10.5</v>
      </c>
      <c r="H844" s="11">
        <v>0</v>
      </c>
      <c r="I844" s="12">
        <v>0</v>
      </c>
      <c r="J844" s="10">
        <v>21</v>
      </c>
      <c r="K844" s="38">
        <f t="shared" si="338"/>
        <v>10</v>
      </c>
      <c r="L844" s="28">
        <v>2</v>
      </c>
      <c r="M844" s="33">
        <f t="shared" si="359"/>
        <v>2</v>
      </c>
      <c r="N844" s="1">
        <v>2114321100</v>
      </c>
    </row>
    <row r="845" spans="1:14" ht="18" customHeight="1" x14ac:dyDescent="0.45">
      <c r="A845" s="8">
        <v>839</v>
      </c>
      <c r="B845" s="35" t="str">
        <f t="shared" si="361"/>
        <v>埼玉千葉本部</v>
      </c>
      <c r="C845" s="35" t="str">
        <f t="shared" si="361"/>
        <v>ラヴィーレ南浦和</v>
      </c>
      <c r="D845" s="9" t="s">
        <v>6</v>
      </c>
      <c r="E845" s="10">
        <v>4</v>
      </c>
      <c r="F845" s="11">
        <v>9</v>
      </c>
      <c r="G845" s="12">
        <v>2.2999999999999998</v>
      </c>
      <c r="H845" s="11">
        <v>0</v>
      </c>
      <c r="I845" s="12">
        <v>0</v>
      </c>
      <c r="J845" s="10">
        <v>9</v>
      </c>
      <c r="K845" s="38">
        <f t="shared" si="338"/>
        <v>10</v>
      </c>
      <c r="L845" s="28">
        <v>2</v>
      </c>
      <c r="M845" s="33">
        <f t="shared" si="359"/>
        <v>2</v>
      </c>
      <c r="N845" s="1">
        <v>2114321100</v>
      </c>
    </row>
    <row r="846" spans="1:14" ht="18" customHeight="1" x14ac:dyDescent="0.45">
      <c r="A846" s="8">
        <v>840</v>
      </c>
      <c r="B846" s="36" t="str">
        <f t="shared" si="361"/>
        <v>埼玉千葉本部</v>
      </c>
      <c r="C846" s="36" t="str">
        <f t="shared" si="361"/>
        <v>ラヴィーレ南浦和</v>
      </c>
      <c r="D846" s="9" t="s">
        <v>2</v>
      </c>
      <c r="E846" s="10">
        <v>3</v>
      </c>
      <c r="F846" s="11">
        <v>22</v>
      </c>
      <c r="G846" s="12">
        <v>7.3</v>
      </c>
      <c r="H846" s="11">
        <v>0</v>
      </c>
      <c r="I846" s="12">
        <v>0</v>
      </c>
      <c r="J846" s="10">
        <v>22</v>
      </c>
      <c r="K846" s="39">
        <f t="shared" si="338"/>
        <v>10</v>
      </c>
      <c r="L846" s="28">
        <v>2</v>
      </c>
      <c r="M846" s="33">
        <f t="shared" si="359"/>
        <v>2</v>
      </c>
      <c r="N846" s="1">
        <v>2114321100</v>
      </c>
    </row>
    <row r="847" spans="1:14" ht="18" customHeight="1" x14ac:dyDescent="0.45">
      <c r="A847" s="13">
        <v>841</v>
      </c>
      <c r="B847" s="40" t="s">
        <v>71</v>
      </c>
      <c r="C847" s="40" t="s">
        <v>286</v>
      </c>
      <c r="D847" s="14" t="s">
        <v>3</v>
      </c>
      <c r="E847" s="15">
        <v>1</v>
      </c>
      <c r="F847" s="16">
        <v>21</v>
      </c>
      <c r="G847" s="17">
        <v>21</v>
      </c>
      <c r="H847" s="16">
        <v>21</v>
      </c>
      <c r="I847" s="17">
        <v>21</v>
      </c>
      <c r="J847" s="15">
        <v>42</v>
      </c>
      <c r="K847" s="43">
        <f t="shared" ref="K847" si="362">SUM(M847:M851)</f>
        <v>8</v>
      </c>
      <c r="L847" s="28">
        <v>2</v>
      </c>
      <c r="M847" s="33">
        <f t="shared" si="359"/>
        <v>2</v>
      </c>
      <c r="N847" s="1">
        <v>2114331100</v>
      </c>
    </row>
    <row r="848" spans="1:14" ht="18" customHeight="1" x14ac:dyDescent="0.45">
      <c r="A848" s="13">
        <v>842</v>
      </c>
      <c r="B848" s="41" t="str">
        <f t="shared" ref="B848:C851" si="363">B847</f>
        <v>埼玉千葉本部</v>
      </c>
      <c r="C848" s="41" t="str">
        <f t="shared" si="363"/>
        <v>ラヴィーレ川口安行</v>
      </c>
      <c r="D848" s="14" t="s">
        <v>4</v>
      </c>
      <c r="E848" s="15">
        <v>2</v>
      </c>
      <c r="F848" s="16">
        <v>34</v>
      </c>
      <c r="G848" s="17">
        <v>17</v>
      </c>
      <c r="H848" s="16">
        <v>22</v>
      </c>
      <c r="I848" s="17">
        <v>11</v>
      </c>
      <c r="J848" s="15">
        <v>56</v>
      </c>
      <c r="K848" s="44">
        <f t="shared" si="338"/>
        <v>8</v>
      </c>
      <c r="L848" s="28">
        <v>2</v>
      </c>
      <c r="M848" s="33">
        <f t="shared" si="359"/>
        <v>2</v>
      </c>
      <c r="N848" s="1">
        <v>2114331100</v>
      </c>
    </row>
    <row r="849" spans="1:14" ht="18" customHeight="1" x14ac:dyDescent="0.45">
      <c r="A849" s="13">
        <v>843</v>
      </c>
      <c r="B849" s="41" t="str">
        <f t="shared" si="363"/>
        <v>埼玉千葉本部</v>
      </c>
      <c r="C849" s="41" t="str">
        <f t="shared" si="363"/>
        <v>ラヴィーレ川口安行</v>
      </c>
      <c r="D849" s="14" t="s">
        <v>5</v>
      </c>
      <c r="E849" s="15">
        <v>3</v>
      </c>
      <c r="F849" s="16">
        <v>34</v>
      </c>
      <c r="G849" s="17">
        <v>11.3</v>
      </c>
      <c r="H849" s="16">
        <v>0</v>
      </c>
      <c r="I849" s="17">
        <v>0</v>
      </c>
      <c r="J849" s="15">
        <v>34</v>
      </c>
      <c r="K849" s="44">
        <f t="shared" si="338"/>
        <v>8</v>
      </c>
      <c r="L849" s="28">
        <v>2</v>
      </c>
      <c r="M849" s="33">
        <f t="shared" si="359"/>
        <v>2</v>
      </c>
      <c r="N849" s="1">
        <v>2114331100</v>
      </c>
    </row>
    <row r="850" spans="1:14" ht="18" customHeight="1" x14ac:dyDescent="0.45">
      <c r="A850" s="13">
        <v>844</v>
      </c>
      <c r="B850" s="41" t="str">
        <f t="shared" si="363"/>
        <v>埼玉千葉本部</v>
      </c>
      <c r="C850" s="41" t="str">
        <f t="shared" si="363"/>
        <v>ラヴィーレ川口安行</v>
      </c>
      <c r="D850" s="14" t="s">
        <v>6</v>
      </c>
      <c r="E850" s="15">
        <v>6</v>
      </c>
      <c r="F850" s="16">
        <v>18</v>
      </c>
      <c r="G850" s="17">
        <v>3</v>
      </c>
      <c r="H850" s="16">
        <v>0</v>
      </c>
      <c r="I850" s="17">
        <v>0</v>
      </c>
      <c r="J850" s="15">
        <v>18</v>
      </c>
      <c r="K850" s="44">
        <f t="shared" si="338"/>
        <v>8</v>
      </c>
      <c r="L850" s="28">
        <v>2</v>
      </c>
      <c r="M850" s="33">
        <f t="shared" si="359"/>
        <v>2</v>
      </c>
      <c r="N850" s="1">
        <v>2114331100</v>
      </c>
    </row>
    <row r="851" spans="1:14" ht="18" customHeight="1" x14ac:dyDescent="0.45">
      <c r="A851" s="13">
        <v>845</v>
      </c>
      <c r="B851" s="42" t="str">
        <f t="shared" si="363"/>
        <v>埼玉千葉本部</v>
      </c>
      <c r="C851" s="42" t="str">
        <f t="shared" si="363"/>
        <v>ラヴィーレ川口安行</v>
      </c>
      <c r="D851" s="14" t="s">
        <v>2</v>
      </c>
      <c r="E851" s="15">
        <v>4</v>
      </c>
      <c r="F851" s="16">
        <v>0</v>
      </c>
      <c r="G851" s="17">
        <v>0</v>
      </c>
      <c r="H851" s="16">
        <v>0</v>
      </c>
      <c r="I851" s="17">
        <v>0</v>
      </c>
      <c r="J851" s="15">
        <v>0</v>
      </c>
      <c r="K851" s="45">
        <f t="shared" si="338"/>
        <v>8</v>
      </c>
      <c r="L851" s="28">
        <v>0</v>
      </c>
      <c r="M851" s="33">
        <f t="shared" si="359"/>
        <v>0</v>
      </c>
      <c r="N851" s="1">
        <v>2114331100</v>
      </c>
    </row>
    <row r="852" spans="1:14" ht="18" customHeight="1" x14ac:dyDescent="0.45">
      <c r="A852" s="8">
        <v>846</v>
      </c>
      <c r="B852" s="34" t="s">
        <v>71</v>
      </c>
      <c r="C852" s="34" t="s">
        <v>287</v>
      </c>
      <c r="D852" s="9" t="s">
        <v>3</v>
      </c>
      <c r="E852" s="10">
        <v>1</v>
      </c>
      <c r="F852" s="11">
        <v>13</v>
      </c>
      <c r="G852" s="12">
        <v>13</v>
      </c>
      <c r="H852" s="11">
        <v>0</v>
      </c>
      <c r="I852" s="12">
        <v>0</v>
      </c>
      <c r="J852" s="10">
        <v>13</v>
      </c>
      <c r="K852" s="37">
        <f t="shared" ref="K852" si="364">SUM(M852:M856)</f>
        <v>7</v>
      </c>
      <c r="L852" s="28">
        <v>2</v>
      </c>
      <c r="M852" s="33">
        <f t="shared" si="359"/>
        <v>2</v>
      </c>
      <c r="N852" s="1">
        <v>2114341100</v>
      </c>
    </row>
    <row r="853" spans="1:14" ht="18" customHeight="1" x14ac:dyDescent="0.45">
      <c r="A853" s="8">
        <v>847</v>
      </c>
      <c r="B853" s="35" t="str">
        <f t="shared" ref="B853:C856" si="365">B852</f>
        <v>埼玉千葉本部</v>
      </c>
      <c r="C853" s="35" t="str">
        <f t="shared" si="365"/>
        <v>ラヴィーレ坂戸</v>
      </c>
      <c r="D853" s="9" t="s">
        <v>4</v>
      </c>
      <c r="E853" s="10">
        <v>1</v>
      </c>
      <c r="F853" s="11">
        <v>5</v>
      </c>
      <c r="G853" s="12">
        <v>5</v>
      </c>
      <c r="H853" s="11">
        <v>1</v>
      </c>
      <c r="I853" s="12">
        <v>1</v>
      </c>
      <c r="J853" s="10">
        <v>6</v>
      </c>
      <c r="K853" s="38">
        <f t="shared" ref="K853:K916" si="366">K852</f>
        <v>7</v>
      </c>
      <c r="L853" s="28">
        <v>1</v>
      </c>
      <c r="M853" s="33">
        <f t="shared" si="359"/>
        <v>1</v>
      </c>
      <c r="N853" s="1">
        <v>2114341100</v>
      </c>
    </row>
    <row r="854" spans="1:14" ht="18" customHeight="1" x14ac:dyDescent="0.45">
      <c r="A854" s="8">
        <v>848</v>
      </c>
      <c r="B854" s="35" t="str">
        <f t="shared" si="365"/>
        <v>埼玉千葉本部</v>
      </c>
      <c r="C854" s="35" t="str">
        <f t="shared" si="365"/>
        <v>ラヴィーレ坂戸</v>
      </c>
      <c r="D854" s="9" t="s">
        <v>5</v>
      </c>
      <c r="E854" s="10">
        <v>2</v>
      </c>
      <c r="F854" s="11">
        <v>25</v>
      </c>
      <c r="G854" s="12">
        <v>12.5</v>
      </c>
      <c r="H854" s="11">
        <v>0</v>
      </c>
      <c r="I854" s="12">
        <v>0</v>
      </c>
      <c r="J854" s="10">
        <v>25</v>
      </c>
      <c r="K854" s="38">
        <f t="shared" si="366"/>
        <v>7</v>
      </c>
      <c r="L854" s="28">
        <v>2</v>
      </c>
      <c r="M854" s="33">
        <f t="shared" si="359"/>
        <v>2</v>
      </c>
      <c r="N854" s="1">
        <v>2114341100</v>
      </c>
    </row>
    <row r="855" spans="1:14" ht="18" customHeight="1" x14ac:dyDescent="0.45">
      <c r="A855" s="8">
        <v>849</v>
      </c>
      <c r="B855" s="35" t="str">
        <f t="shared" si="365"/>
        <v>埼玉千葉本部</v>
      </c>
      <c r="C855" s="35" t="str">
        <f t="shared" si="365"/>
        <v>ラヴィーレ坂戸</v>
      </c>
      <c r="D855" s="9" t="s">
        <v>6</v>
      </c>
      <c r="E855" s="10">
        <v>3</v>
      </c>
      <c r="F855" s="11">
        <v>25</v>
      </c>
      <c r="G855" s="12">
        <v>8.3000000000000007</v>
      </c>
      <c r="H855" s="11">
        <v>0</v>
      </c>
      <c r="I855" s="12">
        <v>0</v>
      </c>
      <c r="J855" s="10">
        <v>25</v>
      </c>
      <c r="K855" s="38">
        <f t="shared" si="366"/>
        <v>7</v>
      </c>
      <c r="L855" s="28">
        <v>2</v>
      </c>
      <c r="M855" s="33">
        <f t="shared" si="359"/>
        <v>2</v>
      </c>
      <c r="N855" s="1">
        <v>2114341100</v>
      </c>
    </row>
    <row r="856" spans="1:14" ht="18" customHeight="1" x14ac:dyDescent="0.45">
      <c r="A856" s="8">
        <v>850</v>
      </c>
      <c r="B856" s="36" t="str">
        <f t="shared" si="365"/>
        <v>埼玉千葉本部</v>
      </c>
      <c r="C856" s="36" t="str">
        <f t="shared" si="365"/>
        <v>ラヴィーレ坂戸</v>
      </c>
      <c r="D856" s="9" t="s">
        <v>2</v>
      </c>
      <c r="E856" s="10">
        <v>1</v>
      </c>
      <c r="F856" s="11">
        <v>1</v>
      </c>
      <c r="G856" s="12">
        <v>1</v>
      </c>
      <c r="H856" s="11">
        <v>0</v>
      </c>
      <c r="I856" s="12">
        <v>0</v>
      </c>
      <c r="J856" s="10">
        <v>1</v>
      </c>
      <c r="K856" s="39">
        <f t="shared" si="366"/>
        <v>7</v>
      </c>
      <c r="L856" s="28">
        <v>0</v>
      </c>
      <c r="M856" s="33">
        <f t="shared" si="359"/>
        <v>0</v>
      </c>
      <c r="N856" s="1">
        <v>2114341100</v>
      </c>
    </row>
    <row r="857" spans="1:14" ht="18" customHeight="1" x14ac:dyDescent="0.45">
      <c r="A857" s="13">
        <v>851</v>
      </c>
      <c r="B857" s="40" t="s">
        <v>71</v>
      </c>
      <c r="C857" s="40" t="s">
        <v>288</v>
      </c>
      <c r="D857" s="14" t="s">
        <v>3</v>
      </c>
      <c r="E857" s="15">
        <v>1</v>
      </c>
      <c r="F857" s="16">
        <v>7</v>
      </c>
      <c r="G857" s="17">
        <v>7</v>
      </c>
      <c r="H857" s="16">
        <v>7</v>
      </c>
      <c r="I857" s="17">
        <v>7</v>
      </c>
      <c r="J857" s="15">
        <v>14</v>
      </c>
      <c r="K857" s="43">
        <f t="shared" ref="K857" si="367">SUM(M857:M861)</f>
        <v>3</v>
      </c>
      <c r="L857" s="28">
        <v>2</v>
      </c>
      <c r="M857" s="33">
        <f t="shared" si="359"/>
        <v>2</v>
      </c>
      <c r="N857" s="1">
        <v>2114371100</v>
      </c>
    </row>
    <row r="858" spans="1:14" ht="18" customHeight="1" x14ac:dyDescent="0.45">
      <c r="A858" s="13">
        <v>852</v>
      </c>
      <c r="B858" s="41" t="str">
        <f t="shared" ref="B858:C861" si="368">B857</f>
        <v>埼玉千葉本部</v>
      </c>
      <c r="C858" s="41" t="str">
        <f t="shared" si="368"/>
        <v>ラヴィーレ鶴ヶ島</v>
      </c>
      <c r="D858" s="14" t="s">
        <v>4</v>
      </c>
      <c r="E858" s="15">
        <v>1</v>
      </c>
      <c r="F858" s="16">
        <v>1</v>
      </c>
      <c r="G858" s="17">
        <v>1</v>
      </c>
      <c r="H858" s="16">
        <v>1</v>
      </c>
      <c r="I858" s="17">
        <v>1</v>
      </c>
      <c r="J858" s="15">
        <v>2</v>
      </c>
      <c r="K858" s="44">
        <f t="shared" si="366"/>
        <v>3</v>
      </c>
      <c r="L858" s="28">
        <v>0</v>
      </c>
      <c r="M858" s="33">
        <f t="shared" si="359"/>
        <v>0</v>
      </c>
      <c r="N858" s="1">
        <v>2114371100</v>
      </c>
    </row>
    <row r="859" spans="1:14" ht="18" customHeight="1" x14ac:dyDescent="0.45">
      <c r="A859" s="13">
        <v>853</v>
      </c>
      <c r="B859" s="41" t="str">
        <f t="shared" si="368"/>
        <v>埼玉千葉本部</v>
      </c>
      <c r="C859" s="41" t="str">
        <f t="shared" si="368"/>
        <v>ラヴィーレ鶴ヶ島</v>
      </c>
      <c r="D859" s="14" t="s">
        <v>5</v>
      </c>
      <c r="E859" s="15">
        <v>2</v>
      </c>
      <c r="F859" s="16">
        <v>0</v>
      </c>
      <c r="G859" s="17">
        <v>0</v>
      </c>
      <c r="H859" s="16">
        <v>0</v>
      </c>
      <c r="I859" s="17">
        <v>0</v>
      </c>
      <c r="J859" s="15">
        <v>0</v>
      </c>
      <c r="K859" s="44">
        <f t="shared" si="366"/>
        <v>3</v>
      </c>
      <c r="L859" s="28">
        <v>0</v>
      </c>
      <c r="M859" s="33">
        <f t="shared" si="359"/>
        <v>0</v>
      </c>
      <c r="N859" s="1">
        <v>2114371100</v>
      </c>
    </row>
    <row r="860" spans="1:14" ht="18" customHeight="1" x14ac:dyDescent="0.45">
      <c r="A860" s="13">
        <v>854</v>
      </c>
      <c r="B860" s="41" t="str">
        <f t="shared" si="368"/>
        <v>埼玉千葉本部</v>
      </c>
      <c r="C860" s="41" t="str">
        <f t="shared" si="368"/>
        <v>ラヴィーレ鶴ヶ島</v>
      </c>
      <c r="D860" s="14" t="s">
        <v>6</v>
      </c>
      <c r="E860" s="15">
        <v>4</v>
      </c>
      <c r="F860" s="16">
        <v>1</v>
      </c>
      <c r="G860" s="17">
        <v>0.3</v>
      </c>
      <c r="H860" s="16">
        <v>0</v>
      </c>
      <c r="I860" s="17">
        <v>0</v>
      </c>
      <c r="J860" s="15">
        <v>1</v>
      </c>
      <c r="K860" s="44">
        <f t="shared" si="366"/>
        <v>3</v>
      </c>
      <c r="L860" s="28">
        <v>0</v>
      </c>
      <c r="M860" s="33">
        <f t="shared" si="359"/>
        <v>0</v>
      </c>
      <c r="N860" s="1">
        <v>2114371100</v>
      </c>
    </row>
    <row r="861" spans="1:14" ht="18" customHeight="1" x14ac:dyDescent="0.45">
      <c r="A861" s="13">
        <v>855</v>
      </c>
      <c r="B861" s="42" t="str">
        <f t="shared" si="368"/>
        <v>埼玉千葉本部</v>
      </c>
      <c r="C861" s="42" t="str">
        <f t="shared" si="368"/>
        <v>ラヴィーレ鶴ヶ島</v>
      </c>
      <c r="D861" s="14" t="s">
        <v>2</v>
      </c>
      <c r="E861" s="15">
        <v>2</v>
      </c>
      <c r="F861" s="16">
        <v>4</v>
      </c>
      <c r="G861" s="17">
        <v>2</v>
      </c>
      <c r="H861" s="16">
        <v>0</v>
      </c>
      <c r="I861" s="17">
        <v>0</v>
      </c>
      <c r="J861" s="15">
        <v>4</v>
      </c>
      <c r="K861" s="45">
        <f t="shared" si="366"/>
        <v>3</v>
      </c>
      <c r="L861" s="28">
        <v>1</v>
      </c>
      <c r="M861" s="33">
        <f t="shared" si="359"/>
        <v>1</v>
      </c>
      <c r="N861" s="1">
        <v>2114371100</v>
      </c>
    </row>
    <row r="862" spans="1:14" ht="18" customHeight="1" x14ac:dyDescent="0.45">
      <c r="A862" s="8">
        <v>856</v>
      </c>
      <c r="B862" s="34" t="s">
        <v>71</v>
      </c>
      <c r="C862" s="34" t="s">
        <v>289</v>
      </c>
      <c r="D862" s="9" t="s">
        <v>3</v>
      </c>
      <c r="E862" s="10">
        <v>1</v>
      </c>
      <c r="F862" s="11">
        <v>8</v>
      </c>
      <c r="G862" s="12">
        <v>8</v>
      </c>
      <c r="H862" s="11">
        <v>2</v>
      </c>
      <c r="I862" s="12">
        <v>2</v>
      </c>
      <c r="J862" s="10">
        <v>10</v>
      </c>
      <c r="K862" s="37">
        <f t="shared" ref="K862" si="369">SUM(M862:M866)</f>
        <v>9</v>
      </c>
      <c r="L862" s="28">
        <v>2</v>
      </c>
      <c r="M862" s="33">
        <f t="shared" si="359"/>
        <v>2</v>
      </c>
      <c r="N862" s="1">
        <v>2114421100</v>
      </c>
    </row>
    <row r="863" spans="1:14" ht="18" customHeight="1" x14ac:dyDescent="0.45">
      <c r="A863" s="8">
        <v>857</v>
      </c>
      <c r="B863" s="35" t="str">
        <f t="shared" ref="B863:C866" si="370">B862</f>
        <v>埼玉千葉本部</v>
      </c>
      <c r="C863" s="35" t="str">
        <f t="shared" si="370"/>
        <v>ラヴィーレ朝霞</v>
      </c>
      <c r="D863" s="9" t="s">
        <v>4</v>
      </c>
      <c r="E863" s="10">
        <v>1</v>
      </c>
      <c r="F863" s="11">
        <v>7</v>
      </c>
      <c r="G863" s="12">
        <v>7</v>
      </c>
      <c r="H863" s="11">
        <v>3</v>
      </c>
      <c r="I863" s="12">
        <v>3</v>
      </c>
      <c r="J863" s="10">
        <v>10</v>
      </c>
      <c r="K863" s="38">
        <f t="shared" si="366"/>
        <v>9</v>
      </c>
      <c r="L863" s="28">
        <v>2</v>
      </c>
      <c r="M863" s="33">
        <f t="shared" si="359"/>
        <v>2</v>
      </c>
      <c r="N863" s="1">
        <v>2114421100</v>
      </c>
    </row>
    <row r="864" spans="1:14" ht="18" customHeight="1" x14ac:dyDescent="0.45">
      <c r="A864" s="8">
        <v>858</v>
      </c>
      <c r="B864" s="35" t="str">
        <f t="shared" si="370"/>
        <v>埼玉千葉本部</v>
      </c>
      <c r="C864" s="35" t="str">
        <f t="shared" si="370"/>
        <v>ラヴィーレ朝霞</v>
      </c>
      <c r="D864" s="9" t="s">
        <v>5</v>
      </c>
      <c r="E864" s="10">
        <v>2</v>
      </c>
      <c r="F864" s="11">
        <v>32</v>
      </c>
      <c r="G864" s="12">
        <v>16</v>
      </c>
      <c r="H864" s="11">
        <v>0</v>
      </c>
      <c r="I864" s="12">
        <v>0</v>
      </c>
      <c r="J864" s="10">
        <v>32</v>
      </c>
      <c r="K864" s="38">
        <f t="shared" si="366"/>
        <v>9</v>
      </c>
      <c r="L864" s="28">
        <v>2</v>
      </c>
      <c r="M864" s="33">
        <f t="shared" si="359"/>
        <v>2</v>
      </c>
      <c r="N864" s="1">
        <v>2114421100</v>
      </c>
    </row>
    <row r="865" spans="1:14" ht="18" customHeight="1" x14ac:dyDescent="0.45">
      <c r="A865" s="8">
        <v>859</v>
      </c>
      <c r="B865" s="35" t="str">
        <f t="shared" si="370"/>
        <v>埼玉千葉本部</v>
      </c>
      <c r="C865" s="35" t="str">
        <f t="shared" si="370"/>
        <v>ラヴィーレ朝霞</v>
      </c>
      <c r="D865" s="9" t="s">
        <v>6</v>
      </c>
      <c r="E865" s="10">
        <v>7</v>
      </c>
      <c r="F865" s="11">
        <v>31</v>
      </c>
      <c r="G865" s="12">
        <v>4.4000000000000004</v>
      </c>
      <c r="H865" s="11">
        <v>0</v>
      </c>
      <c r="I865" s="12">
        <v>0</v>
      </c>
      <c r="J865" s="10">
        <v>31</v>
      </c>
      <c r="K865" s="38">
        <f t="shared" si="366"/>
        <v>9</v>
      </c>
      <c r="L865" s="28">
        <v>2</v>
      </c>
      <c r="M865" s="33">
        <f t="shared" si="359"/>
        <v>2</v>
      </c>
      <c r="N865" s="1">
        <v>2114421100</v>
      </c>
    </row>
    <row r="866" spans="1:14" ht="18" customHeight="1" x14ac:dyDescent="0.45">
      <c r="A866" s="8">
        <v>860</v>
      </c>
      <c r="B866" s="36" t="str">
        <f t="shared" si="370"/>
        <v>埼玉千葉本部</v>
      </c>
      <c r="C866" s="36" t="str">
        <f t="shared" si="370"/>
        <v>ラヴィーレ朝霞</v>
      </c>
      <c r="D866" s="9" t="s">
        <v>2</v>
      </c>
      <c r="E866" s="10">
        <v>2</v>
      </c>
      <c r="F866" s="11">
        <v>7</v>
      </c>
      <c r="G866" s="12">
        <v>3.5</v>
      </c>
      <c r="H866" s="11">
        <v>0</v>
      </c>
      <c r="I866" s="12">
        <v>0</v>
      </c>
      <c r="J866" s="10">
        <v>7</v>
      </c>
      <c r="K866" s="39">
        <f t="shared" si="366"/>
        <v>9</v>
      </c>
      <c r="L866" s="28">
        <v>1</v>
      </c>
      <c r="M866" s="33">
        <f t="shared" si="359"/>
        <v>1</v>
      </c>
      <c r="N866" s="1">
        <v>2114421100</v>
      </c>
    </row>
    <row r="867" spans="1:14" ht="18" customHeight="1" x14ac:dyDescent="0.45">
      <c r="A867" s="13">
        <v>861</v>
      </c>
      <c r="B867" s="40" t="s">
        <v>71</v>
      </c>
      <c r="C867" s="40" t="s">
        <v>290</v>
      </c>
      <c r="D867" s="14" t="s">
        <v>3</v>
      </c>
      <c r="E867" s="15">
        <v>1</v>
      </c>
      <c r="F867" s="16">
        <v>19</v>
      </c>
      <c r="G867" s="17">
        <v>19</v>
      </c>
      <c r="H867" s="16">
        <v>0</v>
      </c>
      <c r="I867" s="17">
        <v>0</v>
      </c>
      <c r="J867" s="15">
        <v>19</v>
      </c>
      <c r="K867" s="43">
        <f t="shared" ref="K867" si="371">SUM(M867:M871)</f>
        <v>4</v>
      </c>
      <c r="L867" s="28">
        <v>2</v>
      </c>
      <c r="M867" s="33">
        <f t="shared" si="359"/>
        <v>2</v>
      </c>
      <c r="N867" s="1">
        <v>2114461100</v>
      </c>
    </row>
    <row r="868" spans="1:14" ht="18" customHeight="1" x14ac:dyDescent="0.45">
      <c r="A868" s="13">
        <v>862</v>
      </c>
      <c r="B868" s="41" t="str">
        <f t="shared" ref="B868:C871" si="372">B867</f>
        <v>埼玉千葉本部</v>
      </c>
      <c r="C868" s="41" t="str">
        <f t="shared" si="372"/>
        <v>ラヴィーレ志木柳瀬川</v>
      </c>
      <c r="D868" s="14" t="s">
        <v>4</v>
      </c>
      <c r="E868" s="15">
        <v>1</v>
      </c>
      <c r="F868" s="16">
        <v>11</v>
      </c>
      <c r="G868" s="17">
        <v>11</v>
      </c>
      <c r="H868" s="16">
        <v>8</v>
      </c>
      <c r="I868" s="17">
        <v>8</v>
      </c>
      <c r="J868" s="15">
        <v>19</v>
      </c>
      <c r="K868" s="44">
        <f t="shared" si="366"/>
        <v>4</v>
      </c>
      <c r="L868" s="28">
        <v>2</v>
      </c>
      <c r="M868" s="33">
        <f t="shared" si="359"/>
        <v>2</v>
      </c>
      <c r="N868" s="1">
        <v>2114461100</v>
      </c>
    </row>
    <row r="869" spans="1:14" ht="18" customHeight="1" x14ac:dyDescent="0.45">
      <c r="A869" s="13">
        <v>863</v>
      </c>
      <c r="B869" s="41" t="str">
        <f t="shared" si="372"/>
        <v>埼玉千葉本部</v>
      </c>
      <c r="C869" s="41" t="str">
        <f t="shared" si="372"/>
        <v>ラヴィーレ志木柳瀬川</v>
      </c>
      <c r="D869" s="14" t="s">
        <v>5</v>
      </c>
      <c r="E869" s="15">
        <v>2</v>
      </c>
      <c r="F869" s="16">
        <v>3</v>
      </c>
      <c r="G869" s="17">
        <v>1.5</v>
      </c>
      <c r="H869" s="16">
        <v>0</v>
      </c>
      <c r="I869" s="17">
        <v>0</v>
      </c>
      <c r="J869" s="15">
        <v>3</v>
      </c>
      <c r="K869" s="44">
        <f t="shared" si="366"/>
        <v>4</v>
      </c>
      <c r="L869" s="28">
        <v>0</v>
      </c>
      <c r="M869" s="33">
        <f t="shared" si="359"/>
        <v>0</v>
      </c>
      <c r="N869" s="1">
        <v>2114461100</v>
      </c>
    </row>
    <row r="870" spans="1:14" ht="18" customHeight="1" x14ac:dyDescent="0.45">
      <c r="A870" s="13">
        <v>864</v>
      </c>
      <c r="B870" s="41" t="str">
        <f t="shared" si="372"/>
        <v>埼玉千葉本部</v>
      </c>
      <c r="C870" s="41" t="str">
        <f t="shared" si="372"/>
        <v>ラヴィーレ志木柳瀬川</v>
      </c>
      <c r="D870" s="14" t="s">
        <v>6</v>
      </c>
      <c r="E870" s="15">
        <v>3</v>
      </c>
      <c r="F870" s="16">
        <v>0</v>
      </c>
      <c r="G870" s="17">
        <v>0</v>
      </c>
      <c r="H870" s="16">
        <v>0</v>
      </c>
      <c r="I870" s="17">
        <v>0</v>
      </c>
      <c r="J870" s="15">
        <v>0</v>
      </c>
      <c r="K870" s="44">
        <f t="shared" si="366"/>
        <v>4</v>
      </c>
      <c r="L870" s="28">
        <v>0</v>
      </c>
      <c r="M870" s="33">
        <f t="shared" si="359"/>
        <v>0</v>
      </c>
      <c r="N870" s="1">
        <v>2114461100</v>
      </c>
    </row>
    <row r="871" spans="1:14" ht="18" customHeight="1" x14ac:dyDescent="0.45">
      <c r="A871" s="13">
        <v>865</v>
      </c>
      <c r="B871" s="42" t="str">
        <f t="shared" si="372"/>
        <v>埼玉千葉本部</v>
      </c>
      <c r="C871" s="42" t="str">
        <f t="shared" si="372"/>
        <v>ラヴィーレ志木柳瀬川</v>
      </c>
      <c r="D871" s="14" t="s">
        <v>2</v>
      </c>
      <c r="E871" s="15">
        <v>2</v>
      </c>
      <c r="F871" s="16">
        <v>0</v>
      </c>
      <c r="G871" s="17">
        <v>0</v>
      </c>
      <c r="H871" s="16">
        <v>0</v>
      </c>
      <c r="I871" s="17">
        <v>0</v>
      </c>
      <c r="J871" s="15">
        <v>0</v>
      </c>
      <c r="K871" s="45">
        <f t="shared" si="366"/>
        <v>4</v>
      </c>
      <c r="L871" s="28">
        <v>0</v>
      </c>
      <c r="M871" s="33">
        <f t="shared" si="359"/>
        <v>0</v>
      </c>
      <c r="N871" s="1">
        <v>2114461100</v>
      </c>
    </row>
    <row r="872" spans="1:14" ht="18" customHeight="1" x14ac:dyDescent="0.45">
      <c r="A872" s="8">
        <v>866</v>
      </c>
      <c r="B872" s="34" t="s">
        <v>71</v>
      </c>
      <c r="C872" s="34" t="s">
        <v>291</v>
      </c>
      <c r="D872" s="9" t="s">
        <v>3</v>
      </c>
      <c r="E872" s="10">
        <v>1</v>
      </c>
      <c r="F872" s="11">
        <v>11</v>
      </c>
      <c r="G872" s="12">
        <v>11</v>
      </c>
      <c r="H872" s="11">
        <v>9</v>
      </c>
      <c r="I872" s="12">
        <v>9</v>
      </c>
      <c r="J872" s="10">
        <v>20</v>
      </c>
      <c r="K872" s="37">
        <f t="shared" ref="K872" si="373">SUM(M872:M876)</f>
        <v>6</v>
      </c>
      <c r="L872" s="28">
        <v>2</v>
      </c>
      <c r="M872" s="33">
        <f t="shared" si="359"/>
        <v>2</v>
      </c>
      <c r="N872" s="1">
        <v>2114471100</v>
      </c>
    </row>
    <row r="873" spans="1:14" ht="18" customHeight="1" x14ac:dyDescent="0.45">
      <c r="A873" s="8">
        <v>867</v>
      </c>
      <c r="B873" s="35" t="str">
        <f t="shared" ref="B873:C876" si="374">B872</f>
        <v>埼玉千葉本部</v>
      </c>
      <c r="C873" s="35" t="str">
        <f t="shared" si="374"/>
        <v>ラヴィーレ上福岡</v>
      </c>
      <c r="D873" s="9" t="s">
        <v>4</v>
      </c>
      <c r="E873" s="10">
        <v>1</v>
      </c>
      <c r="F873" s="11">
        <v>20</v>
      </c>
      <c r="G873" s="12">
        <v>20</v>
      </c>
      <c r="H873" s="11">
        <v>15</v>
      </c>
      <c r="I873" s="12">
        <v>15</v>
      </c>
      <c r="J873" s="10">
        <v>35</v>
      </c>
      <c r="K873" s="38">
        <f t="shared" si="366"/>
        <v>6</v>
      </c>
      <c r="L873" s="28">
        <v>2</v>
      </c>
      <c r="M873" s="33">
        <f t="shared" si="359"/>
        <v>2</v>
      </c>
      <c r="N873" s="1">
        <v>2114471100</v>
      </c>
    </row>
    <row r="874" spans="1:14" ht="18" customHeight="1" x14ac:dyDescent="0.45">
      <c r="A874" s="8">
        <v>868</v>
      </c>
      <c r="B874" s="35" t="str">
        <f t="shared" si="374"/>
        <v>埼玉千葉本部</v>
      </c>
      <c r="C874" s="35" t="str">
        <f t="shared" si="374"/>
        <v>ラヴィーレ上福岡</v>
      </c>
      <c r="D874" s="9" t="s">
        <v>5</v>
      </c>
      <c r="E874" s="10">
        <v>2</v>
      </c>
      <c r="F874" s="11">
        <v>29</v>
      </c>
      <c r="G874" s="12">
        <v>14.5</v>
      </c>
      <c r="H874" s="11">
        <v>0</v>
      </c>
      <c r="I874" s="12">
        <v>0</v>
      </c>
      <c r="J874" s="10">
        <v>29</v>
      </c>
      <c r="K874" s="38">
        <f t="shared" si="366"/>
        <v>6</v>
      </c>
      <c r="L874" s="28">
        <v>2</v>
      </c>
      <c r="M874" s="33">
        <f t="shared" si="359"/>
        <v>2</v>
      </c>
      <c r="N874" s="1">
        <v>2114471100</v>
      </c>
    </row>
    <row r="875" spans="1:14" ht="18" customHeight="1" x14ac:dyDescent="0.45">
      <c r="A875" s="8">
        <v>869</v>
      </c>
      <c r="B875" s="35" t="str">
        <f t="shared" si="374"/>
        <v>埼玉千葉本部</v>
      </c>
      <c r="C875" s="35" t="str">
        <f t="shared" si="374"/>
        <v>ラヴィーレ上福岡</v>
      </c>
      <c r="D875" s="9" t="s">
        <v>6</v>
      </c>
      <c r="E875" s="10">
        <v>3</v>
      </c>
      <c r="F875" s="11">
        <v>1</v>
      </c>
      <c r="G875" s="12">
        <v>0.3</v>
      </c>
      <c r="H875" s="11">
        <v>0</v>
      </c>
      <c r="I875" s="12">
        <v>0</v>
      </c>
      <c r="J875" s="10">
        <v>1</v>
      </c>
      <c r="K875" s="38">
        <f t="shared" si="366"/>
        <v>6</v>
      </c>
      <c r="L875" s="28">
        <v>0</v>
      </c>
      <c r="M875" s="33">
        <f t="shared" si="359"/>
        <v>0</v>
      </c>
      <c r="N875" s="1">
        <v>2114471100</v>
      </c>
    </row>
    <row r="876" spans="1:14" ht="18" customHeight="1" x14ac:dyDescent="0.45">
      <c r="A876" s="8">
        <v>870</v>
      </c>
      <c r="B876" s="36" t="str">
        <f t="shared" si="374"/>
        <v>埼玉千葉本部</v>
      </c>
      <c r="C876" s="36" t="str">
        <f t="shared" si="374"/>
        <v>ラヴィーレ上福岡</v>
      </c>
      <c r="D876" s="9" t="s">
        <v>2</v>
      </c>
      <c r="E876" s="10">
        <v>3</v>
      </c>
      <c r="F876" s="11">
        <v>2</v>
      </c>
      <c r="G876" s="12">
        <v>0.7</v>
      </c>
      <c r="H876" s="11">
        <v>0</v>
      </c>
      <c r="I876" s="12">
        <v>0</v>
      </c>
      <c r="J876" s="10">
        <v>2</v>
      </c>
      <c r="K876" s="39">
        <f t="shared" si="366"/>
        <v>6</v>
      </c>
      <c r="L876" s="28">
        <v>0</v>
      </c>
      <c r="M876" s="33">
        <f t="shared" si="359"/>
        <v>0</v>
      </c>
      <c r="N876" s="1">
        <v>2114471100</v>
      </c>
    </row>
    <row r="877" spans="1:14" ht="18" customHeight="1" x14ac:dyDescent="0.45">
      <c r="A877" s="13">
        <v>871</v>
      </c>
      <c r="B877" s="40" t="s">
        <v>71</v>
      </c>
      <c r="C877" s="40" t="s">
        <v>292</v>
      </c>
      <c r="D877" s="14" t="s">
        <v>3</v>
      </c>
      <c r="E877" s="15">
        <v>1</v>
      </c>
      <c r="F877" s="16">
        <v>11</v>
      </c>
      <c r="G877" s="17">
        <v>11</v>
      </c>
      <c r="H877" s="16">
        <v>0</v>
      </c>
      <c r="I877" s="17">
        <v>0</v>
      </c>
      <c r="J877" s="15">
        <v>11</v>
      </c>
      <c r="K877" s="43">
        <f t="shared" ref="K877" si="375">SUM(M877:M881)</f>
        <v>6</v>
      </c>
      <c r="L877" s="28">
        <v>2</v>
      </c>
      <c r="M877" s="33">
        <f t="shared" si="359"/>
        <v>2</v>
      </c>
      <c r="N877" s="1">
        <v>2114481100</v>
      </c>
    </row>
    <row r="878" spans="1:14" ht="18" customHeight="1" x14ac:dyDescent="0.45">
      <c r="A878" s="13">
        <v>872</v>
      </c>
      <c r="B878" s="41" t="str">
        <f t="shared" ref="B878:C881" si="376">B877</f>
        <v>埼玉千葉本部</v>
      </c>
      <c r="C878" s="41" t="str">
        <f t="shared" si="376"/>
        <v>ラヴィーレふじみ野</v>
      </c>
      <c r="D878" s="14" t="s">
        <v>4</v>
      </c>
      <c r="E878" s="15">
        <v>1</v>
      </c>
      <c r="F878" s="16">
        <v>13</v>
      </c>
      <c r="G878" s="17">
        <v>13</v>
      </c>
      <c r="H878" s="16">
        <v>6</v>
      </c>
      <c r="I878" s="17">
        <v>6</v>
      </c>
      <c r="J878" s="15">
        <v>19</v>
      </c>
      <c r="K878" s="44">
        <f t="shared" si="366"/>
        <v>6</v>
      </c>
      <c r="L878" s="28">
        <v>2</v>
      </c>
      <c r="M878" s="33">
        <f t="shared" si="359"/>
        <v>2</v>
      </c>
      <c r="N878" s="1">
        <v>2114481100</v>
      </c>
    </row>
    <row r="879" spans="1:14" ht="18" customHeight="1" x14ac:dyDescent="0.45">
      <c r="A879" s="13">
        <v>873</v>
      </c>
      <c r="B879" s="41" t="str">
        <f t="shared" si="376"/>
        <v>埼玉千葉本部</v>
      </c>
      <c r="C879" s="41" t="str">
        <f t="shared" si="376"/>
        <v>ラヴィーレふじみ野</v>
      </c>
      <c r="D879" s="14" t="s">
        <v>5</v>
      </c>
      <c r="E879" s="15">
        <v>2</v>
      </c>
      <c r="F879" s="16">
        <v>1</v>
      </c>
      <c r="G879" s="17">
        <v>0.5</v>
      </c>
      <c r="H879" s="16">
        <v>0</v>
      </c>
      <c r="I879" s="17">
        <v>0</v>
      </c>
      <c r="J879" s="15">
        <v>1</v>
      </c>
      <c r="K879" s="44">
        <f t="shared" si="366"/>
        <v>6</v>
      </c>
      <c r="L879" s="28">
        <v>0</v>
      </c>
      <c r="M879" s="33">
        <f t="shared" si="359"/>
        <v>0</v>
      </c>
      <c r="N879" s="1">
        <v>2114481100</v>
      </c>
    </row>
    <row r="880" spans="1:14" ht="18" customHeight="1" x14ac:dyDescent="0.45">
      <c r="A880" s="13">
        <v>874</v>
      </c>
      <c r="B880" s="41" t="str">
        <f t="shared" si="376"/>
        <v>埼玉千葉本部</v>
      </c>
      <c r="C880" s="41" t="str">
        <f t="shared" si="376"/>
        <v>ラヴィーレふじみ野</v>
      </c>
      <c r="D880" s="14" t="s">
        <v>6</v>
      </c>
      <c r="E880" s="15">
        <v>3</v>
      </c>
      <c r="F880" s="16">
        <v>0</v>
      </c>
      <c r="G880" s="17">
        <v>0</v>
      </c>
      <c r="H880" s="16">
        <v>0</v>
      </c>
      <c r="I880" s="17">
        <v>0</v>
      </c>
      <c r="J880" s="15">
        <v>0</v>
      </c>
      <c r="K880" s="44">
        <f t="shared" si="366"/>
        <v>6</v>
      </c>
      <c r="L880" s="28">
        <v>0</v>
      </c>
      <c r="M880" s="33">
        <f t="shared" si="359"/>
        <v>0</v>
      </c>
      <c r="N880" s="1">
        <v>2114481100</v>
      </c>
    </row>
    <row r="881" spans="1:14" ht="18" customHeight="1" x14ac:dyDescent="0.45">
      <c r="A881" s="13">
        <v>875</v>
      </c>
      <c r="B881" s="42" t="str">
        <f t="shared" si="376"/>
        <v>埼玉千葉本部</v>
      </c>
      <c r="C881" s="42" t="str">
        <f t="shared" si="376"/>
        <v>ラヴィーレふじみ野</v>
      </c>
      <c r="D881" s="14" t="s">
        <v>2</v>
      </c>
      <c r="E881" s="15">
        <v>2</v>
      </c>
      <c r="F881" s="16">
        <v>9</v>
      </c>
      <c r="G881" s="17">
        <v>4.5</v>
      </c>
      <c r="H881" s="16">
        <v>0</v>
      </c>
      <c r="I881" s="17">
        <v>0</v>
      </c>
      <c r="J881" s="15">
        <v>9</v>
      </c>
      <c r="K881" s="45">
        <f t="shared" si="366"/>
        <v>6</v>
      </c>
      <c r="L881" s="28">
        <v>2</v>
      </c>
      <c r="M881" s="33">
        <f t="shared" si="359"/>
        <v>2</v>
      </c>
      <c r="N881" s="1">
        <v>2114481100</v>
      </c>
    </row>
    <row r="882" spans="1:14" ht="18" customHeight="1" x14ac:dyDescent="0.45">
      <c r="A882" s="8">
        <v>876</v>
      </c>
      <c r="B882" s="34" t="s">
        <v>71</v>
      </c>
      <c r="C882" s="34" t="s">
        <v>293</v>
      </c>
      <c r="D882" s="9" t="s">
        <v>3</v>
      </c>
      <c r="E882" s="10">
        <v>1</v>
      </c>
      <c r="F882" s="11">
        <v>0</v>
      </c>
      <c r="G882" s="12">
        <v>0</v>
      </c>
      <c r="H882" s="11">
        <v>0</v>
      </c>
      <c r="I882" s="12">
        <v>0</v>
      </c>
      <c r="J882" s="10">
        <v>0</v>
      </c>
      <c r="K882" s="37">
        <f t="shared" ref="K882" si="377">SUM(M882:M886)</f>
        <v>6</v>
      </c>
      <c r="L882" s="28">
        <v>0</v>
      </c>
      <c r="M882" s="33">
        <f t="shared" si="359"/>
        <v>0</v>
      </c>
      <c r="N882" s="1">
        <v>2114541100</v>
      </c>
    </row>
    <row r="883" spans="1:14" ht="18" customHeight="1" x14ac:dyDescent="0.45">
      <c r="A883" s="8">
        <v>877</v>
      </c>
      <c r="B883" s="35" t="str">
        <f t="shared" ref="B883:C886" si="378">B882</f>
        <v>埼玉千葉本部</v>
      </c>
      <c r="C883" s="35" t="str">
        <f t="shared" si="378"/>
        <v>ラヴィーレ狭山</v>
      </c>
      <c r="D883" s="9" t="s">
        <v>4</v>
      </c>
      <c r="E883" s="10">
        <v>2</v>
      </c>
      <c r="F883" s="11">
        <v>14</v>
      </c>
      <c r="G883" s="12">
        <v>7</v>
      </c>
      <c r="H883" s="11">
        <v>4</v>
      </c>
      <c r="I883" s="12">
        <v>2</v>
      </c>
      <c r="J883" s="10">
        <v>18</v>
      </c>
      <c r="K883" s="38">
        <f t="shared" si="366"/>
        <v>6</v>
      </c>
      <c r="L883" s="28">
        <v>2</v>
      </c>
      <c r="M883" s="33">
        <f t="shared" si="359"/>
        <v>2</v>
      </c>
      <c r="N883" s="1">
        <v>2114541100</v>
      </c>
    </row>
    <row r="884" spans="1:14" ht="18" customHeight="1" x14ac:dyDescent="0.45">
      <c r="A884" s="8">
        <v>878</v>
      </c>
      <c r="B884" s="35" t="str">
        <f t="shared" si="378"/>
        <v>埼玉千葉本部</v>
      </c>
      <c r="C884" s="35" t="str">
        <f t="shared" si="378"/>
        <v>ラヴィーレ狭山</v>
      </c>
      <c r="D884" s="9" t="s">
        <v>5</v>
      </c>
      <c r="E884" s="10">
        <v>2</v>
      </c>
      <c r="F884" s="11">
        <v>24</v>
      </c>
      <c r="G884" s="12">
        <v>12</v>
      </c>
      <c r="H884" s="11">
        <v>0</v>
      </c>
      <c r="I884" s="12">
        <v>0</v>
      </c>
      <c r="J884" s="10">
        <v>24</v>
      </c>
      <c r="K884" s="38">
        <f t="shared" si="366"/>
        <v>6</v>
      </c>
      <c r="L884" s="28">
        <v>2</v>
      </c>
      <c r="M884" s="33">
        <f t="shared" si="359"/>
        <v>2</v>
      </c>
      <c r="N884" s="1">
        <v>2114541100</v>
      </c>
    </row>
    <row r="885" spans="1:14" ht="18" customHeight="1" x14ac:dyDescent="0.45">
      <c r="A885" s="8">
        <v>879</v>
      </c>
      <c r="B885" s="35" t="str">
        <f t="shared" si="378"/>
        <v>埼玉千葉本部</v>
      </c>
      <c r="C885" s="35" t="str">
        <f t="shared" si="378"/>
        <v>ラヴィーレ狭山</v>
      </c>
      <c r="D885" s="9" t="s">
        <v>6</v>
      </c>
      <c r="E885" s="10">
        <v>5</v>
      </c>
      <c r="F885" s="11">
        <v>12</v>
      </c>
      <c r="G885" s="12">
        <v>2.4</v>
      </c>
      <c r="H885" s="11">
        <v>0</v>
      </c>
      <c r="I885" s="12">
        <v>0</v>
      </c>
      <c r="J885" s="10">
        <v>12</v>
      </c>
      <c r="K885" s="38">
        <f t="shared" si="366"/>
        <v>6</v>
      </c>
      <c r="L885" s="28">
        <v>2</v>
      </c>
      <c r="M885" s="33">
        <f t="shared" si="359"/>
        <v>2</v>
      </c>
      <c r="N885" s="1">
        <v>2114541100</v>
      </c>
    </row>
    <row r="886" spans="1:14" ht="18" customHeight="1" x14ac:dyDescent="0.45">
      <c r="A886" s="8">
        <v>880</v>
      </c>
      <c r="B886" s="36" t="str">
        <f t="shared" si="378"/>
        <v>埼玉千葉本部</v>
      </c>
      <c r="C886" s="36" t="str">
        <f t="shared" si="378"/>
        <v>ラヴィーレ狭山</v>
      </c>
      <c r="D886" s="9" t="s">
        <v>2</v>
      </c>
      <c r="E886" s="10">
        <v>1</v>
      </c>
      <c r="F886" s="11">
        <v>0</v>
      </c>
      <c r="G886" s="12">
        <v>0</v>
      </c>
      <c r="H886" s="11">
        <v>0</v>
      </c>
      <c r="I886" s="12">
        <v>0</v>
      </c>
      <c r="J886" s="10">
        <v>0</v>
      </c>
      <c r="K886" s="39">
        <f t="shared" si="366"/>
        <v>6</v>
      </c>
      <c r="L886" s="28">
        <v>0</v>
      </c>
      <c r="M886" s="33">
        <f t="shared" si="359"/>
        <v>0</v>
      </c>
      <c r="N886" s="1">
        <v>2114541100</v>
      </c>
    </row>
    <row r="887" spans="1:14" ht="18" customHeight="1" x14ac:dyDescent="0.45">
      <c r="A887" s="13">
        <v>881</v>
      </c>
      <c r="B887" s="40" t="s">
        <v>71</v>
      </c>
      <c r="C887" s="40" t="s">
        <v>294</v>
      </c>
      <c r="D887" s="14" t="s">
        <v>3</v>
      </c>
      <c r="E887" s="15">
        <v>1</v>
      </c>
      <c r="F887" s="16">
        <v>25</v>
      </c>
      <c r="G887" s="17">
        <v>25</v>
      </c>
      <c r="H887" s="16">
        <v>5</v>
      </c>
      <c r="I887" s="17">
        <v>5</v>
      </c>
      <c r="J887" s="15">
        <v>30</v>
      </c>
      <c r="K887" s="43">
        <f t="shared" ref="K887" si="379">SUM(M887:M891)</f>
        <v>7</v>
      </c>
      <c r="L887" s="28">
        <v>2</v>
      </c>
      <c r="M887" s="33">
        <f t="shared" si="359"/>
        <v>2</v>
      </c>
      <c r="N887" s="1">
        <v>2114551100</v>
      </c>
    </row>
    <row r="888" spans="1:14" ht="18" customHeight="1" x14ac:dyDescent="0.45">
      <c r="A888" s="13">
        <v>882</v>
      </c>
      <c r="B888" s="41" t="str">
        <f t="shared" ref="B888:C891" si="380">B887</f>
        <v>埼玉千葉本部</v>
      </c>
      <c r="C888" s="41" t="str">
        <f t="shared" si="380"/>
        <v>ラヴィーレ飯能</v>
      </c>
      <c r="D888" s="14" t="s">
        <v>4</v>
      </c>
      <c r="E888" s="15">
        <v>1</v>
      </c>
      <c r="F888" s="16">
        <v>6</v>
      </c>
      <c r="G888" s="17">
        <v>6</v>
      </c>
      <c r="H888" s="16">
        <v>0</v>
      </c>
      <c r="I888" s="17">
        <v>0</v>
      </c>
      <c r="J888" s="15">
        <v>6</v>
      </c>
      <c r="K888" s="44">
        <f t="shared" si="366"/>
        <v>7</v>
      </c>
      <c r="L888" s="28">
        <v>1</v>
      </c>
      <c r="M888" s="33">
        <f t="shared" si="359"/>
        <v>1</v>
      </c>
      <c r="N888" s="1">
        <v>2114551100</v>
      </c>
    </row>
    <row r="889" spans="1:14" ht="18" customHeight="1" x14ac:dyDescent="0.45">
      <c r="A889" s="13">
        <v>883</v>
      </c>
      <c r="B889" s="41" t="str">
        <f t="shared" si="380"/>
        <v>埼玉千葉本部</v>
      </c>
      <c r="C889" s="41" t="str">
        <f t="shared" si="380"/>
        <v>ラヴィーレ飯能</v>
      </c>
      <c r="D889" s="14" t="s">
        <v>5</v>
      </c>
      <c r="E889" s="15">
        <v>3</v>
      </c>
      <c r="F889" s="16">
        <v>59</v>
      </c>
      <c r="G889" s="17">
        <v>19.7</v>
      </c>
      <c r="H889" s="16">
        <v>0</v>
      </c>
      <c r="I889" s="17">
        <v>0</v>
      </c>
      <c r="J889" s="15">
        <v>59</v>
      </c>
      <c r="K889" s="44">
        <f t="shared" si="366"/>
        <v>7</v>
      </c>
      <c r="L889" s="28">
        <v>2</v>
      </c>
      <c r="M889" s="33">
        <f t="shared" si="359"/>
        <v>2</v>
      </c>
      <c r="N889" s="1">
        <v>2114551100</v>
      </c>
    </row>
    <row r="890" spans="1:14" ht="18" customHeight="1" x14ac:dyDescent="0.45">
      <c r="A890" s="13">
        <v>884</v>
      </c>
      <c r="B890" s="41" t="str">
        <f t="shared" si="380"/>
        <v>埼玉千葉本部</v>
      </c>
      <c r="C890" s="41" t="str">
        <f t="shared" si="380"/>
        <v>ラヴィーレ飯能</v>
      </c>
      <c r="D890" s="14" t="s">
        <v>6</v>
      </c>
      <c r="E890" s="15">
        <v>3</v>
      </c>
      <c r="F890" s="16">
        <v>1</v>
      </c>
      <c r="G890" s="17">
        <v>0.3</v>
      </c>
      <c r="H890" s="16">
        <v>0</v>
      </c>
      <c r="I890" s="17">
        <v>0</v>
      </c>
      <c r="J890" s="15">
        <v>1</v>
      </c>
      <c r="K890" s="44">
        <f t="shared" si="366"/>
        <v>7</v>
      </c>
      <c r="L890" s="28">
        <v>0</v>
      </c>
      <c r="M890" s="33">
        <f t="shared" si="359"/>
        <v>0</v>
      </c>
      <c r="N890" s="1">
        <v>2114551100</v>
      </c>
    </row>
    <row r="891" spans="1:14" ht="18" customHeight="1" x14ac:dyDescent="0.45">
      <c r="A891" s="13">
        <v>885</v>
      </c>
      <c r="B891" s="42" t="str">
        <f t="shared" si="380"/>
        <v>埼玉千葉本部</v>
      </c>
      <c r="C891" s="42" t="str">
        <f t="shared" si="380"/>
        <v>ラヴィーレ飯能</v>
      </c>
      <c r="D891" s="14" t="s">
        <v>2</v>
      </c>
      <c r="E891" s="15">
        <v>2</v>
      </c>
      <c r="F891" s="16">
        <v>16</v>
      </c>
      <c r="G891" s="17">
        <v>8</v>
      </c>
      <c r="H891" s="16">
        <v>0</v>
      </c>
      <c r="I891" s="17">
        <v>0</v>
      </c>
      <c r="J891" s="15">
        <v>16</v>
      </c>
      <c r="K891" s="45">
        <f t="shared" si="366"/>
        <v>7</v>
      </c>
      <c r="L891" s="28">
        <v>2</v>
      </c>
      <c r="M891" s="33">
        <f t="shared" si="359"/>
        <v>2</v>
      </c>
      <c r="N891" s="1">
        <v>2114551100</v>
      </c>
    </row>
    <row r="892" spans="1:14" ht="18" customHeight="1" x14ac:dyDescent="0.45">
      <c r="A892" s="8">
        <v>886</v>
      </c>
      <c r="B892" s="34" t="s">
        <v>71</v>
      </c>
      <c r="C892" s="34" t="s">
        <v>295</v>
      </c>
      <c r="D892" s="9" t="s">
        <v>3</v>
      </c>
      <c r="E892" s="10">
        <v>1</v>
      </c>
      <c r="F892" s="11">
        <v>8</v>
      </c>
      <c r="G892" s="12">
        <v>8</v>
      </c>
      <c r="H892" s="11">
        <v>7</v>
      </c>
      <c r="I892" s="12">
        <v>7</v>
      </c>
      <c r="J892" s="10">
        <v>15</v>
      </c>
      <c r="K892" s="37">
        <f t="shared" ref="K892" si="381">SUM(M892:M896)</f>
        <v>10</v>
      </c>
      <c r="L892" s="28">
        <v>2</v>
      </c>
      <c r="M892" s="33">
        <f t="shared" si="359"/>
        <v>2</v>
      </c>
      <c r="N892" s="1">
        <v>2114561100</v>
      </c>
    </row>
    <row r="893" spans="1:14" ht="18" customHeight="1" x14ac:dyDescent="0.45">
      <c r="A893" s="8">
        <v>887</v>
      </c>
      <c r="B893" s="35" t="str">
        <f t="shared" ref="B893:C896" si="382">B892</f>
        <v>埼玉千葉本部</v>
      </c>
      <c r="C893" s="35" t="str">
        <f t="shared" si="382"/>
        <v>ラヴィーレ入間</v>
      </c>
      <c r="D893" s="9" t="s">
        <v>4</v>
      </c>
      <c r="E893" s="10">
        <v>1</v>
      </c>
      <c r="F893" s="11">
        <v>13</v>
      </c>
      <c r="G893" s="12">
        <v>13</v>
      </c>
      <c r="H893" s="11">
        <v>4</v>
      </c>
      <c r="I893" s="12">
        <v>4</v>
      </c>
      <c r="J893" s="10">
        <v>17</v>
      </c>
      <c r="K893" s="38">
        <f t="shared" si="366"/>
        <v>10</v>
      </c>
      <c r="L893" s="28">
        <v>2</v>
      </c>
      <c r="M893" s="33">
        <f t="shared" si="359"/>
        <v>2</v>
      </c>
      <c r="N893" s="1">
        <v>2114561100</v>
      </c>
    </row>
    <row r="894" spans="1:14" ht="18" customHeight="1" x14ac:dyDescent="0.45">
      <c r="A894" s="8">
        <v>888</v>
      </c>
      <c r="B894" s="35" t="str">
        <f t="shared" si="382"/>
        <v>埼玉千葉本部</v>
      </c>
      <c r="C894" s="35" t="str">
        <f t="shared" si="382"/>
        <v>ラヴィーレ入間</v>
      </c>
      <c r="D894" s="9" t="s">
        <v>5</v>
      </c>
      <c r="E894" s="10">
        <v>3</v>
      </c>
      <c r="F894" s="11">
        <v>33</v>
      </c>
      <c r="G894" s="12">
        <v>11</v>
      </c>
      <c r="H894" s="11">
        <v>0</v>
      </c>
      <c r="I894" s="12">
        <v>0</v>
      </c>
      <c r="J894" s="10">
        <v>33</v>
      </c>
      <c r="K894" s="38">
        <f t="shared" si="366"/>
        <v>10</v>
      </c>
      <c r="L894" s="28">
        <v>2</v>
      </c>
      <c r="M894" s="33">
        <f t="shared" si="359"/>
        <v>2</v>
      </c>
      <c r="N894" s="1">
        <v>2114561100</v>
      </c>
    </row>
    <row r="895" spans="1:14" ht="18" customHeight="1" x14ac:dyDescent="0.45">
      <c r="A895" s="8">
        <v>889</v>
      </c>
      <c r="B895" s="35" t="str">
        <f t="shared" si="382"/>
        <v>埼玉千葉本部</v>
      </c>
      <c r="C895" s="35" t="str">
        <f t="shared" si="382"/>
        <v>ラヴィーレ入間</v>
      </c>
      <c r="D895" s="9" t="s">
        <v>6</v>
      </c>
      <c r="E895" s="10">
        <v>5</v>
      </c>
      <c r="F895" s="11">
        <v>22</v>
      </c>
      <c r="G895" s="12">
        <v>4.4000000000000004</v>
      </c>
      <c r="H895" s="11">
        <v>0</v>
      </c>
      <c r="I895" s="12">
        <v>0</v>
      </c>
      <c r="J895" s="10">
        <v>22</v>
      </c>
      <c r="K895" s="38">
        <f t="shared" si="366"/>
        <v>10</v>
      </c>
      <c r="L895" s="28">
        <v>2</v>
      </c>
      <c r="M895" s="33">
        <f t="shared" si="359"/>
        <v>2</v>
      </c>
      <c r="N895" s="1">
        <v>2114561100</v>
      </c>
    </row>
    <row r="896" spans="1:14" ht="18" customHeight="1" x14ac:dyDescent="0.45">
      <c r="A896" s="8">
        <v>890</v>
      </c>
      <c r="B896" s="36" t="str">
        <f t="shared" si="382"/>
        <v>埼玉千葉本部</v>
      </c>
      <c r="C896" s="36" t="str">
        <f t="shared" si="382"/>
        <v>ラヴィーレ入間</v>
      </c>
      <c r="D896" s="9" t="s">
        <v>2</v>
      </c>
      <c r="E896" s="10">
        <v>2</v>
      </c>
      <c r="F896" s="11">
        <v>18</v>
      </c>
      <c r="G896" s="12">
        <v>9</v>
      </c>
      <c r="H896" s="11">
        <v>0</v>
      </c>
      <c r="I896" s="12">
        <v>0</v>
      </c>
      <c r="J896" s="10">
        <v>18</v>
      </c>
      <c r="K896" s="39">
        <f t="shared" si="366"/>
        <v>10</v>
      </c>
      <c r="L896" s="28">
        <v>2</v>
      </c>
      <c r="M896" s="33">
        <f t="shared" si="359"/>
        <v>2</v>
      </c>
      <c r="N896" s="1">
        <v>2114561100</v>
      </c>
    </row>
    <row r="897" spans="1:14" ht="18" customHeight="1" x14ac:dyDescent="0.45">
      <c r="A897" s="13">
        <v>891</v>
      </c>
      <c r="B897" s="40" t="s">
        <v>71</v>
      </c>
      <c r="C897" s="40" t="s">
        <v>296</v>
      </c>
      <c r="D897" s="14" t="s">
        <v>3</v>
      </c>
      <c r="E897" s="15">
        <v>1</v>
      </c>
      <c r="F897" s="16">
        <v>17</v>
      </c>
      <c r="G897" s="17">
        <v>17</v>
      </c>
      <c r="H897" s="16">
        <v>13</v>
      </c>
      <c r="I897" s="17">
        <v>13</v>
      </c>
      <c r="J897" s="15">
        <v>30</v>
      </c>
      <c r="K897" s="43">
        <f t="shared" ref="K897" si="383">SUM(M897:M901)</f>
        <v>9</v>
      </c>
      <c r="L897" s="28">
        <v>2</v>
      </c>
      <c r="M897" s="33">
        <f t="shared" si="359"/>
        <v>2</v>
      </c>
      <c r="N897" s="1">
        <v>2114591100</v>
      </c>
    </row>
    <row r="898" spans="1:14" ht="18" customHeight="1" x14ac:dyDescent="0.45">
      <c r="A898" s="13">
        <v>892</v>
      </c>
      <c r="B898" s="41" t="str">
        <f t="shared" ref="B898:C901" si="384">B897</f>
        <v>埼玉千葉本部</v>
      </c>
      <c r="C898" s="41" t="str">
        <f t="shared" si="384"/>
        <v>ラヴィーレ東所沢</v>
      </c>
      <c r="D898" s="14" t="s">
        <v>4</v>
      </c>
      <c r="E898" s="15">
        <v>1</v>
      </c>
      <c r="F898" s="16">
        <v>29</v>
      </c>
      <c r="G898" s="17">
        <v>29</v>
      </c>
      <c r="H898" s="16">
        <v>26</v>
      </c>
      <c r="I898" s="17">
        <v>26</v>
      </c>
      <c r="J898" s="15">
        <v>55</v>
      </c>
      <c r="K898" s="44">
        <f t="shared" si="366"/>
        <v>9</v>
      </c>
      <c r="L898" s="28">
        <v>2</v>
      </c>
      <c r="M898" s="33">
        <f t="shared" si="359"/>
        <v>2</v>
      </c>
      <c r="N898" s="1">
        <v>2114591100</v>
      </c>
    </row>
    <row r="899" spans="1:14" ht="18" customHeight="1" x14ac:dyDescent="0.45">
      <c r="A899" s="13">
        <v>893</v>
      </c>
      <c r="B899" s="41" t="str">
        <f t="shared" si="384"/>
        <v>埼玉千葉本部</v>
      </c>
      <c r="C899" s="41" t="str">
        <f t="shared" si="384"/>
        <v>ラヴィーレ東所沢</v>
      </c>
      <c r="D899" s="14" t="s">
        <v>5</v>
      </c>
      <c r="E899" s="15">
        <v>2</v>
      </c>
      <c r="F899" s="16">
        <v>33</v>
      </c>
      <c r="G899" s="17">
        <v>16.5</v>
      </c>
      <c r="H899" s="16">
        <v>0</v>
      </c>
      <c r="I899" s="17">
        <v>0</v>
      </c>
      <c r="J899" s="15">
        <v>33</v>
      </c>
      <c r="K899" s="44">
        <f t="shared" si="366"/>
        <v>9</v>
      </c>
      <c r="L899" s="28">
        <v>2</v>
      </c>
      <c r="M899" s="33">
        <f t="shared" si="359"/>
        <v>2</v>
      </c>
      <c r="N899" s="1">
        <v>2114591100</v>
      </c>
    </row>
    <row r="900" spans="1:14" ht="18" customHeight="1" x14ac:dyDescent="0.45">
      <c r="A900" s="13">
        <v>894</v>
      </c>
      <c r="B900" s="41" t="str">
        <f t="shared" si="384"/>
        <v>埼玉千葉本部</v>
      </c>
      <c r="C900" s="41" t="str">
        <f t="shared" si="384"/>
        <v>ラヴィーレ東所沢</v>
      </c>
      <c r="D900" s="14" t="s">
        <v>6</v>
      </c>
      <c r="E900" s="15">
        <v>3</v>
      </c>
      <c r="F900" s="16">
        <v>35</v>
      </c>
      <c r="G900" s="17">
        <v>11.7</v>
      </c>
      <c r="H900" s="16">
        <v>2</v>
      </c>
      <c r="I900" s="17">
        <v>0.7</v>
      </c>
      <c r="J900" s="15">
        <v>37</v>
      </c>
      <c r="K900" s="44">
        <f t="shared" si="366"/>
        <v>9</v>
      </c>
      <c r="L900" s="28">
        <v>2</v>
      </c>
      <c r="M900" s="33">
        <f t="shared" si="359"/>
        <v>2</v>
      </c>
      <c r="N900" s="1">
        <v>2114591100</v>
      </c>
    </row>
    <row r="901" spans="1:14" ht="18" customHeight="1" x14ac:dyDescent="0.45">
      <c r="A901" s="13">
        <v>895</v>
      </c>
      <c r="B901" s="42" t="str">
        <f t="shared" si="384"/>
        <v>埼玉千葉本部</v>
      </c>
      <c r="C901" s="42" t="str">
        <f t="shared" si="384"/>
        <v>ラヴィーレ東所沢</v>
      </c>
      <c r="D901" s="14" t="s">
        <v>2</v>
      </c>
      <c r="E901" s="15">
        <v>2</v>
      </c>
      <c r="F901" s="16">
        <v>4</v>
      </c>
      <c r="G901" s="17">
        <v>2</v>
      </c>
      <c r="H901" s="16">
        <v>0</v>
      </c>
      <c r="I901" s="17">
        <v>0</v>
      </c>
      <c r="J901" s="15">
        <v>4</v>
      </c>
      <c r="K901" s="45">
        <f t="shared" si="366"/>
        <v>9</v>
      </c>
      <c r="L901" s="28">
        <v>1</v>
      </c>
      <c r="M901" s="33">
        <f t="shared" si="359"/>
        <v>1</v>
      </c>
      <c r="N901" s="1">
        <v>2114591100</v>
      </c>
    </row>
    <row r="902" spans="1:14" ht="18" customHeight="1" x14ac:dyDescent="0.45">
      <c r="A902" s="8">
        <v>896</v>
      </c>
      <c r="B902" s="34" t="s">
        <v>71</v>
      </c>
      <c r="C902" s="34" t="s">
        <v>297</v>
      </c>
      <c r="D902" s="9" t="s">
        <v>3</v>
      </c>
      <c r="E902" s="10">
        <v>1</v>
      </c>
      <c r="F902" s="11">
        <v>16</v>
      </c>
      <c r="G902" s="12">
        <v>16</v>
      </c>
      <c r="H902" s="11">
        <v>4</v>
      </c>
      <c r="I902" s="12">
        <v>4</v>
      </c>
      <c r="J902" s="10">
        <v>20</v>
      </c>
      <c r="K902" s="37">
        <f t="shared" ref="K902" si="385">SUM(M902:M906)</f>
        <v>6</v>
      </c>
      <c r="L902" s="28">
        <v>2</v>
      </c>
      <c r="M902" s="33">
        <f t="shared" si="359"/>
        <v>2</v>
      </c>
      <c r="N902" s="1">
        <v>2117911100</v>
      </c>
    </row>
    <row r="903" spans="1:14" ht="18" customHeight="1" x14ac:dyDescent="0.45">
      <c r="A903" s="8">
        <v>897</v>
      </c>
      <c r="B903" s="35" t="str">
        <f t="shared" ref="B903:C906" si="386">B902</f>
        <v>埼玉千葉本部</v>
      </c>
      <c r="C903" s="35" t="str">
        <f t="shared" si="386"/>
        <v>ラヴィーレ北浦和</v>
      </c>
      <c r="D903" s="9" t="s">
        <v>4</v>
      </c>
      <c r="E903" s="10">
        <v>1</v>
      </c>
      <c r="F903" s="11">
        <v>11</v>
      </c>
      <c r="G903" s="12">
        <v>11</v>
      </c>
      <c r="H903" s="11">
        <v>0</v>
      </c>
      <c r="I903" s="12">
        <v>0</v>
      </c>
      <c r="J903" s="10">
        <v>11</v>
      </c>
      <c r="K903" s="38">
        <f t="shared" si="366"/>
        <v>6</v>
      </c>
      <c r="L903" s="28">
        <v>2</v>
      </c>
      <c r="M903" s="33">
        <f t="shared" si="359"/>
        <v>2</v>
      </c>
      <c r="N903" s="1">
        <v>2117911100</v>
      </c>
    </row>
    <row r="904" spans="1:14" ht="18" customHeight="1" x14ac:dyDescent="0.45">
      <c r="A904" s="8">
        <v>898</v>
      </c>
      <c r="B904" s="35" t="str">
        <f t="shared" si="386"/>
        <v>埼玉千葉本部</v>
      </c>
      <c r="C904" s="35" t="str">
        <f t="shared" si="386"/>
        <v>ラヴィーレ北浦和</v>
      </c>
      <c r="D904" s="9" t="s">
        <v>5</v>
      </c>
      <c r="E904" s="10">
        <v>2</v>
      </c>
      <c r="F904" s="11">
        <v>5</v>
      </c>
      <c r="G904" s="12">
        <v>2.5</v>
      </c>
      <c r="H904" s="11">
        <v>0</v>
      </c>
      <c r="I904" s="12">
        <v>0</v>
      </c>
      <c r="J904" s="10">
        <v>5</v>
      </c>
      <c r="K904" s="38">
        <f t="shared" si="366"/>
        <v>6</v>
      </c>
      <c r="L904" s="28">
        <v>1</v>
      </c>
      <c r="M904" s="33">
        <f t="shared" ref="M904:M967" si="387">L904</f>
        <v>1</v>
      </c>
      <c r="N904" s="1">
        <v>2117911100</v>
      </c>
    </row>
    <row r="905" spans="1:14" ht="18" customHeight="1" x14ac:dyDescent="0.45">
      <c r="A905" s="8">
        <v>899</v>
      </c>
      <c r="B905" s="35" t="str">
        <f t="shared" si="386"/>
        <v>埼玉千葉本部</v>
      </c>
      <c r="C905" s="35" t="str">
        <f t="shared" si="386"/>
        <v>ラヴィーレ北浦和</v>
      </c>
      <c r="D905" s="9" t="s">
        <v>6</v>
      </c>
      <c r="E905" s="10">
        <v>4</v>
      </c>
      <c r="F905" s="11">
        <v>1</v>
      </c>
      <c r="G905" s="12">
        <v>0.3</v>
      </c>
      <c r="H905" s="11">
        <v>0</v>
      </c>
      <c r="I905" s="12">
        <v>0</v>
      </c>
      <c r="J905" s="10">
        <v>1</v>
      </c>
      <c r="K905" s="38">
        <f t="shared" si="366"/>
        <v>6</v>
      </c>
      <c r="L905" s="28">
        <v>0</v>
      </c>
      <c r="M905" s="33">
        <f t="shared" si="387"/>
        <v>0</v>
      </c>
      <c r="N905" s="1">
        <v>2117911100</v>
      </c>
    </row>
    <row r="906" spans="1:14" ht="18" customHeight="1" x14ac:dyDescent="0.45">
      <c r="A906" s="8">
        <v>900</v>
      </c>
      <c r="B906" s="36" t="str">
        <f t="shared" si="386"/>
        <v>埼玉千葉本部</v>
      </c>
      <c r="C906" s="36" t="str">
        <f t="shared" si="386"/>
        <v>ラヴィーレ北浦和</v>
      </c>
      <c r="D906" s="9" t="s">
        <v>2</v>
      </c>
      <c r="E906" s="10">
        <v>2</v>
      </c>
      <c r="F906" s="11">
        <v>6</v>
      </c>
      <c r="G906" s="12">
        <v>3</v>
      </c>
      <c r="H906" s="11">
        <v>0</v>
      </c>
      <c r="I906" s="12">
        <v>0</v>
      </c>
      <c r="J906" s="10">
        <v>6</v>
      </c>
      <c r="K906" s="39">
        <f t="shared" si="366"/>
        <v>6</v>
      </c>
      <c r="L906" s="28">
        <v>1</v>
      </c>
      <c r="M906" s="33">
        <f t="shared" si="387"/>
        <v>1</v>
      </c>
      <c r="N906" s="1">
        <v>2117911100</v>
      </c>
    </row>
    <row r="907" spans="1:14" ht="18" customHeight="1" x14ac:dyDescent="0.45">
      <c r="A907" s="13">
        <v>901</v>
      </c>
      <c r="B907" s="40" t="s">
        <v>71</v>
      </c>
      <c r="C907" s="40" t="s">
        <v>175</v>
      </c>
      <c r="D907" s="14" t="s">
        <v>3</v>
      </c>
      <c r="E907" s="15">
        <v>1</v>
      </c>
      <c r="F907" s="16">
        <v>18</v>
      </c>
      <c r="G907" s="17">
        <v>18</v>
      </c>
      <c r="H907" s="16">
        <v>6</v>
      </c>
      <c r="I907" s="17">
        <v>6</v>
      </c>
      <c r="J907" s="15">
        <v>24</v>
      </c>
      <c r="K907" s="43">
        <f t="shared" ref="K907" si="388">SUM(M907:M911)</f>
        <v>8</v>
      </c>
      <c r="L907" s="28">
        <v>2</v>
      </c>
      <c r="M907" s="33">
        <f t="shared" si="387"/>
        <v>2</v>
      </c>
      <c r="N907" s="1">
        <v>2117921100</v>
      </c>
    </row>
    <row r="908" spans="1:14" ht="18" customHeight="1" x14ac:dyDescent="0.45">
      <c r="A908" s="13">
        <v>902</v>
      </c>
      <c r="B908" s="41" t="str">
        <f t="shared" ref="B908:C911" si="389">B907</f>
        <v>埼玉千葉本部</v>
      </c>
      <c r="C908" s="41" t="str">
        <f t="shared" si="389"/>
        <v>そんぽの家　大和田</v>
      </c>
      <c r="D908" s="14" t="s">
        <v>4</v>
      </c>
      <c r="E908" s="15">
        <v>1</v>
      </c>
      <c r="F908" s="16">
        <v>24</v>
      </c>
      <c r="G908" s="17">
        <v>24</v>
      </c>
      <c r="H908" s="16">
        <v>2</v>
      </c>
      <c r="I908" s="17">
        <v>2</v>
      </c>
      <c r="J908" s="15">
        <v>26</v>
      </c>
      <c r="K908" s="44">
        <f t="shared" si="366"/>
        <v>8</v>
      </c>
      <c r="L908" s="28">
        <v>2</v>
      </c>
      <c r="M908" s="33">
        <f t="shared" si="387"/>
        <v>2</v>
      </c>
      <c r="N908" s="1">
        <v>2117921100</v>
      </c>
    </row>
    <row r="909" spans="1:14" ht="18" customHeight="1" x14ac:dyDescent="0.45">
      <c r="A909" s="13">
        <v>903</v>
      </c>
      <c r="B909" s="41" t="str">
        <f t="shared" si="389"/>
        <v>埼玉千葉本部</v>
      </c>
      <c r="C909" s="41" t="str">
        <f t="shared" si="389"/>
        <v>そんぽの家　大和田</v>
      </c>
      <c r="D909" s="14" t="s">
        <v>5</v>
      </c>
      <c r="E909" s="15">
        <v>1</v>
      </c>
      <c r="F909" s="16">
        <v>3</v>
      </c>
      <c r="G909" s="17">
        <v>3</v>
      </c>
      <c r="H909" s="16">
        <v>0</v>
      </c>
      <c r="I909" s="17">
        <v>0</v>
      </c>
      <c r="J909" s="15">
        <v>3</v>
      </c>
      <c r="K909" s="44">
        <f t="shared" si="366"/>
        <v>8</v>
      </c>
      <c r="L909" s="28">
        <v>0</v>
      </c>
      <c r="M909" s="33">
        <f t="shared" si="387"/>
        <v>0</v>
      </c>
      <c r="N909" s="1">
        <v>2117921100</v>
      </c>
    </row>
    <row r="910" spans="1:14" ht="18" customHeight="1" x14ac:dyDescent="0.45">
      <c r="A910" s="13">
        <v>904</v>
      </c>
      <c r="B910" s="41" t="str">
        <f t="shared" si="389"/>
        <v>埼玉千葉本部</v>
      </c>
      <c r="C910" s="41" t="str">
        <f t="shared" si="389"/>
        <v>そんぽの家　大和田</v>
      </c>
      <c r="D910" s="14" t="s">
        <v>6</v>
      </c>
      <c r="E910" s="15">
        <v>4</v>
      </c>
      <c r="F910" s="16">
        <v>20</v>
      </c>
      <c r="G910" s="17">
        <v>5</v>
      </c>
      <c r="H910" s="16">
        <v>0</v>
      </c>
      <c r="I910" s="17">
        <v>0</v>
      </c>
      <c r="J910" s="15">
        <v>20</v>
      </c>
      <c r="K910" s="44">
        <f t="shared" si="366"/>
        <v>8</v>
      </c>
      <c r="L910" s="28">
        <v>2</v>
      </c>
      <c r="M910" s="33">
        <f t="shared" si="387"/>
        <v>2</v>
      </c>
      <c r="N910" s="1">
        <v>2117921100</v>
      </c>
    </row>
    <row r="911" spans="1:14" ht="18" customHeight="1" x14ac:dyDescent="0.45">
      <c r="A911" s="13">
        <v>905</v>
      </c>
      <c r="B911" s="42" t="str">
        <f t="shared" si="389"/>
        <v>埼玉千葉本部</v>
      </c>
      <c r="C911" s="42" t="str">
        <f t="shared" si="389"/>
        <v>そんぽの家　大和田</v>
      </c>
      <c r="D911" s="14" t="s">
        <v>2</v>
      </c>
      <c r="E911" s="15">
        <v>1</v>
      </c>
      <c r="F911" s="16">
        <v>14</v>
      </c>
      <c r="G911" s="17">
        <v>14</v>
      </c>
      <c r="H911" s="16">
        <v>0</v>
      </c>
      <c r="I911" s="17">
        <v>0</v>
      </c>
      <c r="J911" s="15">
        <v>14</v>
      </c>
      <c r="K911" s="45">
        <f t="shared" si="366"/>
        <v>8</v>
      </c>
      <c r="L911" s="28">
        <v>2</v>
      </c>
      <c r="M911" s="33">
        <f t="shared" si="387"/>
        <v>2</v>
      </c>
      <c r="N911" s="1">
        <v>2117921100</v>
      </c>
    </row>
    <row r="912" spans="1:14" ht="18" customHeight="1" x14ac:dyDescent="0.45">
      <c r="A912" s="8">
        <v>906</v>
      </c>
      <c r="B912" s="34" t="s">
        <v>71</v>
      </c>
      <c r="C912" s="34" t="s">
        <v>77</v>
      </c>
      <c r="D912" s="9" t="s">
        <v>3</v>
      </c>
      <c r="E912" s="10">
        <v>1</v>
      </c>
      <c r="F912" s="11">
        <v>4</v>
      </c>
      <c r="G912" s="12">
        <v>4</v>
      </c>
      <c r="H912" s="11">
        <v>3</v>
      </c>
      <c r="I912" s="12">
        <v>3</v>
      </c>
      <c r="J912" s="10">
        <v>7</v>
      </c>
      <c r="K912" s="37">
        <f t="shared" ref="K912" si="390">SUM(M912:M916)</f>
        <v>7</v>
      </c>
      <c r="L912" s="28">
        <v>1</v>
      </c>
      <c r="M912" s="33">
        <f t="shared" si="387"/>
        <v>1</v>
      </c>
      <c r="N912" s="1">
        <v>2213491200</v>
      </c>
    </row>
    <row r="913" spans="1:14" ht="18" customHeight="1" x14ac:dyDescent="0.45">
      <c r="A913" s="8">
        <v>907</v>
      </c>
      <c r="B913" s="35" t="str">
        <f t="shared" ref="B913:C916" si="391">B912</f>
        <v>埼玉千葉本部</v>
      </c>
      <c r="C913" s="35" t="str">
        <f t="shared" si="391"/>
        <v>そんぽの家　柏豊四季</v>
      </c>
      <c r="D913" s="9" t="s">
        <v>4</v>
      </c>
      <c r="E913" s="10">
        <v>1</v>
      </c>
      <c r="F913" s="11">
        <v>16</v>
      </c>
      <c r="G913" s="12">
        <v>16</v>
      </c>
      <c r="H913" s="11">
        <v>17</v>
      </c>
      <c r="I913" s="12">
        <v>17</v>
      </c>
      <c r="J913" s="10">
        <v>33</v>
      </c>
      <c r="K913" s="38">
        <f t="shared" si="366"/>
        <v>7</v>
      </c>
      <c r="L913" s="28">
        <v>2</v>
      </c>
      <c r="M913" s="33">
        <f t="shared" si="387"/>
        <v>2</v>
      </c>
      <c r="N913" s="1">
        <v>2213491200</v>
      </c>
    </row>
    <row r="914" spans="1:14" ht="18" customHeight="1" x14ac:dyDescent="0.45">
      <c r="A914" s="8">
        <v>908</v>
      </c>
      <c r="B914" s="35" t="str">
        <f t="shared" si="391"/>
        <v>埼玉千葉本部</v>
      </c>
      <c r="C914" s="35" t="str">
        <f t="shared" si="391"/>
        <v>そんぽの家　柏豊四季</v>
      </c>
      <c r="D914" s="9" t="s">
        <v>5</v>
      </c>
      <c r="E914" s="10">
        <v>2</v>
      </c>
      <c r="F914" s="11">
        <v>20</v>
      </c>
      <c r="G914" s="12">
        <v>10</v>
      </c>
      <c r="H914" s="11">
        <v>0</v>
      </c>
      <c r="I914" s="12">
        <v>0</v>
      </c>
      <c r="J914" s="10">
        <v>20</v>
      </c>
      <c r="K914" s="38">
        <f t="shared" si="366"/>
        <v>7</v>
      </c>
      <c r="L914" s="28">
        <v>2</v>
      </c>
      <c r="M914" s="33">
        <f t="shared" si="387"/>
        <v>2</v>
      </c>
      <c r="N914" s="1">
        <v>2213491200</v>
      </c>
    </row>
    <row r="915" spans="1:14" ht="18" customHeight="1" x14ac:dyDescent="0.45">
      <c r="A915" s="8">
        <v>909</v>
      </c>
      <c r="B915" s="35" t="str">
        <f t="shared" si="391"/>
        <v>埼玉千葉本部</v>
      </c>
      <c r="C915" s="35" t="str">
        <f t="shared" si="391"/>
        <v>そんぽの家　柏豊四季</v>
      </c>
      <c r="D915" s="9" t="s">
        <v>6</v>
      </c>
      <c r="E915" s="10">
        <v>5</v>
      </c>
      <c r="F915" s="11">
        <v>0</v>
      </c>
      <c r="G915" s="12">
        <v>0</v>
      </c>
      <c r="H915" s="11">
        <v>0</v>
      </c>
      <c r="I915" s="12">
        <v>0</v>
      </c>
      <c r="J915" s="10">
        <v>0</v>
      </c>
      <c r="K915" s="38">
        <f t="shared" si="366"/>
        <v>7</v>
      </c>
      <c r="L915" s="28">
        <v>0</v>
      </c>
      <c r="M915" s="33">
        <f t="shared" si="387"/>
        <v>0</v>
      </c>
      <c r="N915" s="1">
        <v>2213491200</v>
      </c>
    </row>
    <row r="916" spans="1:14" ht="18" customHeight="1" x14ac:dyDescent="0.45">
      <c r="A916" s="8">
        <v>910</v>
      </c>
      <c r="B916" s="36" t="str">
        <f t="shared" si="391"/>
        <v>埼玉千葉本部</v>
      </c>
      <c r="C916" s="36" t="str">
        <f t="shared" si="391"/>
        <v>そんぽの家　柏豊四季</v>
      </c>
      <c r="D916" s="9" t="s">
        <v>2</v>
      </c>
      <c r="E916" s="10">
        <v>1</v>
      </c>
      <c r="F916" s="11">
        <v>11</v>
      </c>
      <c r="G916" s="12">
        <v>11</v>
      </c>
      <c r="H916" s="11">
        <v>0</v>
      </c>
      <c r="I916" s="12">
        <v>0</v>
      </c>
      <c r="J916" s="10">
        <v>11</v>
      </c>
      <c r="K916" s="39">
        <f t="shared" si="366"/>
        <v>7</v>
      </c>
      <c r="L916" s="28">
        <v>2</v>
      </c>
      <c r="M916" s="33">
        <f t="shared" si="387"/>
        <v>2</v>
      </c>
      <c r="N916" s="1">
        <v>2213491200</v>
      </c>
    </row>
    <row r="917" spans="1:14" ht="18" customHeight="1" x14ac:dyDescent="0.45">
      <c r="A917" s="13">
        <v>911</v>
      </c>
      <c r="B917" s="40" t="s">
        <v>71</v>
      </c>
      <c r="C917" s="40" t="s">
        <v>78</v>
      </c>
      <c r="D917" s="14" t="s">
        <v>3</v>
      </c>
      <c r="E917" s="15">
        <v>1</v>
      </c>
      <c r="F917" s="16">
        <v>20</v>
      </c>
      <c r="G917" s="17">
        <v>20</v>
      </c>
      <c r="H917" s="16">
        <v>5</v>
      </c>
      <c r="I917" s="17">
        <v>5</v>
      </c>
      <c r="J917" s="15">
        <v>25</v>
      </c>
      <c r="K917" s="43">
        <f t="shared" ref="K917" si="392">SUM(M917:M921)</f>
        <v>2</v>
      </c>
      <c r="L917" s="28">
        <v>2</v>
      </c>
      <c r="M917" s="33">
        <f t="shared" si="387"/>
        <v>2</v>
      </c>
      <c r="N917" s="1">
        <v>2213531200</v>
      </c>
    </row>
    <row r="918" spans="1:14" ht="18" customHeight="1" x14ac:dyDescent="0.45">
      <c r="A918" s="13">
        <v>912</v>
      </c>
      <c r="B918" s="41" t="str">
        <f t="shared" ref="B918:C921" si="393">B917</f>
        <v>埼玉千葉本部</v>
      </c>
      <c r="C918" s="41" t="str">
        <f t="shared" si="393"/>
        <v>そんぽの家　松戸五香</v>
      </c>
      <c r="D918" s="14" t="s">
        <v>4</v>
      </c>
      <c r="E918" s="15">
        <v>1</v>
      </c>
      <c r="F918" s="16">
        <v>2</v>
      </c>
      <c r="G918" s="17">
        <v>2</v>
      </c>
      <c r="H918" s="16">
        <v>1</v>
      </c>
      <c r="I918" s="17">
        <v>1</v>
      </c>
      <c r="J918" s="15">
        <v>3</v>
      </c>
      <c r="K918" s="44">
        <f t="shared" ref="K918:K981" si="394">K917</f>
        <v>2</v>
      </c>
      <c r="L918" s="28">
        <v>0</v>
      </c>
      <c r="M918" s="33">
        <f t="shared" si="387"/>
        <v>0</v>
      </c>
      <c r="N918" s="1">
        <v>2213531200</v>
      </c>
    </row>
    <row r="919" spans="1:14" ht="18" customHeight="1" x14ac:dyDescent="0.45">
      <c r="A919" s="13">
        <v>913</v>
      </c>
      <c r="B919" s="41" t="str">
        <f t="shared" si="393"/>
        <v>埼玉千葉本部</v>
      </c>
      <c r="C919" s="41" t="str">
        <f t="shared" si="393"/>
        <v>そんぽの家　松戸五香</v>
      </c>
      <c r="D919" s="14" t="s">
        <v>5</v>
      </c>
      <c r="E919" s="15">
        <v>1</v>
      </c>
      <c r="F919" s="16">
        <v>2</v>
      </c>
      <c r="G919" s="17">
        <v>2</v>
      </c>
      <c r="H919" s="16">
        <v>0</v>
      </c>
      <c r="I919" s="17">
        <v>0</v>
      </c>
      <c r="J919" s="15">
        <v>2</v>
      </c>
      <c r="K919" s="44">
        <f t="shared" si="394"/>
        <v>2</v>
      </c>
      <c r="L919" s="28">
        <v>0</v>
      </c>
      <c r="M919" s="33">
        <f t="shared" si="387"/>
        <v>0</v>
      </c>
      <c r="N919" s="1">
        <v>2213531200</v>
      </c>
    </row>
    <row r="920" spans="1:14" ht="18" customHeight="1" x14ac:dyDescent="0.45">
      <c r="A920" s="13">
        <v>914</v>
      </c>
      <c r="B920" s="41" t="str">
        <f t="shared" si="393"/>
        <v>埼玉千葉本部</v>
      </c>
      <c r="C920" s="41" t="str">
        <f t="shared" si="393"/>
        <v>そんぽの家　松戸五香</v>
      </c>
      <c r="D920" s="14" t="s">
        <v>6</v>
      </c>
      <c r="E920" s="15">
        <v>4</v>
      </c>
      <c r="F920" s="16">
        <v>0</v>
      </c>
      <c r="G920" s="17">
        <v>0</v>
      </c>
      <c r="H920" s="16">
        <v>0</v>
      </c>
      <c r="I920" s="17">
        <v>0</v>
      </c>
      <c r="J920" s="15">
        <v>0</v>
      </c>
      <c r="K920" s="44">
        <f t="shared" si="394"/>
        <v>2</v>
      </c>
      <c r="L920" s="28">
        <v>0</v>
      </c>
      <c r="M920" s="33">
        <f t="shared" si="387"/>
        <v>0</v>
      </c>
      <c r="N920" s="1">
        <v>2213531200</v>
      </c>
    </row>
    <row r="921" spans="1:14" ht="18" customHeight="1" x14ac:dyDescent="0.45">
      <c r="A921" s="13">
        <v>915</v>
      </c>
      <c r="B921" s="42" t="str">
        <f t="shared" si="393"/>
        <v>埼玉千葉本部</v>
      </c>
      <c r="C921" s="42" t="str">
        <f t="shared" si="393"/>
        <v>そんぽの家　松戸五香</v>
      </c>
      <c r="D921" s="14" t="s">
        <v>2</v>
      </c>
      <c r="E921" s="15">
        <v>2</v>
      </c>
      <c r="F921" s="16">
        <v>0</v>
      </c>
      <c r="G921" s="17">
        <v>0</v>
      </c>
      <c r="H921" s="16">
        <v>0</v>
      </c>
      <c r="I921" s="17">
        <v>0</v>
      </c>
      <c r="J921" s="15">
        <v>0</v>
      </c>
      <c r="K921" s="45">
        <f t="shared" si="394"/>
        <v>2</v>
      </c>
      <c r="L921" s="28">
        <v>0</v>
      </c>
      <c r="M921" s="33">
        <f t="shared" si="387"/>
        <v>0</v>
      </c>
      <c r="N921" s="1">
        <v>2213531200</v>
      </c>
    </row>
    <row r="922" spans="1:14" ht="18" customHeight="1" x14ac:dyDescent="0.45">
      <c r="A922" s="8">
        <v>916</v>
      </c>
      <c r="B922" s="34" t="s">
        <v>71</v>
      </c>
      <c r="C922" s="34" t="s">
        <v>298</v>
      </c>
      <c r="D922" s="9" t="s">
        <v>3</v>
      </c>
      <c r="E922" s="10">
        <v>1</v>
      </c>
      <c r="F922" s="11">
        <v>3</v>
      </c>
      <c r="G922" s="12">
        <v>3</v>
      </c>
      <c r="H922" s="11">
        <v>1</v>
      </c>
      <c r="I922" s="12">
        <v>1</v>
      </c>
      <c r="J922" s="10">
        <v>4</v>
      </c>
      <c r="K922" s="37">
        <f t="shared" ref="K922" si="395">SUM(M922:M926)</f>
        <v>3</v>
      </c>
      <c r="L922" s="28">
        <v>1</v>
      </c>
      <c r="M922" s="33">
        <f t="shared" si="387"/>
        <v>1</v>
      </c>
      <c r="N922" s="1">
        <v>2213541100</v>
      </c>
    </row>
    <row r="923" spans="1:14" ht="18" customHeight="1" x14ac:dyDescent="0.45">
      <c r="A923" s="8">
        <v>917</v>
      </c>
      <c r="B923" s="35" t="str">
        <f t="shared" ref="B923:C926" si="396">B922</f>
        <v>埼玉千葉本部</v>
      </c>
      <c r="C923" s="35" t="str">
        <f t="shared" si="396"/>
        <v>ラヴィーレ東松戸</v>
      </c>
      <c r="D923" s="9" t="s">
        <v>4</v>
      </c>
      <c r="E923" s="10">
        <v>1</v>
      </c>
      <c r="F923" s="11">
        <v>11</v>
      </c>
      <c r="G923" s="12">
        <v>11</v>
      </c>
      <c r="H923" s="11">
        <v>0</v>
      </c>
      <c r="I923" s="12">
        <v>0</v>
      </c>
      <c r="J923" s="10">
        <v>11</v>
      </c>
      <c r="K923" s="38">
        <f t="shared" si="394"/>
        <v>3</v>
      </c>
      <c r="L923" s="28">
        <v>2</v>
      </c>
      <c r="M923" s="33">
        <f t="shared" si="387"/>
        <v>2</v>
      </c>
      <c r="N923" s="1">
        <v>2213541100</v>
      </c>
    </row>
    <row r="924" spans="1:14" ht="18" customHeight="1" x14ac:dyDescent="0.45">
      <c r="A924" s="8">
        <v>918</v>
      </c>
      <c r="B924" s="35" t="str">
        <f t="shared" si="396"/>
        <v>埼玉千葉本部</v>
      </c>
      <c r="C924" s="35" t="str">
        <f t="shared" si="396"/>
        <v>ラヴィーレ東松戸</v>
      </c>
      <c r="D924" s="9" t="s">
        <v>5</v>
      </c>
      <c r="E924" s="10">
        <v>3</v>
      </c>
      <c r="F924" s="11">
        <v>3</v>
      </c>
      <c r="G924" s="12">
        <v>1</v>
      </c>
      <c r="H924" s="11">
        <v>0</v>
      </c>
      <c r="I924" s="12">
        <v>0</v>
      </c>
      <c r="J924" s="10">
        <v>3</v>
      </c>
      <c r="K924" s="38">
        <f t="shared" si="394"/>
        <v>3</v>
      </c>
      <c r="L924" s="28">
        <v>0</v>
      </c>
      <c r="M924" s="33">
        <f t="shared" si="387"/>
        <v>0</v>
      </c>
      <c r="N924" s="1">
        <v>2213541100</v>
      </c>
    </row>
    <row r="925" spans="1:14" ht="18" customHeight="1" x14ac:dyDescent="0.45">
      <c r="A925" s="8">
        <v>919</v>
      </c>
      <c r="B925" s="35" t="str">
        <f t="shared" si="396"/>
        <v>埼玉千葉本部</v>
      </c>
      <c r="C925" s="35" t="str">
        <f t="shared" si="396"/>
        <v>ラヴィーレ東松戸</v>
      </c>
      <c r="D925" s="9" t="s">
        <v>6</v>
      </c>
      <c r="E925" s="10">
        <v>4</v>
      </c>
      <c r="F925" s="11">
        <v>0</v>
      </c>
      <c r="G925" s="12">
        <v>0</v>
      </c>
      <c r="H925" s="11">
        <v>0</v>
      </c>
      <c r="I925" s="12">
        <v>0</v>
      </c>
      <c r="J925" s="10">
        <v>0</v>
      </c>
      <c r="K925" s="38">
        <f t="shared" si="394"/>
        <v>3</v>
      </c>
      <c r="L925" s="28">
        <v>0</v>
      </c>
      <c r="M925" s="33">
        <f t="shared" si="387"/>
        <v>0</v>
      </c>
      <c r="N925" s="1">
        <v>2213541100</v>
      </c>
    </row>
    <row r="926" spans="1:14" ht="18" customHeight="1" x14ac:dyDescent="0.45">
      <c r="A926" s="8">
        <v>920</v>
      </c>
      <c r="B926" s="36" t="str">
        <f t="shared" si="396"/>
        <v>埼玉千葉本部</v>
      </c>
      <c r="C926" s="36" t="str">
        <f t="shared" si="396"/>
        <v>ラヴィーレ東松戸</v>
      </c>
      <c r="D926" s="9" t="s">
        <v>2</v>
      </c>
      <c r="E926" s="10">
        <v>3</v>
      </c>
      <c r="F926" s="11">
        <v>3</v>
      </c>
      <c r="G926" s="12">
        <v>1</v>
      </c>
      <c r="H926" s="11">
        <v>0</v>
      </c>
      <c r="I926" s="12">
        <v>0</v>
      </c>
      <c r="J926" s="10">
        <v>3</v>
      </c>
      <c r="K926" s="39">
        <f t="shared" si="394"/>
        <v>3</v>
      </c>
      <c r="L926" s="28">
        <v>0</v>
      </c>
      <c r="M926" s="33">
        <f t="shared" si="387"/>
        <v>0</v>
      </c>
      <c r="N926" s="1">
        <v>2213541100</v>
      </c>
    </row>
    <row r="927" spans="1:14" ht="18" customHeight="1" x14ac:dyDescent="0.45">
      <c r="A927" s="13">
        <v>921</v>
      </c>
      <c r="B927" s="40" t="s">
        <v>71</v>
      </c>
      <c r="C927" s="40" t="s">
        <v>299</v>
      </c>
      <c r="D927" s="14" t="s">
        <v>3</v>
      </c>
      <c r="E927" s="15">
        <v>1</v>
      </c>
      <c r="F927" s="16">
        <v>5</v>
      </c>
      <c r="G927" s="17">
        <v>5</v>
      </c>
      <c r="H927" s="16">
        <v>1</v>
      </c>
      <c r="I927" s="17">
        <v>1</v>
      </c>
      <c r="J927" s="15">
        <v>6</v>
      </c>
      <c r="K927" s="43">
        <f t="shared" ref="K927" si="397">SUM(M927:M931)</f>
        <v>4</v>
      </c>
      <c r="L927" s="28">
        <v>1</v>
      </c>
      <c r="M927" s="33">
        <f t="shared" si="387"/>
        <v>1</v>
      </c>
      <c r="N927" s="1">
        <v>2213571100</v>
      </c>
    </row>
    <row r="928" spans="1:14" ht="18" customHeight="1" x14ac:dyDescent="0.45">
      <c r="A928" s="13">
        <v>922</v>
      </c>
      <c r="B928" s="41" t="str">
        <f t="shared" ref="B928:C931" si="398">B927</f>
        <v>埼玉千葉本部</v>
      </c>
      <c r="C928" s="41" t="str">
        <f t="shared" si="398"/>
        <v>ラヴィーレ松戸</v>
      </c>
      <c r="D928" s="14" t="s">
        <v>4</v>
      </c>
      <c r="E928" s="15">
        <v>1</v>
      </c>
      <c r="F928" s="16">
        <v>20</v>
      </c>
      <c r="G928" s="17">
        <v>20</v>
      </c>
      <c r="H928" s="16">
        <v>20</v>
      </c>
      <c r="I928" s="17">
        <v>20</v>
      </c>
      <c r="J928" s="15">
        <v>40</v>
      </c>
      <c r="K928" s="44">
        <f t="shared" si="394"/>
        <v>4</v>
      </c>
      <c r="L928" s="28">
        <v>2</v>
      </c>
      <c r="M928" s="33">
        <f t="shared" si="387"/>
        <v>2</v>
      </c>
      <c r="N928" s="1">
        <v>2213571100</v>
      </c>
    </row>
    <row r="929" spans="1:14" ht="18" customHeight="1" x14ac:dyDescent="0.45">
      <c r="A929" s="13">
        <v>923</v>
      </c>
      <c r="B929" s="41" t="str">
        <f t="shared" si="398"/>
        <v>埼玉千葉本部</v>
      </c>
      <c r="C929" s="41" t="str">
        <f t="shared" si="398"/>
        <v>ラヴィーレ松戸</v>
      </c>
      <c r="D929" s="14" t="s">
        <v>5</v>
      </c>
      <c r="E929" s="15">
        <v>1</v>
      </c>
      <c r="F929" s="16">
        <v>4</v>
      </c>
      <c r="G929" s="17">
        <v>4</v>
      </c>
      <c r="H929" s="16">
        <v>0</v>
      </c>
      <c r="I929" s="17">
        <v>0</v>
      </c>
      <c r="J929" s="15">
        <v>4</v>
      </c>
      <c r="K929" s="44">
        <f t="shared" si="394"/>
        <v>4</v>
      </c>
      <c r="L929" s="28">
        <v>1</v>
      </c>
      <c r="M929" s="33">
        <f t="shared" si="387"/>
        <v>1</v>
      </c>
      <c r="N929" s="1">
        <v>2213571100</v>
      </c>
    </row>
    <row r="930" spans="1:14" ht="18" customHeight="1" x14ac:dyDescent="0.45">
      <c r="A930" s="13">
        <v>924</v>
      </c>
      <c r="B930" s="41" t="str">
        <f t="shared" si="398"/>
        <v>埼玉千葉本部</v>
      </c>
      <c r="C930" s="41" t="str">
        <f t="shared" si="398"/>
        <v>ラヴィーレ松戸</v>
      </c>
      <c r="D930" s="14" t="s">
        <v>6</v>
      </c>
      <c r="E930" s="15">
        <v>6</v>
      </c>
      <c r="F930" s="16">
        <v>2</v>
      </c>
      <c r="G930" s="17">
        <v>0.3</v>
      </c>
      <c r="H930" s="16">
        <v>0</v>
      </c>
      <c r="I930" s="17">
        <v>0</v>
      </c>
      <c r="J930" s="15">
        <v>2</v>
      </c>
      <c r="K930" s="44">
        <f t="shared" si="394"/>
        <v>4</v>
      </c>
      <c r="L930" s="28">
        <v>0</v>
      </c>
      <c r="M930" s="33">
        <f t="shared" si="387"/>
        <v>0</v>
      </c>
      <c r="N930" s="1">
        <v>2213571100</v>
      </c>
    </row>
    <row r="931" spans="1:14" ht="18" customHeight="1" x14ac:dyDescent="0.45">
      <c r="A931" s="13">
        <v>925</v>
      </c>
      <c r="B931" s="42" t="str">
        <f t="shared" si="398"/>
        <v>埼玉千葉本部</v>
      </c>
      <c r="C931" s="42" t="str">
        <f t="shared" si="398"/>
        <v>ラヴィーレ松戸</v>
      </c>
      <c r="D931" s="14" t="s">
        <v>2</v>
      </c>
      <c r="E931" s="15">
        <v>3</v>
      </c>
      <c r="F931" s="16">
        <v>0</v>
      </c>
      <c r="G931" s="17">
        <v>0</v>
      </c>
      <c r="H931" s="16">
        <v>0</v>
      </c>
      <c r="I931" s="17">
        <v>0</v>
      </c>
      <c r="J931" s="15">
        <v>0</v>
      </c>
      <c r="K931" s="45">
        <f t="shared" si="394"/>
        <v>4</v>
      </c>
      <c r="L931" s="28">
        <v>0</v>
      </c>
      <c r="M931" s="33">
        <f t="shared" si="387"/>
        <v>0</v>
      </c>
      <c r="N931" s="1">
        <v>2213571100</v>
      </c>
    </row>
    <row r="932" spans="1:14" ht="18" customHeight="1" x14ac:dyDescent="0.45">
      <c r="A932" s="31">
        <v>926</v>
      </c>
      <c r="B932" s="34" t="s">
        <v>71</v>
      </c>
      <c r="C932" s="34" t="s">
        <v>300</v>
      </c>
      <c r="D932" s="9" t="s">
        <v>3</v>
      </c>
      <c r="E932" s="10">
        <v>1</v>
      </c>
      <c r="F932" s="11">
        <v>24</v>
      </c>
      <c r="G932" s="12">
        <v>24</v>
      </c>
      <c r="H932" s="11">
        <v>2</v>
      </c>
      <c r="I932" s="12">
        <v>2</v>
      </c>
      <c r="J932" s="10">
        <v>26</v>
      </c>
      <c r="K932" s="37">
        <f t="shared" ref="K932" si="399">SUM(M932:M936)</f>
        <v>9</v>
      </c>
      <c r="L932" s="28">
        <v>2</v>
      </c>
      <c r="M932" s="33">
        <f t="shared" si="387"/>
        <v>2</v>
      </c>
      <c r="N932" s="1">
        <v>2213581100</v>
      </c>
    </row>
    <row r="933" spans="1:14" ht="18" customHeight="1" x14ac:dyDescent="0.45">
      <c r="A933" s="31">
        <v>927</v>
      </c>
      <c r="B933" s="35" t="str">
        <f t="shared" ref="B933:C936" si="400">B932</f>
        <v>埼玉千葉本部</v>
      </c>
      <c r="C933" s="35" t="str">
        <f t="shared" si="400"/>
        <v>ラヴィーレ流山おおたかの森</v>
      </c>
      <c r="D933" s="9" t="s">
        <v>4</v>
      </c>
      <c r="E933" s="10">
        <v>1</v>
      </c>
      <c r="F933" s="11">
        <v>7</v>
      </c>
      <c r="G933" s="12">
        <v>7</v>
      </c>
      <c r="H933" s="11">
        <v>0</v>
      </c>
      <c r="I933" s="12">
        <v>0</v>
      </c>
      <c r="J933" s="10">
        <v>7</v>
      </c>
      <c r="K933" s="38">
        <f t="shared" si="394"/>
        <v>9</v>
      </c>
      <c r="L933" s="28">
        <v>1</v>
      </c>
      <c r="M933" s="33">
        <f t="shared" si="387"/>
        <v>1</v>
      </c>
      <c r="N933" s="1">
        <v>2213581100</v>
      </c>
    </row>
    <row r="934" spans="1:14" ht="18" customHeight="1" x14ac:dyDescent="0.45">
      <c r="A934" s="31">
        <v>928</v>
      </c>
      <c r="B934" s="35" t="str">
        <f t="shared" si="400"/>
        <v>埼玉千葉本部</v>
      </c>
      <c r="C934" s="35" t="str">
        <f t="shared" si="400"/>
        <v>ラヴィーレ流山おおたかの森</v>
      </c>
      <c r="D934" s="9" t="s">
        <v>5</v>
      </c>
      <c r="E934" s="10">
        <v>2</v>
      </c>
      <c r="F934" s="11">
        <v>22</v>
      </c>
      <c r="G934" s="12">
        <v>11</v>
      </c>
      <c r="H934" s="11">
        <v>0</v>
      </c>
      <c r="I934" s="12">
        <v>0</v>
      </c>
      <c r="J934" s="10">
        <v>22</v>
      </c>
      <c r="K934" s="38">
        <f t="shared" si="394"/>
        <v>9</v>
      </c>
      <c r="L934" s="28">
        <v>2</v>
      </c>
      <c r="M934" s="33">
        <f t="shared" si="387"/>
        <v>2</v>
      </c>
      <c r="N934" s="1">
        <v>2213581100</v>
      </c>
    </row>
    <row r="935" spans="1:14" ht="18" customHeight="1" x14ac:dyDescent="0.45">
      <c r="A935" s="31">
        <v>929</v>
      </c>
      <c r="B935" s="35" t="str">
        <f t="shared" si="400"/>
        <v>埼玉千葉本部</v>
      </c>
      <c r="C935" s="35" t="str">
        <f t="shared" si="400"/>
        <v>ラヴィーレ流山おおたかの森</v>
      </c>
      <c r="D935" s="9" t="s">
        <v>6</v>
      </c>
      <c r="E935" s="10">
        <v>4</v>
      </c>
      <c r="F935" s="11">
        <v>26</v>
      </c>
      <c r="G935" s="12">
        <v>6.5</v>
      </c>
      <c r="H935" s="11">
        <v>0</v>
      </c>
      <c r="I935" s="12">
        <v>0</v>
      </c>
      <c r="J935" s="10">
        <v>26</v>
      </c>
      <c r="K935" s="38">
        <f t="shared" si="394"/>
        <v>9</v>
      </c>
      <c r="L935" s="28">
        <v>2</v>
      </c>
      <c r="M935" s="33">
        <f t="shared" si="387"/>
        <v>2</v>
      </c>
      <c r="N935" s="1">
        <v>2213581100</v>
      </c>
    </row>
    <row r="936" spans="1:14" ht="18" customHeight="1" x14ac:dyDescent="0.45">
      <c r="A936" s="31">
        <v>930</v>
      </c>
      <c r="B936" s="36" t="str">
        <f t="shared" si="400"/>
        <v>埼玉千葉本部</v>
      </c>
      <c r="C936" s="36" t="str">
        <f t="shared" si="400"/>
        <v>ラヴィーレ流山おおたかの森</v>
      </c>
      <c r="D936" s="9" t="s">
        <v>2</v>
      </c>
      <c r="E936" s="10">
        <v>1</v>
      </c>
      <c r="F936" s="11">
        <v>8</v>
      </c>
      <c r="G936" s="12">
        <v>8</v>
      </c>
      <c r="H936" s="11">
        <v>0</v>
      </c>
      <c r="I936" s="12">
        <v>0</v>
      </c>
      <c r="J936" s="10">
        <v>8</v>
      </c>
      <c r="K936" s="39">
        <f t="shared" si="394"/>
        <v>9</v>
      </c>
      <c r="L936" s="28">
        <v>2</v>
      </c>
      <c r="M936" s="33">
        <f t="shared" si="387"/>
        <v>2</v>
      </c>
      <c r="N936" s="1">
        <v>2213581100</v>
      </c>
    </row>
    <row r="937" spans="1:14" ht="18" customHeight="1" x14ac:dyDescent="0.45">
      <c r="A937" s="13">
        <v>931</v>
      </c>
      <c r="B937" s="40" t="s">
        <v>71</v>
      </c>
      <c r="C937" s="40" t="s">
        <v>79</v>
      </c>
      <c r="D937" s="14" t="s">
        <v>3</v>
      </c>
      <c r="E937" s="15">
        <v>2</v>
      </c>
      <c r="F937" s="16">
        <v>10</v>
      </c>
      <c r="G937" s="17">
        <v>5</v>
      </c>
      <c r="H937" s="16">
        <v>1</v>
      </c>
      <c r="I937" s="17">
        <v>0.5</v>
      </c>
      <c r="J937" s="15">
        <v>11</v>
      </c>
      <c r="K937" s="43">
        <f t="shared" ref="K937" si="401">SUM(M937:M941)</f>
        <v>10</v>
      </c>
      <c r="L937" s="28">
        <v>2</v>
      </c>
      <c r="M937" s="33">
        <f t="shared" si="387"/>
        <v>2</v>
      </c>
      <c r="N937" s="1">
        <v>2213621200</v>
      </c>
    </row>
    <row r="938" spans="1:14" ht="18" customHeight="1" x14ac:dyDescent="0.45">
      <c r="A938" s="13">
        <v>932</v>
      </c>
      <c r="B938" s="41" t="str">
        <f t="shared" ref="B938:C941" si="402">B937</f>
        <v>埼玉千葉本部</v>
      </c>
      <c r="C938" s="41" t="str">
        <f t="shared" si="402"/>
        <v>そんぽの家　市川</v>
      </c>
      <c r="D938" s="14" t="s">
        <v>4</v>
      </c>
      <c r="E938" s="15">
        <v>5</v>
      </c>
      <c r="F938" s="16">
        <v>46</v>
      </c>
      <c r="G938" s="17">
        <v>9.1999999999999993</v>
      </c>
      <c r="H938" s="16">
        <v>14</v>
      </c>
      <c r="I938" s="17">
        <v>2.8</v>
      </c>
      <c r="J938" s="15">
        <v>60</v>
      </c>
      <c r="K938" s="44">
        <f t="shared" si="394"/>
        <v>10</v>
      </c>
      <c r="L938" s="28">
        <v>2</v>
      </c>
      <c r="M938" s="33">
        <f t="shared" si="387"/>
        <v>2</v>
      </c>
      <c r="N938" s="1">
        <v>2213621200</v>
      </c>
    </row>
    <row r="939" spans="1:14" ht="18" customHeight="1" x14ac:dyDescent="0.45">
      <c r="A939" s="13">
        <v>933</v>
      </c>
      <c r="B939" s="41" t="str">
        <f t="shared" si="402"/>
        <v>埼玉千葉本部</v>
      </c>
      <c r="C939" s="41" t="str">
        <f t="shared" si="402"/>
        <v>そんぽの家　市川</v>
      </c>
      <c r="D939" s="14" t="s">
        <v>5</v>
      </c>
      <c r="E939" s="15">
        <v>6</v>
      </c>
      <c r="F939" s="16">
        <v>23</v>
      </c>
      <c r="G939" s="17">
        <v>3.8</v>
      </c>
      <c r="H939" s="16">
        <v>0</v>
      </c>
      <c r="I939" s="17">
        <v>0</v>
      </c>
      <c r="J939" s="15">
        <v>23</v>
      </c>
      <c r="K939" s="44">
        <f t="shared" si="394"/>
        <v>10</v>
      </c>
      <c r="L939" s="28">
        <v>2</v>
      </c>
      <c r="M939" s="33">
        <f t="shared" si="387"/>
        <v>2</v>
      </c>
      <c r="N939" s="1">
        <v>2213621200</v>
      </c>
    </row>
    <row r="940" spans="1:14" ht="18" customHeight="1" x14ac:dyDescent="0.45">
      <c r="A940" s="13">
        <v>934</v>
      </c>
      <c r="B940" s="41" t="str">
        <f t="shared" si="402"/>
        <v>埼玉千葉本部</v>
      </c>
      <c r="C940" s="41" t="str">
        <f t="shared" si="402"/>
        <v>そんぽの家　市川</v>
      </c>
      <c r="D940" s="14" t="s">
        <v>6</v>
      </c>
      <c r="E940" s="15">
        <v>16</v>
      </c>
      <c r="F940" s="16">
        <v>9</v>
      </c>
      <c r="G940" s="17">
        <v>0.6</v>
      </c>
      <c r="H940" s="16">
        <v>0</v>
      </c>
      <c r="I940" s="17">
        <v>0</v>
      </c>
      <c r="J940" s="15">
        <v>9</v>
      </c>
      <c r="K940" s="44">
        <f t="shared" si="394"/>
        <v>10</v>
      </c>
      <c r="L940" s="28">
        <v>2</v>
      </c>
      <c r="M940" s="33">
        <f t="shared" si="387"/>
        <v>2</v>
      </c>
      <c r="N940" s="1">
        <v>2213621200</v>
      </c>
    </row>
    <row r="941" spans="1:14" ht="18" customHeight="1" x14ac:dyDescent="0.45">
      <c r="A941" s="13">
        <v>935</v>
      </c>
      <c r="B941" s="42" t="str">
        <f t="shared" si="402"/>
        <v>埼玉千葉本部</v>
      </c>
      <c r="C941" s="42" t="str">
        <f t="shared" si="402"/>
        <v>そんぽの家　市川</v>
      </c>
      <c r="D941" s="14" t="s">
        <v>2</v>
      </c>
      <c r="E941" s="15">
        <v>9</v>
      </c>
      <c r="F941" s="16">
        <v>37</v>
      </c>
      <c r="G941" s="17">
        <v>4.0999999999999996</v>
      </c>
      <c r="H941" s="16">
        <v>0</v>
      </c>
      <c r="I941" s="17">
        <v>0</v>
      </c>
      <c r="J941" s="15">
        <v>37</v>
      </c>
      <c r="K941" s="45">
        <f t="shared" si="394"/>
        <v>10</v>
      </c>
      <c r="L941" s="28">
        <v>2</v>
      </c>
      <c r="M941" s="33">
        <f t="shared" si="387"/>
        <v>2</v>
      </c>
      <c r="N941" s="1">
        <v>2213621200</v>
      </c>
    </row>
    <row r="942" spans="1:14" ht="18" customHeight="1" x14ac:dyDescent="0.45">
      <c r="A942" s="8">
        <v>936</v>
      </c>
      <c r="B942" s="34" t="s">
        <v>71</v>
      </c>
      <c r="C942" s="34" t="s">
        <v>301</v>
      </c>
      <c r="D942" s="9" t="s">
        <v>3</v>
      </c>
      <c r="E942" s="10">
        <v>1</v>
      </c>
      <c r="F942" s="11">
        <v>1</v>
      </c>
      <c r="G942" s="12">
        <v>1</v>
      </c>
      <c r="H942" s="11">
        <v>0</v>
      </c>
      <c r="I942" s="12">
        <v>0</v>
      </c>
      <c r="J942" s="10">
        <v>1</v>
      </c>
      <c r="K942" s="37">
        <f t="shared" ref="K942" si="403">SUM(M942:M946)</f>
        <v>4</v>
      </c>
      <c r="L942" s="28">
        <v>0</v>
      </c>
      <c r="M942" s="33">
        <f t="shared" si="387"/>
        <v>0</v>
      </c>
      <c r="N942" s="1">
        <v>2213711100</v>
      </c>
    </row>
    <row r="943" spans="1:14" ht="18" customHeight="1" x14ac:dyDescent="0.45">
      <c r="A943" s="8">
        <v>937</v>
      </c>
      <c r="B943" s="35" t="str">
        <f t="shared" ref="B943:C946" si="404">B942</f>
        <v>埼玉千葉本部</v>
      </c>
      <c r="C943" s="35" t="str">
        <f t="shared" si="404"/>
        <v>ラヴィーレ西船橋</v>
      </c>
      <c r="D943" s="9" t="s">
        <v>4</v>
      </c>
      <c r="E943" s="10">
        <v>2</v>
      </c>
      <c r="F943" s="11">
        <v>7</v>
      </c>
      <c r="G943" s="12">
        <v>3.5</v>
      </c>
      <c r="H943" s="11">
        <v>2</v>
      </c>
      <c r="I943" s="12">
        <v>1</v>
      </c>
      <c r="J943" s="10">
        <v>9</v>
      </c>
      <c r="K943" s="38">
        <f t="shared" si="394"/>
        <v>4</v>
      </c>
      <c r="L943" s="28">
        <v>2</v>
      </c>
      <c r="M943" s="33">
        <f t="shared" si="387"/>
        <v>2</v>
      </c>
      <c r="N943" s="1">
        <v>2213711100</v>
      </c>
    </row>
    <row r="944" spans="1:14" ht="18" customHeight="1" x14ac:dyDescent="0.45">
      <c r="A944" s="8">
        <v>938</v>
      </c>
      <c r="B944" s="35" t="str">
        <f t="shared" si="404"/>
        <v>埼玉千葉本部</v>
      </c>
      <c r="C944" s="35" t="str">
        <f t="shared" si="404"/>
        <v>ラヴィーレ西船橋</v>
      </c>
      <c r="D944" s="9" t="s">
        <v>5</v>
      </c>
      <c r="E944" s="10">
        <v>2</v>
      </c>
      <c r="F944" s="11">
        <v>14</v>
      </c>
      <c r="G944" s="12">
        <v>7</v>
      </c>
      <c r="H944" s="11">
        <v>0</v>
      </c>
      <c r="I944" s="12">
        <v>0</v>
      </c>
      <c r="J944" s="10">
        <v>14</v>
      </c>
      <c r="K944" s="38">
        <f t="shared" si="394"/>
        <v>4</v>
      </c>
      <c r="L944" s="28">
        <v>2</v>
      </c>
      <c r="M944" s="33">
        <f t="shared" si="387"/>
        <v>2</v>
      </c>
      <c r="N944" s="1">
        <v>2213711100</v>
      </c>
    </row>
    <row r="945" spans="1:14" ht="18" customHeight="1" x14ac:dyDescent="0.45">
      <c r="A945" s="8">
        <v>939</v>
      </c>
      <c r="B945" s="35" t="str">
        <f t="shared" si="404"/>
        <v>埼玉千葉本部</v>
      </c>
      <c r="C945" s="35" t="str">
        <f t="shared" si="404"/>
        <v>ラヴィーレ西船橋</v>
      </c>
      <c r="D945" s="9" t="s">
        <v>6</v>
      </c>
      <c r="E945" s="10">
        <v>5</v>
      </c>
      <c r="F945" s="11">
        <v>0</v>
      </c>
      <c r="G945" s="12">
        <v>0</v>
      </c>
      <c r="H945" s="11">
        <v>0</v>
      </c>
      <c r="I945" s="12">
        <v>0</v>
      </c>
      <c r="J945" s="10">
        <v>0</v>
      </c>
      <c r="K945" s="38">
        <f t="shared" si="394"/>
        <v>4</v>
      </c>
      <c r="L945" s="28">
        <v>0</v>
      </c>
      <c r="M945" s="33">
        <f t="shared" si="387"/>
        <v>0</v>
      </c>
      <c r="N945" s="1">
        <v>2213711100</v>
      </c>
    </row>
    <row r="946" spans="1:14" ht="18" customHeight="1" x14ac:dyDescent="0.45">
      <c r="A946" s="8">
        <v>940</v>
      </c>
      <c r="B946" s="36" t="str">
        <f t="shared" si="404"/>
        <v>埼玉千葉本部</v>
      </c>
      <c r="C946" s="36" t="str">
        <f t="shared" si="404"/>
        <v>ラヴィーレ西船橋</v>
      </c>
      <c r="D946" s="9" t="s">
        <v>2</v>
      </c>
      <c r="E946" s="10">
        <v>1</v>
      </c>
      <c r="F946" s="11">
        <v>0</v>
      </c>
      <c r="G946" s="12">
        <v>0</v>
      </c>
      <c r="H946" s="11">
        <v>0</v>
      </c>
      <c r="I946" s="12">
        <v>0</v>
      </c>
      <c r="J946" s="10">
        <v>0</v>
      </c>
      <c r="K946" s="39">
        <f t="shared" si="394"/>
        <v>4</v>
      </c>
      <c r="L946" s="28">
        <v>0</v>
      </c>
      <c r="M946" s="33">
        <f t="shared" si="387"/>
        <v>0</v>
      </c>
      <c r="N946" s="1">
        <v>2213711100</v>
      </c>
    </row>
    <row r="947" spans="1:14" ht="18" customHeight="1" x14ac:dyDescent="0.45">
      <c r="A947" s="13">
        <v>941</v>
      </c>
      <c r="B947" s="40" t="s">
        <v>71</v>
      </c>
      <c r="C947" s="40" t="s">
        <v>302</v>
      </c>
      <c r="D947" s="14" t="s">
        <v>3</v>
      </c>
      <c r="E947" s="15">
        <v>1</v>
      </c>
      <c r="F947" s="16">
        <v>4</v>
      </c>
      <c r="G947" s="17">
        <v>4</v>
      </c>
      <c r="H947" s="16">
        <v>1</v>
      </c>
      <c r="I947" s="17">
        <v>1</v>
      </c>
      <c r="J947" s="15">
        <v>5</v>
      </c>
      <c r="K947" s="43">
        <f t="shared" ref="K947" si="405">SUM(M947:M951)</f>
        <v>5</v>
      </c>
      <c r="L947" s="28">
        <v>1</v>
      </c>
      <c r="M947" s="33">
        <f t="shared" si="387"/>
        <v>1</v>
      </c>
      <c r="N947" s="1">
        <v>2213731100</v>
      </c>
    </row>
    <row r="948" spans="1:14" ht="18" customHeight="1" x14ac:dyDescent="0.45">
      <c r="A948" s="13">
        <v>942</v>
      </c>
      <c r="B948" s="41" t="str">
        <f t="shared" ref="B948:C951" si="406">B947</f>
        <v>埼玉千葉本部</v>
      </c>
      <c r="C948" s="41" t="str">
        <f t="shared" si="406"/>
        <v>ラヴィーレ習志野台</v>
      </c>
      <c r="D948" s="14" t="s">
        <v>4</v>
      </c>
      <c r="E948" s="15">
        <v>1</v>
      </c>
      <c r="F948" s="16">
        <v>1</v>
      </c>
      <c r="G948" s="17">
        <v>1</v>
      </c>
      <c r="H948" s="16">
        <v>1</v>
      </c>
      <c r="I948" s="17">
        <v>1</v>
      </c>
      <c r="J948" s="15">
        <v>2</v>
      </c>
      <c r="K948" s="44">
        <f t="shared" si="394"/>
        <v>5</v>
      </c>
      <c r="L948" s="28">
        <v>0</v>
      </c>
      <c r="M948" s="33">
        <f t="shared" si="387"/>
        <v>0</v>
      </c>
      <c r="N948" s="1">
        <v>2213731100</v>
      </c>
    </row>
    <row r="949" spans="1:14" ht="18" customHeight="1" x14ac:dyDescent="0.45">
      <c r="A949" s="13">
        <v>943</v>
      </c>
      <c r="B949" s="41" t="str">
        <f t="shared" si="406"/>
        <v>埼玉千葉本部</v>
      </c>
      <c r="C949" s="41" t="str">
        <f t="shared" si="406"/>
        <v>ラヴィーレ習志野台</v>
      </c>
      <c r="D949" s="14" t="s">
        <v>5</v>
      </c>
      <c r="E949" s="15">
        <v>2</v>
      </c>
      <c r="F949" s="16">
        <v>25</v>
      </c>
      <c r="G949" s="17">
        <v>12.5</v>
      </c>
      <c r="H949" s="16">
        <v>0</v>
      </c>
      <c r="I949" s="17">
        <v>0</v>
      </c>
      <c r="J949" s="15">
        <v>25</v>
      </c>
      <c r="K949" s="44">
        <f t="shared" si="394"/>
        <v>5</v>
      </c>
      <c r="L949" s="28">
        <v>2</v>
      </c>
      <c r="M949" s="33">
        <f t="shared" si="387"/>
        <v>2</v>
      </c>
      <c r="N949" s="1">
        <v>2213731100</v>
      </c>
    </row>
    <row r="950" spans="1:14" ht="18" customHeight="1" x14ac:dyDescent="0.45">
      <c r="A950" s="13">
        <v>944</v>
      </c>
      <c r="B950" s="41" t="str">
        <f t="shared" si="406"/>
        <v>埼玉千葉本部</v>
      </c>
      <c r="C950" s="41" t="str">
        <f t="shared" si="406"/>
        <v>ラヴィーレ習志野台</v>
      </c>
      <c r="D950" s="14" t="s">
        <v>6</v>
      </c>
      <c r="E950" s="15">
        <v>3</v>
      </c>
      <c r="F950" s="16">
        <v>0</v>
      </c>
      <c r="G950" s="17">
        <v>0</v>
      </c>
      <c r="H950" s="16">
        <v>0</v>
      </c>
      <c r="I950" s="17">
        <v>0</v>
      </c>
      <c r="J950" s="15">
        <v>0</v>
      </c>
      <c r="K950" s="44">
        <f t="shared" si="394"/>
        <v>5</v>
      </c>
      <c r="L950" s="28">
        <v>0</v>
      </c>
      <c r="M950" s="33">
        <f t="shared" si="387"/>
        <v>0</v>
      </c>
      <c r="N950" s="1">
        <v>2213731100</v>
      </c>
    </row>
    <row r="951" spans="1:14" ht="18" customHeight="1" x14ac:dyDescent="0.45">
      <c r="A951" s="13">
        <v>945</v>
      </c>
      <c r="B951" s="42" t="str">
        <f t="shared" si="406"/>
        <v>埼玉千葉本部</v>
      </c>
      <c r="C951" s="42" t="str">
        <f t="shared" si="406"/>
        <v>ラヴィーレ習志野台</v>
      </c>
      <c r="D951" s="14" t="s">
        <v>2</v>
      </c>
      <c r="E951" s="15">
        <v>3</v>
      </c>
      <c r="F951" s="16">
        <v>12</v>
      </c>
      <c r="G951" s="17">
        <v>4</v>
      </c>
      <c r="H951" s="16">
        <v>0</v>
      </c>
      <c r="I951" s="17">
        <v>0</v>
      </c>
      <c r="J951" s="15">
        <v>12</v>
      </c>
      <c r="K951" s="45">
        <f t="shared" si="394"/>
        <v>5</v>
      </c>
      <c r="L951" s="28">
        <v>2</v>
      </c>
      <c r="M951" s="33">
        <f t="shared" si="387"/>
        <v>2</v>
      </c>
      <c r="N951" s="1">
        <v>2213731100</v>
      </c>
    </row>
    <row r="952" spans="1:14" ht="18" customHeight="1" x14ac:dyDescent="0.45">
      <c r="A952" s="8">
        <v>946</v>
      </c>
      <c r="B952" s="34" t="s">
        <v>71</v>
      </c>
      <c r="C952" s="34" t="s">
        <v>303</v>
      </c>
      <c r="D952" s="9" t="s">
        <v>3</v>
      </c>
      <c r="E952" s="10">
        <v>1</v>
      </c>
      <c r="F952" s="11">
        <v>4</v>
      </c>
      <c r="G952" s="12">
        <v>4</v>
      </c>
      <c r="H952" s="11">
        <v>3</v>
      </c>
      <c r="I952" s="12">
        <v>3</v>
      </c>
      <c r="J952" s="10">
        <v>7</v>
      </c>
      <c r="K952" s="37">
        <f t="shared" ref="K952" si="407">SUM(M952:M956)</f>
        <v>8</v>
      </c>
      <c r="L952" s="28">
        <v>1</v>
      </c>
      <c r="M952" s="33">
        <f t="shared" si="387"/>
        <v>1</v>
      </c>
      <c r="N952" s="1">
        <v>2213741100</v>
      </c>
    </row>
    <row r="953" spans="1:14" ht="18" customHeight="1" x14ac:dyDescent="0.45">
      <c r="A953" s="8">
        <v>947</v>
      </c>
      <c r="B953" s="35" t="str">
        <f t="shared" ref="B953:C956" si="408">B952</f>
        <v>埼玉千葉本部</v>
      </c>
      <c r="C953" s="35" t="str">
        <f t="shared" si="408"/>
        <v>ラヴィーレ津田沼</v>
      </c>
      <c r="D953" s="9" t="s">
        <v>4</v>
      </c>
      <c r="E953" s="10">
        <v>1</v>
      </c>
      <c r="F953" s="11">
        <v>10</v>
      </c>
      <c r="G953" s="12">
        <v>10</v>
      </c>
      <c r="H953" s="11">
        <v>4</v>
      </c>
      <c r="I953" s="12">
        <v>4</v>
      </c>
      <c r="J953" s="10">
        <v>14</v>
      </c>
      <c r="K953" s="38">
        <f t="shared" si="394"/>
        <v>8</v>
      </c>
      <c r="L953" s="28">
        <v>2</v>
      </c>
      <c r="M953" s="33">
        <f t="shared" si="387"/>
        <v>2</v>
      </c>
      <c r="N953" s="1">
        <v>2213741100</v>
      </c>
    </row>
    <row r="954" spans="1:14" ht="18" customHeight="1" x14ac:dyDescent="0.45">
      <c r="A954" s="8">
        <v>948</v>
      </c>
      <c r="B954" s="35" t="str">
        <f t="shared" si="408"/>
        <v>埼玉千葉本部</v>
      </c>
      <c r="C954" s="35" t="str">
        <f t="shared" si="408"/>
        <v>ラヴィーレ津田沼</v>
      </c>
      <c r="D954" s="9" t="s">
        <v>5</v>
      </c>
      <c r="E954" s="10">
        <v>2</v>
      </c>
      <c r="F954" s="11">
        <v>21</v>
      </c>
      <c r="G954" s="12">
        <v>10.5</v>
      </c>
      <c r="H954" s="11">
        <v>0</v>
      </c>
      <c r="I954" s="12">
        <v>0</v>
      </c>
      <c r="J954" s="10">
        <v>21</v>
      </c>
      <c r="K954" s="38">
        <f t="shared" si="394"/>
        <v>8</v>
      </c>
      <c r="L954" s="28">
        <v>2</v>
      </c>
      <c r="M954" s="33">
        <f t="shared" si="387"/>
        <v>2</v>
      </c>
      <c r="N954" s="1">
        <v>2213741100</v>
      </c>
    </row>
    <row r="955" spans="1:14" ht="18" customHeight="1" x14ac:dyDescent="0.45">
      <c r="A955" s="8">
        <v>949</v>
      </c>
      <c r="B955" s="35" t="str">
        <f t="shared" si="408"/>
        <v>埼玉千葉本部</v>
      </c>
      <c r="C955" s="35" t="str">
        <f t="shared" si="408"/>
        <v>ラヴィーレ津田沼</v>
      </c>
      <c r="D955" s="9" t="s">
        <v>6</v>
      </c>
      <c r="E955" s="10">
        <v>3</v>
      </c>
      <c r="F955" s="11">
        <v>4</v>
      </c>
      <c r="G955" s="12">
        <v>1.3</v>
      </c>
      <c r="H955" s="11">
        <v>0</v>
      </c>
      <c r="I955" s="12">
        <v>0</v>
      </c>
      <c r="J955" s="10">
        <v>4</v>
      </c>
      <c r="K955" s="38">
        <f t="shared" si="394"/>
        <v>8</v>
      </c>
      <c r="L955" s="28">
        <v>1</v>
      </c>
      <c r="M955" s="33">
        <f t="shared" si="387"/>
        <v>1</v>
      </c>
      <c r="N955" s="1">
        <v>2213741100</v>
      </c>
    </row>
    <row r="956" spans="1:14" ht="18" customHeight="1" x14ac:dyDescent="0.45">
      <c r="A956" s="8">
        <v>950</v>
      </c>
      <c r="B956" s="36" t="str">
        <f t="shared" si="408"/>
        <v>埼玉千葉本部</v>
      </c>
      <c r="C956" s="36" t="str">
        <f t="shared" si="408"/>
        <v>ラヴィーレ津田沼</v>
      </c>
      <c r="D956" s="9" t="s">
        <v>2</v>
      </c>
      <c r="E956" s="10">
        <v>2</v>
      </c>
      <c r="F956" s="11">
        <v>30</v>
      </c>
      <c r="G956" s="12">
        <v>15</v>
      </c>
      <c r="H956" s="11">
        <v>0</v>
      </c>
      <c r="I956" s="12">
        <v>0</v>
      </c>
      <c r="J956" s="10">
        <v>30</v>
      </c>
      <c r="K956" s="39">
        <f t="shared" si="394"/>
        <v>8</v>
      </c>
      <c r="L956" s="28">
        <v>2</v>
      </c>
      <c r="M956" s="33">
        <f t="shared" si="387"/>
        <v>2</v>
      </c>
      <c r="N956" s="1">
        <v>2213741100</v>
      </c>
    </row>
    <row r="957" spans="1:14" ht="18" customHeight="1" x14ac:dyDescent="0.45">
      <c r="A957" s="13">
        <v>951</v>
      </c>
      <c r="B957" s="40" t="s">
        <v>71</v>
      </c>
      <c r="C957" s="40" t="s">
        <v>80</v>
      </c>
      <c r="D957" s="14" t="s">
        <v>3</v>
      </c>
      <c r="E957" s="15">
        <v>1</v>
      </c>
      <c r="F957" s="16">
        <v>17</v>
      </c>
      <c r="G957" s="17">
        <v>17</v>
      </c>
      <c r="H957" s="16">
        <v>2</v>
      </c>
      <c r="I957" s="17">
        <v>2</v>
      </c>
      <c r="J957" s="15">
        <v>19</v>
      </c>
      <c r="K957" s="43">
        <f t="shared" ref="K957" si="409">SUM(M957:M961)</f>
        <v>6</v>
      </c>
      <c r="L957" s="28">
        <v>2</v>
      </c>
      <c r="M957" s="33">
        <f t="shared" si="387"/>
        <v>2</v>
      </c>
      <c r="N957" s="1">
        <v>2213761200</v>
      </c>
    </row>
    <row r="958" spans="1:14" ht="18" customHeight="1" x14ac:dyDescent="0.45">
      <c r="A958" s="13">
        <v>952</v>
      </c>
      <c r="B958" s="41" t="str">
        <f t="shared" ref="B958:C961" si="410">B957</f>
        <v>埼玉千葉本部</v>
      </c>
      <c r="C958" s="41" t="str">
        <f t="shared" si="410"/>
        <v>そんぽの家　京成大久保</v>
      </c>
      <c r="D958" s="14" t="s">
        <v>4</v>
      </c>
      <c r="E958" s="15">
        <v>2</v>
      </c>
      <c r="F958" s="16">
        <v>7</v>
      </c>
      <c r="G958" s="17">
        <v>3.5</v>
      </c>
      <c r="H958" s="16">
        <v>4</v>
      </c>
      <c r="I958" s="17">
        <v>2</v>
      </c>
      <c r="J958" s="15">
        <v>11</v>
      </c>
      <c r="K958" s="44">
        <f t="shared" si="394"/>
        <v>6</v>
      </c>
      <c r="L958" s="28">
        <v>2</v>
      </c>
      <c r="M958" s="33">
        <f t="shared" si="387"/>
        <v>2</v>
      </c>
      <c r="N958" s="1">
        <v>2213761200</v>
      </c>
    </row>
    <row r="959" spans="1:14" ht="18" customHeight="1" x14ac:dyDescent="0.45">
      <c r="A959" s="13">
        <v>953</v>
      </c>
      <c r="B959" s="41" t="str">
        <f t="shared" si="410"/>
        <v>埼玉千葉本部</v>
      </c>
      <c r="C959" s="41" t="str">
        <f t="shared" si="410"/>
        <v>そんぽの家　京成大久保</v>
      </c>
      <c r="D959" s="14" t="s">
        <v>5</v>
      </c>
      <c r="E959" s="15">
        <v>1</v>
      </c>
      <c r="F959" s="16">
        <v>27</v>
      </c>
      <c r="G959" s="17">
        <v>27</v>
      </c>
      <c r="H959" s="16">
        <v>0</v>
      </c>
      <c r="I959" s="17">
        <v>0</v>
      </c>
      <c r="J959" s="15">
        <v>27</v>
      </c>
      <c r="K959" s="44">
        <f t="shared" si="394"/>
        <v>6</v>
      </c>
      <c r="L959" s="28">
        <v>2</v>
      </c>
      <c r="M959" s="33">
        <f t="shared" si="387"/>
        <v>2</v>
      </c>
      <c r="N959" s="1">
        <v>2213761200</v>
      </c>
    </row>
    <row r="960" spans="1:14" ht="18" customHeight="1" x14ac:dyDescent="0.45">
      <c r="A960" s="13">
        <v>954</v>
      </c>
      <c r="B960" s="41" t="str">
        <f t="shared" si="410"/>
        <v>埼玉千葉本部</v>
      </c>
      <c r="C960" s="41" t="str">
        <f t="shared" si="410"/>
        <v>そんぽの家　京成大久保</v>
      </c>
      <c r="D960" s="14" t="s">
        <v>6</v>
      </c>
      <c r="E960" s="15">
        <v>3</v>
      </c>
      <c r="F960" s="16">
        <v>0</v>
      </c>
      <c r="G960" s="17">
        <v>0</v>
      </c>
      <c r="H960" s="16">
        <v>0</v>
      </c>
      <c r="I960" s="17">
        <v>0</v>
      </c>
      <c r="J960" s="15">
        <v>0</v>
      </c>
      <c r="K960" s="44">
        <f t="shared" si="394"/>
        <v>6</v>
      </c>
      <c r="L960" s="28">
        <v>0</v>
      </c>
      <c r="M960" s="33">
        <f t="shared" si="387"/>
        <v>0</v>
      </c>
      <c r="N960" s="1">
        <v>2213761200</v>
      </c>
    </row>
    <row r="961" spans="1:14" ht="18" customHeight="1" x14ac:dyDescent="0.45">
      <c r="A961" s="13">
        <v>955</v>
      </c>
      <c r="B961" s="42" t="str">
        <f t="shared" si="410"/>
        <v>埼玉千葉本部</v>
      </c>
      <c r="C961" s="42" t="str">
        <f t="shared" si="410"/>
        <v>そんぽの家　京成大久保</v>
      </c>
      <c r="D961" s="14" t="s">
        <v>2</v>
      </c>
      <c r="E961" s="15">
        <v>1</v>
      </c>
      <c r="F961" s="16">
        <v>2</v>
      </c>
      <c r="G961" s="17">
        <v>2</v>
      </c>
      <c r="H961" s="16">
        <v>0</v>
      </c>
      <c r="I961" s="17">
        <v>0</v>
      </c>
      <c r="J961" s="15">
        <v>2</v>
      </c>
      <c r="K961" s="45">
        <f t="shared" si="394"/>
        <v>6</v>
      </c>
      <c r="L961" s="28">
        <v>0</v>
      </c>
      <c r="M961" s="33">
        <f t="shared" si="387"/>
        <v>0</v>
      </c>
      <c r="N961" s="1">
        <v>2213761200</v>
      </c>
    </row>
    <row r="962" spans="1:14" ht="18" customHeight="1" x14ac:dyDescent="0.45">
      <c r="A962" s="8">
        <v>956</v>
      </c>
      <c r="B962" s="34" t="s">
        <v>71</v>
      </c>
      <c r="C962" s="34" t="s">
        <v>81</v>
      </c>
      <c r="D962" s="9" t="s">
        <v>3</v>
      </c>
      <c r="E962" s="10">
        <v>1</v>
      </c>
      <c r="F962" s="11">
        <v>23</v>
      </c>
      <c r="G962" s="12">
        <v>23</v>
      </c>
      <c r="H962" s="11">
        <v>21</v>
      </c>
      <c r="I962" s="12">
        <v>21</v>
      </c>
      <c r="J962" s="10">
        <v>44</v>
      </c>
      <c r="K962" s="37">
        <f t="shared" ref="K962" si="411">SUM(M962:M966)</f>
        <v>8</v>
      </c>
      <c r="L962" s="28">
        <v>2</v>
      </c>
      <c r="M962" s="33">
        <f t="shared" si="387"/>
        <v>2</v>
      </c>
      <c r="N962" s="1">
        <v>2213771200</v>
      </c>
    </row>
    <row r="963" spans="1:14" ht="18" customHeight="1" x14ac:dyDescent="0.45">
      <c r="A963" s="8">
        <v>957</v>
      </c>
      <c r="B963" s="35" t="str">
        <f t="shared" ref="B963:C966" si="412">B962</f>
        <v>埼玉千葉本部</v>
      </c>
      <c r="C963" s="35" t="str">
        <f t="shared" si="412"/>
        <v>そんぽの家　津田沼</v>
      </c>
      <c r="D963" s="9" t="s">
        <v>4</v>
      </c>
      <c r="E963" s="10">
        <v>1</v>
      </c>
      <c r="F963" s="11">
        <v>14</v>
      </c>
      <c r="G963" s="12">
        <v>14</v>
      </c>
      <c r="H963" s="11">
        <v>9</v>
      </c>
      <c r="I963" s="12">
        <v>9</v>
      </c>
      <c r="J963" s="10">
        <v>23</v>
      </c>
      <c r="K963" s="38">
        <f t="shared" si="394"/>
        <v>8</v>
      </c>
      <c r="L963" s="28">
        <v>2</v>
      </c>
      <c r="M963" s="33">
        <f t="shared" si="387"/>
        <v>2</v>
      </c>
      <c r="N963" s="1">
        <v>2213771200</v>
      </c>
    </row>
    <row r="964" spans="1:14" ht="18" customHeight="1" x14ac:dyDescent="0.45">
      <c r="A964" s="8">
        <v>958</v>
      </c>
      <c r="B964" s="35" t="str">
        <f t="shared" si="412"/>
        <v>埼玉千葉本部</v>
      </c>
      <c r="C964" s="35" t="str">
        <f t="shared" si="412"/>
        <v>そんぽの家　津田沼</v>
      </c>
      <c r="D964" s="9" t="s">
        <v>5</v>
      </c>
      <c r="E964" s="10">
        <v>1</v>
      </c>
      <c r="F964" s="11">
        <v>17</v>
      </c>
      <c r="G964" s="12">
        <v>17</v>
      </c>
      <c r="H964" s="11">
        <v>0</v>
      </c>
      <c r="I964" s="12">
        <v>0</v>
      </c>
      <c r="J964" s="10">
        <v>17</v>
      </c>
      <c r="K964" s="38">
        <f t="shared" si="394"/>
        <v>8</v>
      </c>
      <c r="L964" s="28">
        <v>2</v>
      </c>
      <c r="M964" s="33">
        <f t="shared" si="387"/>
        <v>2</v>
      </c>
      <c r="N964" s="1">
        <v>2213771200</v>
      </c>
    </row>
    <row r="965" spans="1:14" ht="18" customHeight="1" x14ac:dyDescent="0.45">
      <c r="A965" s="8">
        <v>959</v>
      </c>
      <c r="B965" s="35" t="str">
        <f t="shared" si="412"/>
        <v>埼玉千葉本部</v>
      </c>
      <c r="C965" s="35" t="str">
        <f t="shared" si="412"/>
        <v>そんぽの家　津田沼</v>
      </c>
      <c r="D965" s="9" t="s">
        <v>6</v>
      </c>
      <c r="E965" s="10">
        <v>3</v>
      </c>
      <c r="F965" s="11">
        <v>2</v>
      </c>
      <c r="G965" s="12">
        <v>0.7</v>
      </c>
      <c r="H965" s="11">
        <v>0</v>
      </c>
      <c r="I965" s="12">
        <v>0</v>
      </c>
      <c r="J965" s="10">
        <v>2</v>
      </c>
      <c r="K965" s="38">
        <f t="shared" si="394"/>
        <v>8</v>
      </c>
      <c r="L965" s="28">
        <v>0</v>
      </c>
      <c r="M965" s="33">
        <f t="shared" si="387"/>
        <v>0</v>
      </c>
      <c r="N965" s="1">
        <v>2213771200</v>
      </c>
    </row>
    <row r="966" spans="1:14" ht="18" customHeight="1" x14ac:dyDescent="0.45">
      <c r="A966" s="8">
        <v>960</v>
      </c>
      <c r="B966" s="36" t="str">
        <f t="shared" si="412"/>
        <v>埼玉千葉本部</v>
      </c>
      <c r="C966" s="36" t="str">
        <f t="shared" si="412"/>
        <v>そんぽの家　津田沼</v>
      </c>
      <c r="D966" s="9" t="s">
        <v>2</v>
      </c>
      <c r="E966" s="10">
        <v>1</v>
      </c>
      <c r="F966" s="11">
        <v>19</v>
      </c>
      <c r="G966" s="12">
        <v>19</v>
      </c>
      <c r="H966" s="11">
        <v>0</v>
      </c>
      <c r="I966" s="12">
        <v>0</v>
      </c>
      <c r="J966" s="10">
        <v>19</v>
      </c>
      <c r="K966" s="39">
        <f t="shared" si="394"/>
        <v>8</v>
      </c>
      <c r="L966" s="28">
        <v>2</v>
      </c>
      <c r="M966" s="33">
        <f t="shared" si="387"/>
        <v>2</v>
      </c>
      <c r="N966" s="1">
        <v>2213771200</v>
      </c>
    </row>
    <row r="967" spans="1:14" ht="18" customHeight="1" x14ac:dyDescent="0.45">
      <c r="A967" s="13">
        <v>961</v>
      </c>
      <c r="B967" s="40" t="s">
        <v>71</v>
      </c>
      <c r="C967" s="40" t="s">
        <v>304</v>
      </c>
      <c r="D967" s="14" t="s">
        <v>3</v>
      </c>
      <c r="E967" s="15">
        <v>1</v>
      </c>
      <c r="F967" s="16">
        <v>2</v>
      </c>
      <c r="G967" s="17">
        <v>2</v>
      </c>
      <c r="H967" s="16">
        <v>1</v>
      </c>
      <c r="I967" s="17">
        <v>1</v>
      </c>
      <c r="J967" s="15">
        <v>3</v>
      </c>
      <c r="K967" s="43">
        <f t="shared" ref="K967" si="413">SUM(M967:M971)</f>
        <v>3</v>
      </c>
      <c r="L967" s="28">
        <v>0</v>
      </c>
      <c r="M967" s="33">
        <f t="shared" si="387"/>
        <v>0</v>
      </c>
      <c r="N967" s="1">
        <v>2213781100</v>
      </c>
    </row>
    <row r="968" spans="1:14" ht="18" customHeight="1" x14ac:dyDescent="0.45">
      <c r="A968" s="13">
        <v>962</v>
      </c>
      <c r="B968" s="41" t="str">
        <f t="shared" ref="B968:C971" si="414">B967</f>
        <v>埼玉千葉本部</v>
      </c>
      <c r="C968" s="41" t="str">
        <f t="shared" si="414"/>
        <v>ラヴィーレ勝田台</v>
      </c>
      <c r="D968" s="14" t="s">
        <v>4</v>
      </c>
      <c r="E968" s="15">
        <v>1</v>
      </c>
      <c r="F968" s="16">
        <v>18</v>
      </c>
      <c r="G968" s="17">
        <v>18</v>
      </c>
      <c r="H968" s="16">
        <v>5</v>
      </c>
      <c r="I968" s="17">
        <v>5</v>
      </c>
      <c r="J968" s="15">
        <v>23</v>
      </c>
      <c r="K968" s="44">
        <f t="shared" si="394"/>
        <v>3</v>
      </c>
      <c r="L968" s="28">
        <v>2</v>
      </c>
      <c r="M968" s="33">
        <f t="shared" ref="M968:M1031" si="415">L968</f>
        <v>2</v>
      </c>
      <c r="N968" s="1">
        <v>2213781100</v>
      </c>
    </row>
    <row r="969" spans="1:14" ht="18" customHeight="1" x14ac:dyDescent="0.45">
      <c r="A969" s="13">
        <v>963</v>
      </c>
      <c r="B969" s="41" t="str">
        <f t="shared" si="414"/>
        <v>埼玉千葉本部</v>
      </c>
      <c r="C969" s="41" t="str">
        <f t="shared" si="414"/>
        <v>ラヴィーレ勝田台</v>
      </c>
      <c r="D969" s="14" t="s">
        <v>5</v>
      </c>
      <c r="E969" s="15">
        <v>2</v>
      </c>
      <c r="F969" s="16">
        <v>0</v>
      </c>
      <c r="G969" s="17">
        <v>0</v>
      </c>
      <c r="H969" s="16">
        <v>0</v>
      </c>
      <c r="I969" s="17">
        <v>0</v>
      </c>
      <c r="J969" s="15">
        <v>0</v>
      </c>
      <c r="K969" s="44">
        <f t="shared" si="394"/>
        <v>3</v>
      </c>
      <c r="L969" s="28">
        <v>0</v>
      </c>
      <c r="M969" s="33">
        <f t="shared" si="415"/>
        <v>0</v>
      </c>
      <c r="N969" s="1">
        <v>2213781100</v>
      </c>
    </row>
    <row r="970" spans="1:14" ht="18" customHeight="1" x14ac:dyDescent="0.45">
      <c r="A970" s="13">
        <v>964</v>
      </c>
      <c r="B970" s="41" t="str">
        <f t="shared" si="414"/>
        <v>埼玉千葉本部</v>
      </c>
      <c r="C970" s="41" t="str">
        <f t="shared" si="414"/>
        <v>ラヴィーレ勝田台</v>
      </c>
      <c r="D970" s="14" t="s">
        <v>6</v>
      </c>
      <c r="E970" s="15">
        <v>4</v>
      </c>
      <c r="F970" s="16">
        <v>0</v>
      </c>
      <c r="G970" s="17">
        <v>0</v>
      </c>
      <c r="H970" s="16">
        <v>0</v>
      </c>
      <c r="I970" s="17">
        <v>0</v>
      </c>
      <c r="J970" s="15">
        <v>0</v>
      </c>
      <c r="K970" s="44">
        <f t="shared" si="394"/>
        <v>3</v>
      </c>
      <c r="L970" s="28">
        <v>0</v>
      </c>
      <c r="M970" s="33">
        <f t="shared" si="415"/>
        <v>0</v>
      </c>
      <c r="N970" s="1">
        <v>2213781100</v>
      </c>
    </row>
    <row r="971" spans="1:14" ht="18" customHeight="1" x14ac:dyDescent="0.45">
      <c r="A971" s="13">
        <v>965</v>
      </c>
      <c r="B971" s="42" t="str">
        <f t="shared" si="414"/>
        <v>埼玉千葉本部</v>
      </c>
      <c r="C971" s="42" t="str">
        <f t="shared" si="414"/>
        <v>ラヴィーレ勝田台</v>
      </c>
      <c r="D971" s="14" t="s">
        <v>2</v>
      </c>
      <c r="E971" s="15">
        <v>2</v>
      </c>
      <c r="F971" s="16">
        <v>5</v>
      </c>
      <c r="G971" s="17">
        <v>2.5</v>
      </c>
      <c r="H971" s="16">
        <v>0</v>
      </c>
      <c r="I971" s="17">
        <v>0</v>
      </c>
      <c r="J971" s="15">
        <v>5</v>
      </c>
      <c r="K971" s="45">
        <f t="shared" si="394"/>
        <v>3</v>
      </c>
      <c r="L971" s="28">
        <v>1</v>
      </c>
      <c r="M971" s="33">
        <f t="shared" si="415"/>
        <v>1</v>
      </c>
      <c r="N971" s="1">
        <v>2213781100</v>
      </c>
    </row>
    <row r="972" spans="1:14" ht="18" customHeight="1" x14ac:dyDescent="0.45">
      <c r="A972" s="8">
        <v>966</v>
      </c>
      <c r="B972" s="34" t="s">
        <v>71</v>
      </c>
      <c r="C972" s="34" t="s">
        <v>305</v>
      </c>
      <c r="D972" s="9" t="s">
        <v>3</v>
      </c>
      <c r="E972" s="10">
        <v>1</v>
      </c>
      <c r="F972" s="11">
        <v>13</v>
      </c>
      <c r="G972" s="12">
        <v>13</v>
      </c>
      <c r="H972" s="11">
        <v>3</v>
      </c>
      <c r="I972" s="12">
        <v>3</v>
      </c>
      <c r="J972" s="10">
        <v>16</v>
      </c>
      <c r="K972" s="37">
        <f t="shared" ref="K972" si="416">SUM(M972:M976)</f>
        <v>6</v>
      </c>
      <c r="L972" s="28">
        <v>2</v>
      </c>
      <c r="M972" s="33">
        <f t="shared" si="415"/>
        <v>2</v>
      </c>
      <c r="N972" s="1">
        <v>2213801100</v>
      </c>
    </row>
    <row r="973" spans="1:14" ht="18" customHeight="1" x14ac:dyDescent="0.45">
      <c r="A973" s="8">
        <v>967</v>
      </c>
      <c r="B973" s="35" t="str">
        <f t="shared" ref="B973:C976" si="417">B972</f>
        <v>埼玉千葉本部</v>
      </c>
      <c r="C973" s="35" t="str">
        <f t="shared" si="417"/>
        <v>ラヴィーレ八千代</v>
      </c>
      <c r="D973" s="9" t="s">
        <v>4</v>
      </c>
      <c r="E973" s="10">
        <v>1</v>
      </c>
      <c r="F973" s="11">
        <v>6</v>
      </c>
      <c r="G973" s="12">
        <v>6</v>
      </c>
      <c r="H973" s="11">
        <v>0</v>
      </c>
      <c r="I973" s="12">
        <v>0</v>
      </c>
      <c r="J973" s="10">
        <v>6</v>
      </c>
      <c r="K973" s="38">
        <f t="shared" si="394"/>
        <v>6</v>
      </c>
      <c r="L973" s="28">
        <v>1</v>
      </c>
      <c r="M973" s="33">
        <f t="shared" si="415"/>
        <v>1</v>
      </c>
      <c r="N973" s="1">
        <v>2213801100</v>
      </c>
    </row>
    <row r="974" spans="1:14" ht="18" customHeight="1" x14ac:dyDescent="0.45">
      <c r="A974" s="8">
        <v>968</v>
      </c>
      <c r="B974" s="35" t="str">
        <f t="shared" si="417"/>
        <v>埼玉千葉本部</v>
      </c>
      <c r="C974" s="35" t="str">
        <f t="shared" si="417"/>
        <v>ラヴィーレ八千代</v>
      </c>
      <c r="D974" s="9" t="s">
        <v>5</v>
      </c>
      <c r="E974" s="10">
        <v>2</v>
      </c>
      <c r="F974" s="11">
        <v>0</v>
      </c>
      <c r="G974" s="12">
        <v>0</v>
      </c>
      <c r="H974" s="11">
        <v>0</v>
      </c>
      <c r="I974" s="12">
        <v>0</v>
      </c>
      <c r="J974" s="10">
        <v>0</v>
      </c>
      <c r="K974" s="38">
        <f t="shared" si="394"/>
        <v>6</v>
      </c>
      <c r="L974" s="28">
        <v>0</v>
      </c>
      <c r="M974" s="33">
        <f t="shared" si="415"/>
        <v>0</v>
      </c>
      <c r="N974" s="1">
        <v>2213801100</v>
      </c>
    </row>
    <row r="975" spans="1:14" ht="18" customHeight="1" x14ac:dyDescent="0.45">
      <c r="A975" s="8">
        <v>969</v>
      </c>
      <c r="B975" s="35" t="str">
        <f t="shared" si="417"/>
        <v>埼玉千葉本部</v>
      </c>
      <c r="C975" s="35" t="str">
        <f t="shared" si="417"/>
        <v>ラヴィーレ八千代</v>
      </c>
      <c r="D975" s="9" t="s">
        <v>6</v>
      </c>
      <c r="E975" s="10">
        <v>3</v>
      </c>
      <c r="F975" s="11">
        <v>4</v>
      </c>
      <c r="G975" s="12">
        <v>1.3</v>
      </c>
      <c r="H975" s="11">
        <v>0</v>
      </c>
      <c r="I975" s="12">
        <v>0</v>
      </c>
      <c r="J975" s="10">
        <v>4</v>
      </c>
      <c r="K975" s="38">
        <f t="shared" si="394"/>
        <v>6</v>
      </c>
      <c r="L975" s="28">
        <v>1</v>
      </c>
      <c r="M975" s="33">
        <f t="shared" si="415"/>
        <v>1</v>
      </c>
      <c r="N975" s="1">
        <v>2213801100</v>
      </c>
    </row>
    <row r="976" spans="1:14" ht="18" customHeight="1" x14ac:dyDescent="0.45">
      <c r="A976" s="8">
        <v>970</v>
      </c>
      <c r="B976" s="36" t="str">
        <f t="shared" si="417"/>
        <v>埼玉千葉本部</v>
      </c>
      <c r="C976" s="36" t="str">
        <f t="shared" si="417"/>
        <v>ラヴィーレ八千代</v>
      </c>
      <c r="D976" s="9" t="s">
        <v>2</v>
      </c>
      <c r="E976" s="10">
        <v>2</v>
      </c>
      <c r="F976" s="11">
        <v>9</v>
      </c>
      <c r="G976" s="12">
        <v>4.5</v>
      </c>
      <c r="H976" s="11">
        <v>0</v>
      </c>
      <c r="I976" s="12">
        <v>0</v>
      </c>
      <c r="J976" s="10">
        <v>9</v>
      </c>
      <c r="K976" s="39">
        <f t="shared" si="394"/>
        <v>6</v>
      </c>
      <c r="L976" s="28">
        <v>2</v>
      </c>
      <c r="M976" s="33">
        <f t="shared" si="415"/>
        <v>2</v>
      </c>
      <c r="N976" s="1">
        <v>2213801100</v>
      </c>
    </row>
    <row r="977" spans="1:14" ht="18" customHeight="1" x14ac:dyDescent="0.45">
      <c r="A977" s="13">
        <v>971</v>
      </c>
      <c r="B977" s="40" t="s">
        <v>71</v>
      </c>
      <c r="C977" s="40" t="s">
        <v>306</v>
      </c>
      <c r="D977" s="14" t="s">
        <v>3</v>
      </c>
      <c r="E977" s="15">
        <v>1</v>
      </c>
      <c r="F977" s="16">
        <v>2</v>
      </c>
      <c r="G977" s="17">
        <v>2</v>
      </c>
      <c r="H977" s="16">
        <v>0</v>
      </c>
      <c r="I977" s="17">
        <v>0</v>
      </c>
      <c r="J977" s="15">
        <v>2</v>
      </c>
      <c r="K977" s="43">
        <f t="shared" ref="K977" si="418">SUM(M977:M981)</f>
        <v>2</v>
      </c>
      <c r="L977" s="28">
        <v>0</v>
      </c>
      <c r="M977" s="33">
        <f t="shared" si="415"/>
        <v>0</v>
      </c>
      <c r="N977" s="1">
        <v>2213841100</v>
      </c>
    </row>
    <row r="978" spans="1:14" ht="18" customHeight="1" x14ac:dyDescent="0.45">
      <c r="A978" s="13">
        <v>972</v>
      </c>
      <c r="B978" s="41" t="str">
        <f t="shared" ref="B978:C981" si="419">B977</f>
        <v>埼玉千葉本部</v>
      </c>
      <c r="C978" s="41" t="str">
        <f t="shared" si="419"/>
        <v>ラヴィーレ成田</v>
      </c>
      <c r="D978" s="14" t="s">
        <v>4</v>
      </c>
      <c r="E978" s="15">
        <v>1</v>
      </c>
      <c r="F978" s="16">
        <v>21</v>
      </c>
      <c r="G978" s="17">
        <v>21</v>
      </c>
      <c r="H978" s="16">
        <v>6</v>
      </c>
      <c r="I978" s="17">
        <v>6</v>
      </c>
      <c r="J978" s="15">
        <v>27</v>
      </c>
      <c r="K978" s="44">
        <f t="shared" si="394"/>
        <v>2</v>
      </c>
      <c r="L978" s="28">
        <v>2</v>
      </c>
      <c r="M978" s="33">
        <f t="shared" si="415"/>
        <v>2</v>
      </c>
      <c r="N978" s="1">
        <v>2213841100</v>
      </c>
    </row>
    <row r="979" spans="1:14" ht="18" customHeight="1" x14ac:dyDescent="0.45">
      <c r="A979" s="13">
        <v>973</v>
      </c>
      <c r="B979" s="41" t="str">
        <f t="shared" si="419"/>
        <v>埼玉千葉本部</v>
      </c>
      <c r="C979" s="41" t="str">
        <f t="shared" si="419"/>
        <v>ラヴィーレ成田</v>
      </c>
      <c r="D979" s="14" t="s">
        <v>5</v>
      </c>
      <c r="E979" s="15">
        <v>2</v>
      </c>
      <c r="F979" s="16">
        <v>0</v>
      </c>
      <c r="G979" s="17">
        <v>0</v>
      </c>
      <c r="H979" s="16">
        <v>0</v>
      </c>
      <c r="I979" s="17">
        <v>0</v>
      </c>
      <c r="J979" s="15">
        <v>0</v>
      </c>
      <c r="K979" s="44">
        <f t="shared" si="394"/>
        <v>2</v>
      </c>
      <c r="L979" s="28">
        <v>0</v>
      </c>
      <c r="M979" s="33">
        <f t="shared" si="415"/>
        <v>0</v>
      </c>
      <c r="N979" s="1">
        <v>2213841100</v>
      </c>
    </row>
    <row r="980" spans="1:14" ht="18" customHeight="1" x14ac:dyDescent="0.45">
      <c r="A980" s="13">
        <v>974</v>
      </c>
      <c r="B980" s="41" t="str">
        <f t="shared" si="419"/>
        <v>埼玉千葉本部</v>
      </c>
      <c r="C980" s="41" t="str">
        <f t="shared" si="419"/>
        <v>ラヴィーレ成田</v>
      </c>
      <c r="D980" s="14" t="s">
        <v>6</v>
      </c>
      <c r="E980" s="15">
        <v>4</v>
      </c>
      <c r="F980" s="16">
        <v>0</v>
      </c>
      <c r="G980" s="17">
        <v>0</v>
      </c>
      <c r="H980" s="16">
        <v>0</v>
      </c>
      <c r="I980" s="17">
        <v>0</v>
      </c>
      <c r="J980" s="15">
        <v>0</v>
      </c>
      <c r="K980" s="44">
        <f t="shared" si="394"/>
        <v>2</v>
      </c>
      <c r="L980" s="28">
        <v>0</v>
      </c>
      <c r="M980" s="33">
        <f t="shared" si="415"/>
        <v>0</v>
      </c>
      <c r="N980" s="1">
        <v>2213841100</v>
      </c>
    </row>
    <row r="981" spans="1:14" ht="18" customHeight="1" x14ac:dyDescent="0.45">
      <c r="A981" s="13">
        <v>975</v>
      </c>
      <c r="B981" s="42" t="str">
        <f t="shared" si="419"/>
        <v>埼玉千葉本部</v>
      </c>
      <c r="C981" s="42" t="str">
        <f t="shared" si="419"/>
        <v>ラヴィーレ成田</v>
      </c>
      <c r="D981" s="14" t="s">
        <v>2</v>
      </c>
      <c r="E981" s="15">
        <v>2</v>
      </c>
      <c r="F981" s="16">
        <v>0</v>
      </c>
      <c r="G981" s="17">
        <v>0</v>
      </c>
      <c r="H981" s="16">
        <v>0</v>
      </c>
      <c r="I981" s="17">
        <v>0</v>
      </c>
      <c r="J981" s="15">
        <v>0</v>
      </c>
      <c r="K981" s="45">
        <f t="shared" si="394"/>
        <v>2</v>
      </c>
      <c r="L981" s="28">
        <v>0</v>
      </c>
      <c r="M981" s="33">
        <f t="shared" si="415"/>
        <v>0</v>
      </c>
      <c r="N981" s="1">
        <v>2213841100</v>
      </c>
    </row>
    <row r="982" spans="1:14" ht="18" customHeight="1" x14ac:dyDescent="0.45">
      <c r="A982" s="8">
        <v>976</v>
      </c>
      <c r="B982" s="34" t="s">
        <v>71</v>
      </c>
      <c r="C982" s="34" t="s">
        <v>82</v>
      </c>
      <c r="D982" s="9" t="s">
        <v>3</v>
      </c>
      <c r="E982" s="10">
        <v>1</v>
      </c>
      <c r="F982" s="11">
        <v>20</v>
      </c>
      <c r="G982" s="12">
        <v>20</v>
      </c>
      <c r="H982" s="11">
        <v>1</v>
      </c>
      <c r="I982" s="12">
        <v>1</v>
      </c>
      <c r="J982" s="10">
        <v>21</v>
      </c>
      <c r="K982" s="37">
        <f t="shared" ref="K982" si="420">SUM(M982:M986)</f>
        <v>4</v>
      </c>
      <c r="L982" s="28">
        <v>2</v>
      </c>
      <c r="M982" s="33">
        <f t="shared" si="415"/>
        <v>2</v>
      </c>
      <c r="N982" s="1">
        <v>2213871200</v>
      </c>
    </row>
    <row r="983" spans="1:14" ht="18" customHeight="1" x14ac:dyDescent="0.45">
      <c r="A983" s="8">
        <v>977</v>
      </c>
      <c r="B983" s="35" t="str">
        <f t="shared" ref="B983:C986" si="421">B982</f>
        <v>埼玉千葉本部</v>
      </c>
      <c r="C983" s="35" t="str">
        <f t="shared" si="421"/>
        <v>そんぽの家　朝日ヶ丘</v>
      </c>
      <c r="D983" s="9" t="s">
        <v>4</v>
      </c>
      <c r="E983" s="10">
        <v>1</v>
      </c>
      <c r="F983" s="11">
        <v>20</v>
      </c>
      <c r="G983" s="12">
        <v>20</v>
      </c>
      <c r="H983" s="11">
        <v>4</v>
      </c>
      <c r="I983" s="12">
        <v>4</v>
      </c>
      <c r="J983" s="10">
        <v>24</v>
      </c>
      <c r="K983" s="38">
        <f t="shared" ref="K983:K1046" si="422">K982</f>
        <v>4</v>
      </c>
      <c r="L983" s="28">
        <v>2</v>
      </c>
      <c r="M983" s="33">
        <f t="shared" si="415"/>
        <v>2</v>
      </c>
      <c r="N983" s="1">
        <v>2213871200</v>
      </c>
    </row>
    <row r="984" spans="1:14" ht="18" customHeight="1" x14ac:dyDescent="0.45">
      <c r="A984" s="8">
        <v>978</v>
      </c>
      <c r="B984" s="35" t="str">
        <f t="shared" si="421"/>
        <v>埼玉千葉本部</v>
      </c>
      <c r="C984" s="35" t="str">
        <f t="shared" si="421"/>
        <v>そんぽの家　朝日ヶ丘</v>
      </c>
      <c r="D984" s="9" t="s">
        <v>5</v>
      </c>
      <c r="E984" s="10">
        <v>1</v>
      </c>
      <c r="F984" s="11">
        <v>0</v>
      </c>
      <c r="G984" s="12">
        <v>0</v>
      </c>
      <c r="H984" s="11">
        <v>0</v>
      </c>
      <c r="I984" s="12">
        <v>0</v>
      </c>
      <c r="J984" s="10">
        <v>0</v>
      </c>
      <c r="K984" s="38">
        <f t="shared" si="422"/>
        <v>4</v>
      </c>
      <c r="L984" s="28">
        <v>0</v>
      </c>
      <c r="M984" s="33">
        <f t="shared" si="415"/>
        <v>0</v>
      </c>
      <c r="N984" s="1">
        <v>2213871200</v>
      </c>
    </row>
    <row r="985" spans="1:14" ht="18" customHeight="1" x14ac:dyDescent="0.45">
      <c r="A985" s="8">
        <v>979</v>
      </c>
      <c r="B985" s="35" t="str">
        <f t="shared" si="421"/>
        <v>埼玉千葉本部</v>
      </c>
      <c r="C985" s="35" t="str">
        <f t="shared" si="421"/>
        <v>そんぽの家　朝日ヶ丘</v>
      </c>
      <c r="D985" s="9" t="s">
        <v>6</v>
      </c>
      <c r="E985" s="10">
        <v>3</v>
      </c>
      <c r="F985" s="11">
        <v>3</v>
      </c>
      <c r="G985" s="12">
        <v>1</v>
      </c>
      <c r="H985" s="11">
        <v>0</v>
      </c>
      <c r="I985" s="12">
        <v>0</v>
      </c>
      <c r="J985" s="10">
        <v>3</v>
      </c>
      <c r="K985" s="38">
        <f t="shared" si="422"/>
        <v>4</v>
      </c>
      <c r="L985" s="28">
        <v>0</v>
      </c>
      <c r="M985" s="33">
        <f t="shared" si="415"/>
        <v>0</v>
      </c>
      <c r="N985" s="1">
        <v>2213871200</v>
      </c>
    </row>
    <row r="986" spans="1:14" ht="18" customHeight="1" x14ac:dyDescent="0.45">
      <c r="A986" s="8">
        <v>980</v>
      </c>
      <c r="B986" s="36" t="str">
        <f t="shared" si="421"/>
        <v>埼玉千葉本部</v>
      </c>
      <c r="C986" s="36" t="str">
        <f t="shared" si="421"/>
        <v>そんぽの家　朝日ヶ丘</v>
      </c>
      <c r="D986" s="9" t="s">
        <v>2</v>
      </c>
      <c r="E986" s="10">
        <v>2</v>
      </c>
      <c r="F986" s="11">
        <v>0</v>
      </c>
      <c r="G986" s="12">
        <v>0</v>
      </c>
      <c r="H986" s="11">
        <v>0</v>
      </c>
      <c r="I986" s="12">
        <v>0</v>
      </c>
      <c r="J986" s="10">
        <v>0</v>
      </c>
      <c r="K986" s="39">
        <f t="shared" si="422"/>
        <v>4</v>
      </c>
      <c r="L986" s="28">
        <v>0</v>
      </c>
      <c r="M986" s="33">
        <f t="shared" si="415"/>
        <v>0</v>
      </c>
      <c r="N986" s="1">
        <v>2213871200</v>
      </c>
    </row>
    <row r="987" spans="1:14" ht="18" customHeight="1" x14ac:dyDescent="0.45">
      <c r="A987" s="13">
        <v>981</v>
      </c>
      <c r="B987" s="40" t="s">
        <v>71</v>
      </c>
      <c r="C987" s="40" t="s">
        <v>83</v>
      </c>
      <c r="D987" s="14" t="s">
        <v>3</v>
      </c>
      <c r="E987" s="15">
        <v>1</v>
      </c>
      <c r="F987" s="16">
        <v>22</v>
      </c>
      <c r="G987" s="17">
        <v>22</v>
      </c>
      <c r="H987" s="16">
        <v>23</v>
      </c>
      <c r="I987" s="17">
        <v>23</v>
      </c>
      <c r="J987" s="15">
        <v>45</v>
      </c>
      <c r="K987" s="43">
        <f t="shared" ref="K987" si="423">SUM(M987:M991)</f>
        <v>8</v>
      </c>
      <c r="L987" s="28">
        <v>2</v>
      </c>
      <c r="M987" s="33">
        <f t="shared" si="415"/>
        <v>2</v>
      </c>
      <c r="N987" s="1">
        <v>2213911200</v>
      </c>
    </row>
    <row r="988" spans="1:14" ht="18" customHeight="1" x14ac:dyDescent="0.45">
      <c r="A988" s="13">
        <v>982</v>
      </c>
      <c r="B988" s="41" t="str">
        <f t="shared" ref="B988:C991" si="424">B987</f>
        <v>埼玉千葉本部</v>
      </c>
      <c r="C988" s="41" t="str">
        <f t="shared" si="424"/>
        <v>そんぽの家　都賀</v>
      </c>
      <c r="D988" s="14" t="s">
        <v>4</v>
      </c>
      <c r="E988" s="15">
        <v>1</v>
      </c>
      <c r="F988" s="16">
        <v>20</v>
      </c>
      <c r="G988" s="17">
        <v>20</v>
      </c>
      <c r="H988" s="16">
        <v>0</v>
      </c>
      <c r="I988" s="17">
        <v>0</v>
      </c>
      <c r="J988" s="15">
        <v>20</v>
      </c>
      <c r="K988" s="44">
        <f t="shared" si="422"/>
        <v>8</v>
      </c>
      <c r="L988" s="28">
        <v>2</v>
      </c>
      <c r="M988" s="33">
        <f t="shared" si="415"/>
        <v>2</v>
      </c>
      <c r="N988" s="1">
        <v>2213911200</v>
      </c>
    </row>
    <row r="989" spans="1:14" ht="18" customHeight="1" x14ac:dyDescent="0.45">
      <c r="A989" s="13">
        <v>983</v>
      </c>
      <c r="B989" s="41" t="str">
        <f t="shared" si="424"/>
        <v>埼玉千葉本部</v>
      </c>
      <c r="C989" s="41" t="str">
        <f t="shared" si="424"/>
        <v>そんぽの家　都賀</v>
      </c>
      <c r="D989" s="14" t="s">
        <v>5</v>
      </c>
      <c r="E989" s="15">
        <v>1</v>
      </c>
      <c r="F989" s="16">
        <v>15</v>
      </c>
      <c r="G989" s="17">
        <v>15</v>
      </c>
      <c r="H989" s="16">
        <v>0</v>
      </c>
      <c r="I989" s="17">
        <v>0</v>
      </c>
      <c r="J989" s="15">
        <v>15</v>
      </c>
      <c r="K989" s="44">
        <f t="shared" si="422"/>
        <v>8</v>
      </c>
      <c r="L989" s="28">
        <v>2</v>
      </c>
      <c r="M989" s="33">
        <f t="shared" si="415"/>
        <v>2</v>
      </c>
      <c r="N989" s="1">
        <v>2213911200</v>
      </c>
    </row>
    <row r="990" spans="1:14" ht="18" customHeight="1" x14ac:dyDescent="0.45">
      <c r="A990" s="13">
        <v>984</v>
      </c>
      <c r="B990" s="41" t="str">
        <f t="shared" si="424"/>
        <v>埼玉千葉本部</v>
      </c>
      <c r="C990" s="41" t="str">
        <f t="shared" si="424"/>
        <v>そんぽの家　都賀</v>
      </c>
      <c r="D990" s="14" t="s">
        <v>6</v>
      </c>
      <c r="E990" s="15">
        <v>3</v>
      </c>
      <c r="F990" s="16">
        <v>4</v>
      </c>
      <c r="G990" s="17">
        <v>1.3</v>
      </c>
      <c r="H990" s="16">
        <v>0</v>
      </c>
      <c r="I990" s="17">
        <v>0</v>
      </c>
      <c r="J990" s="15">
        <v>4</v>
      </c>
      <c r="K990" s="44">
        <f t="shared" si="422"/>
        <v>8</v>
      </c>
      <c r="L990" s="28">
        <v>1</v>
      </c>
      <c r="M990" s="33">
        <f t="shared" si="415"/>
        <v>1</v>
      </c>
      <c r="N990" s="1">
        <v>2213911200</v>
      </c>
    </row>
    <row r="991" spans="1:14" ht="18" customHeight="1" x14ac:dyDescent="0.45">
      <c r="A991" s="13">
        <v>985</v>
      </c>
      <c r="B991" s="42" t="str">
        <f t="shared" si="424"/>
        <v>埼玉千葉本部</v>
      </c>
      <c r="C991" s="42" t="str">
        <f t="shared" si="424"/>
        <v>そんぽの家　都賀</v>
      </c>
      <c r="D991" s="14" t="s">
        <v>2</v>
      </c>
      <c r="E991" s="15">
        <v>2</v>
      </c>
      <c r="F991" s="16">
        <v>7</v>
      </c>
      <c r="G991" s="17">
        <v>3.5</v>
      </c>
      <c r="H991" s="16">
        <v>0</v>
      </c>
      <c r="I991" s="17">
        <v>0</v>
      </c>
      <c r="J991" s="15">
        <v>7</v>
      </c>
      <c r="K991" s="45">
        <f t="shared" si="422"/>
        <v>8</v>
      </c>
      <c r="L991" s="28">
        <v>1</v>
      </c>
      <c r="M991" s="33">
        <f t="shared" si="415"/>
        <v>1</v>
      </c>
      <c r="N991" s="1">
        <v>2213911200</v>
      </c>
    </row>
    <row r="992" spans="1:14" ht="18" customHeight="1" x14ac:dyDescent="0.45">
      <c r="A992" s="8">
        <v>986</v>
      </c>
      <c r="B992" s="34" t="s">
        <v>71</v>
      </c>
      <c r="C992" s="34" t="s">
        <v>307</v>
      </c>
      <c r="D992" s="9" t="s">
        <v>3</v>
      </c>
      <c r="E992" s="10">
        <v>1</v>
      </c>
      <c r="F992" s="11">
        <v>11</v>
      </c>
      <c r="G992" s="12">
        <v>11</v>
      </c>
      <c r="H992" s="11">
        <v>7</v>
      </c>
      <c r="I992" s="12">
        <v>7</v>
      </c>
      <c r="J992" s="10">
        <v>18</v>
      </c>
      <c r="K992" s="37">
        <f t="shared" ref="K992" si="425">SUM(M992:M996)</f>
        <v>4</v>
      </c>
      <c r="L992" s="28">
        <v>2</v>
      </c>
      <c r="M992" s="33">
        <f t="shared" si="415"/>
        <v>2</v>
      </c>
      <c r="N992" s="1">
        <v>2213921200</v>
      </c>
    </row>
    <row r="993" spans="1:14" ht="18" customHeight="1" x14ac:dyDescent="0.45">
      <c r="A993" s="8">
        <v>987</v>
      </c>
      <c r="B993" s="35" t="str">
        <f t="shared" ref="B993:C996" si="426">B992</f>
        <v>埼玉千葉本部</v>
      </c>
      <c r="C993" s="35" t="str">
        <f t="shared" si="426"/>
        <v>ラヴィーレみつわ台</v>
      </c>
      <c r="D993" s="9" t="s">
        <v>4</v>
      </c>
      <c r="E993" s="10">
        <v>2</v>
      </c>
      <c r="F993" s="11">
        <v>3</v>
      </c>
      <c r="G993" s="12">
        <v>1.5</v>
      </c>
      <c r="H993" s="11">
        <v>6</v>
      </c>
      <c r="I993" s="12">
        <v>3</v>
      </c>
      <c r="J993" s="10">
        <v>9</v>
      </c>
      <c r="K993" s="38">
        <f t="shared" si="422"/>
        <v>4</v>
      </c>
      <c r="L993" s="28">
        <v>2</v>
      </c>
      <c r="M993" s="33">
        <f t="shared" si="415"/>
        <v>2</v>
      </c>
      <c r="N993" s="1">
        <v>2213921200</v>
      </c>
    </row>
    <row r="994" spans="1:14" ht="18" customHeight="1" x14ac:dyDescent="0.45">
      <c r="A994" s="8">
        <v>988</v>
      </c>
      <c r="B994" s="35" t="str">
        <f t="shared" si="426"/>
        <v>埼玉千葉本部</v>
      </c>
      <c r="C994" s="35" t="str">
        <f t="shared" si="426"/>
        <v>ラヴィーレみつわ台</v>
      </c>
      <c r="D994" s="9" t="s">
        <v>5</v>
      </c>
      <c r="E994" s="10">
        <v>2</v>
      </c>
      <c r="F994" s="11">
        <v>0</v>
      </c>
      <c r="G994" s="12">
        <v>0</v>
      </c>
      <c r="H994" s="11">
        <v>0</v>
      </c>
      <c r="I994" s="12">
        <v>0</v>
      </c>
      <c r="J994" s="10">
        <v>0</v>
      </c>
      <c r="K994" s="38">
        <f t="shared" si="422"/>
        <v>4</v>
      </c>
      <c r="L994" s="28">
        <v>0</v>
      </c>
      <c r="M994" s="33">
        <f t="shared" si="415"/>
        <v>0</v>
      </c>
      <c r="N994" s="1">
        <v>2213921200</v>
      </c>
    </row>
    <row r="995" spans="1:14" ht="18" customHeight="1" x14ac:dyDescent="0.45">
      <c r="A995" s="8">
        <v>989</v>
      </c>
      <c r="B995" s="35" t="str">
        <f t="shared" si="426"/>
        <v>埼玉千葉本部</v>
      </c>
      <c r="C995" s="35" t="str">
        <f t="shared" si="426"/>
        <v>ラヴィーレみつわ台</v>
      </c>
      <c r="D995" s="9" t="s">
        <v>6</v>
      </c>
      <c r="E995" s="10">
        <v>4</v>
      </c>
      <c r="F995" s="11">
        <v>1</v>
      </c>
      <c r="G995" s="12">
        <v>0.3</v>
      </c>
      <c r="H995" s="11">
        <v>0</v>
      </c>
      <c r="I995" s="12">
        <v>0</v>
      </c>
      <c r="J995" s="10">
        <v>1</v>
      </c>
      <c r="K995" s="38">
        <f t="shared" si="422"/>
        <v>4</v>
      </c>
      <c r="L995" s="28">
        <v>0</v>
      </c>
      <c r="M995" s="33">
        <f t="shared" si="415"/>
        <v>0</v>
      </c>
      <c r="N995" s="1">
        <v>2213921200</v>
      </c>
    </row>
    <row r="996" spans="1:14" ht="18" customHeight="1" x14ac:dyDescent="0.45">
      <c r="A996" s="8">
        <v>990</v>
      </c>
      <c r="B996" s="36" t="str">
        <f t="shared" si="426"/>
        <v>埼玉千葉本部</v>
      </c>
      <c r="C996" s="36" t="str">
        <f t="shared" si="426"/>
        <v>ラヴィーレみつわ台</v>
      </c>
      <c r="D996" s="9" t="s">
        <v>2</v>
      </c>
      <c r="E996" s="10">
        <v>1</v>
      </c>
      <c r="F996" s="11">
        <v>0</v>
      </c>
      <c r="G996" s="12">
        <v>0</v>
      </c>
      <c r="H996" s="11">
        <v>0</v>
      </c>
      <c r="I996" s="12">
        <v>0</v>
      </c>
      <c r="J996" s="10">
        <v>0</v>
      </c>
      <c r="K996" s="39">
        <f t="shared" si="422"/>
        <v>4</v>
      </c>
      <c r="L996" s="28">
        <v>0</v>
      </c>
      <c r="M996" s="33">
        <f t="shared" si="415"/>
        <v>0</v>
      </c>
      <c r="N996" s="1">
        <v>2213921200</v>
      </c>
    </row>
    <row r="997" spans="1:14" ht="18" customHeight="1" x14ac:dyDescent="0.45">
      <c r="A997" s="13">
        <v>991</v>
      </c>
      <c r="B997" s="40" t="s">
        <v>71</v>
      </c>
      <c r="C997" s="40" t="s">
        <v>308</v>
      </c>
      <c r="D997" s="14" t="s">
        <v>3</v>
      </c>
      <c r="E997" s="15">
        <v>1</v>
      </c>
      <c r="F997" s="16">
        <v>10</v>
      </c>
      <c r="G997" s="17">
        <v>10</v>
      </c>
      <c r="H997" s="16">
        <v>0</v>
      </c>
      <c r="I997" s="17">
        <v>0</v>
      </c>
      <c r="J997" s="15">
        <v>10</v>
      </c>
      <c r="K997" s="43">
        <f t="shared" ref="K997" si="427">SUM(M997:M1001)</f>
        <v>9</v>
      </c>
      <c r="L997" s="28">
        <v>2</v>
      </c>
      <c r="M997" s="33">
        <f t="shared" si="415"/>
        <v>2</v>
      </c>
      <c r="N997" s="1">
        <v>2213941100</v>
      </c>
    </row>
    <row r="998" spans="1:14" ht="18" customHeight="1" x14ac:dyDescent="0.45">
      <c r="A998" s="13">
        <v>992</v>
      </c>
      <c r="B998" s="41" t="str">
        <f t="shared" ref="B998:C1001" si="428">B997</f>
        <v>埼玉千葉本部</v>
      </c>
      <c r="C998" s="41" t="str">
        <f t="shared" si="428"/>
        <v>ラヴィーレ千葉椿森</v>
      </c>
      <c r="D998" s="14" t="s">
        <v>4</v>
      </c>
      <c r="E998" s="15">
        <v>1</v>
      </c>
      <c r="F998" s="16">
        <v>13</v>
      </c>
      <c r="G998" s="17">
        <v>13</v>
      </c>
      <c r="H998" s="16">
        <v>3</v>
      </c>
      <c r="I998" s="17">
        <v>3</v>
      </c>
      <c r="J998" s="15">
        <v>16</v>
      </c>
      <c r="K998" s="44">
        <f t="shared" si="422"/>
        <v>9</v>
      </c>
      <c r="L998" s="28">
        <v>2</v>
      </c>
      <c r="M998" s="33">
        <f t="shared" si="415"/>
        <v>2</v>
      </c>
      <c r="N998" s="1">
        <v>2213941100</v>
      </c>
    </row>
    <row r="999" spans="1:14" ht="18" customHeight="1" x14ac:dyDescent="0.45">
      <c r="A999" s="13">
        <v>993</v>
      </c>
      <c r="B999" s="41" t="str">
        <f t="shared" si="428"/>
        <v>埼玉千葉本部</v>
      </c>
      <c r="C999" s="41" t="str">
        <f t="shared" si="428"/>
        <v>ラヴィーレ千葉椿森</v>
      </c>
      <c r="D999" s="14" t="s">
        <v>5</v>
      </c>
      <c r="E999" s="15">
        <v>2</v>
      </c>
      <c r="F999" s="16">
        <v>23</v>
      </c>
      <c r="G999" s="17">
        <v>11.5</v>
      </c>
      <c r="H999" s="16">
        <v>0</v>
      </c>
      <c r="I999" s="17">
        <v>0</v>
      </c>
      <c r="J999" s="15">
        <v>23</v>
      </c>
      <c r="K999" s="44">
        <f t="shared" si="422"/>
        <v>9</v>
      </c>
      <c r="L999" s="28">
        <v>2</v>
      </c>
      <c r="M999" s="33">
        <f t="shared" si="415"/>
        <v>2</v>
      </c>
      <c r="N999" s="1">
        <v>2213941100</v>
      </c>
    </row>
    <row r="1000" spans="1:14" ht="18" customHeight="1" x14ac:dyDescent="0.45">
      <c r="A1000" s="13">
        <v>994</v>
      </c>
      <c r="B1000" s="41" t="str">
        <f t="shared" si="428"/>
        <v>埼玉千葉本部</v>
      </c>
      <c r="C1000" s="41" t="str">
        <f t="shared" si="428"/>
        <v>ラヴィーレ千葉椿森</v>
      </c>
      <c r="D1000" s="14" t="s">
        <v>6</v>
      </c>
      <c r="E1000" s="15">
        <v>20</v>
      </c>
      <c r="F1000" s="16">
        <v>5</v>
      </c>
      <c r="G1000" s="17">
        <v>0.3</v>
      </c>
      <c r="H1000" s="16">
        <v>0</v>
      </c>
      <c r="I1000" s="17">
        <v>0</v>
      </c>
      <c r="J1000" s="15">
        <v>5</v>
      </c>
      <c r="K1000" s="44">
        <f t="shared" si="422"/>
        <v>9</v>
      </c>
      <c r="L1000" s="28">
        <v>1</v>
      </c>
      <c r="M1000" s="33">
        <f t="shared" si="415"/>
        <v>1</v>
      </c>
      <c r="N1000" s="1">
        <v>2213941100</v>
      </c>
    </row>
    <row r="1001" spans="1:14" ht="18" customHeight="1" x14ac:dyDescent="0.45">
      <c r="A1001" s="13">
        <v>995</v>
      </c>
      <c r="B1001" s="42" t="str">
        <f t="shared" si="428"/>
        <v>埼玉千葉本部</v>
      </c>
      <c r="C1001" s="42" t="str">
        <f t="shared" si="428"/>
        <v>ラヴィーレ千葉椿森</v>
      </c>
      <c r="D1001" s="14" t="s">
        <v>2</v>
      </c>
      <c r="E1001" s="15">
        <v>3</v>
      </c>
      <c r="F1001" s="16">
        <v>8</v>
      </c>
      <c r="G1001" s="17">
        <v>2.7</v>
      </c>
      <c r="H1001" s="16">
        <v>2</v>
      </c>
      <c r="I1001" s="17">
        <v>0.7</v>
      </c>
      <c r="J1001" s="15">
        <v>10</v>
      </c>
      <c r="K1001" s="45">
        <f t="shared" si="422"/>
        <v>9</v>
      </c>
      <c r="L1001" s="28">
        <v>2</v>
      </c>
      <c r="M1001" s="33">
        <f t="shared" si="415"/>
        <v>2</v>
      </c>
      <c r="N1001" s="1">
        <v>2213941100</v>
      </c>
    </row>
    <row r="1002" spans="1:14" ht="18" customHeight="1" x14ac:dyDescent="0.45">
      <c r="A1002" s="8">
        <v>996</v>
      </c>
      <c r="B1002" s="34" t="s">
        <v>71</v>
      </c>
      <c r="C1002" s="34" t="s">
        <v>84</v>
      </c>
      <c r="D1002" s="9" t="s">
        <v>3</v>
      </c>
      <c r="E1002" s="10">
        <v>1</v>
      </c>
      <c r="F1002" s="11">
        <v>4</v>
      </c>
      <c r="G1002" s="12">
        <v>4</v>
      </c>
      <c r="H1002" s="11">
        <v>2</v>
      </c>
      <c r="I1002" s="12">
        <v>2</v>
      </c>
      <c r="J1002" s="10">
        <v>6</v>
      </c>
      <c r="K1002" s="37">
        <f t="shared" ref="K1002" si="429">SUM(M1002:M1006)</f>
        <v>4</v>
      </c>
      <c r="L1002" s="28">
        <v>1</v>
      </c>
      <c r="M1002" s="33">
        <f t="shared" si="415"/>
        <v>1</v>
      </c>
      <c r="N1002" s="1">
        <v>2213951200</v>
      </c>
    </row>
    <row r="1003" spans="1:14" ht="18" customHeight="1" x14ac:dyDescent="0.45">
      <c r="A1003" s="8">
        <v>997</v>
      </c>
      <c r="B1003" s="35" t="str">
        <f t="shared" ref="B1003:C1006" si="430">B1002</f>
        <v>埼玉千葉本部</v>
      </c>
      <c r="C1003" s="35" t="str">
        <f t="shared" si="430"/>
        <v>そんぽの家　蘇我</v>
      </c>
      <c r="D1003" s="9" t="s">
        <v>4</v>
      </c>
      <c r="E1003" s="10">
        <v>1</v>
      </c>
      <c r="F1003" s="11">
        <v>32</v>
      </c>
      <c r="G1003" s="12">
        <v>32</v>
      </c>
      <c r="H1003" s="11">
        <v>6</v>
      </c>
      <c r="I1003" s="12">
        <v>6</v>
      </c>
      <c r="J1003" s="10">
        <v>38</v>
      </c>
      <c r="K1003" s="38">
        <f t="shared" si="422"/>
        <v>4</v>
      </c>
      <c r="L1003" s="28">
        <v>2</v>
      </c>
      <c r="M1003" s="33">
        <f t="shared" si="415"/>
        <v>2</v>
      </c>
      <c r="N1003" s="1">
        <v>2213951200</v>
      </c>
    </row>
    <row r="1004" spans="1:14" ht="18" customHeight="1" x14ac:dyDescent="0.45">
      <c r="A1004" s="8">
        <v>998</v>
      </c>
      <c r="B1004" s="35" t="str">
        <f t="shared" si="430"/>
        <v>埼玉千葉本部</v>
      </c>
      <c r="C1004" s="35" t="str">
        <f t="shared" si="430"/>
        <v>そんぽの家　蘇我</v>
      </c>
      <c r="D1004" s="9" t="s">
        <v>5</v>
      </c>
      <c r="E1004" s="10">
        <v>1</v>
      </c>
      <c r="F1004" s="11">
        <v>4</v>
      </c>
      <c r="G1004" s="12">
        <v>4</v>
      </c>
      <c r="H1004" s="11">
        <v>0</v>
      </c>
      <c r="I1004" s="12">
        <v>0</v>
      </c>
      <c r="J1004" s="10">
        <v>4</v>
      </c>
      <c r="K1004" s="38">
        <f t="shared" si="422"/>
        <v>4</v>
      </c>
      <c r="L1004" s="28">
        <v>1</v>
      </c>
      <c r="M1004" s="33">
        <f t="shared" si="415"/>
        <v>1</v>
      </c>
      <c r="N1004" s="1">
        <v>2213951200</v>
      </c>
    </row>
    <row r="1005" spans="1:14" ht="18" customHeight="1" x14ac:dyDescent="0.45">
      <c r="A1005" s="8">
        <v>999</v>
      </c>
      <c r="B1005" s="35" t="str">
        <f t="shared" si="430"/>
        <v>埼玉千葉本部</v>
      </c>
      <c r="C1005" s="35" t="str">
        <f t="shared" si="430"/>
        <v>そんぽの家　蘇我</v>
      </c>
      <c r="D1005" s="9" t="s">
        <v>6</v>
      </c>
      <c r="E1005" s="10">
        <v>3</v>
      </c>
      <c r="F1005" s="11">
        <v>0</v>
      </c>
      <c r="G1005" s="12">
        <v>0</v>
      </c>
      <c r="H1005" s="11">
        <v>0</v>
      </c>
      <c r="I1005" s="12">
        <v>0</v>
      </c>
      <c r="J1005" s="10">
        <v>0</v>
      </c>
      <c r="K1005" s="38">
        <f t="shared" si="422"/>
        <v>4</v>
      </c>
      <c r="L1005" s="28">
        <v>0</v>
      </c>
      <c r="M1005" s="33">
        <f t="shared" si="415"/>
        <v>0</v>
      </c>
      <c r="N1005" s="1">
        <v>2213951200</v>
      </c>
    </row>
    <row r="1006" spans="1:14" ht="18" customHeight="1" x14ac:dyDescent="0.45">
      <c r="A1006" s="8">
        <v>1000</v>
      </c>
      <c r="B1006" s="36" t="str">
        <f t="shared" si="430"/>
        <v>埼玉千葉本部</v>
      </c>
      <c r="C1006" s="36" t="str">
        <f t="shared" si="430"/>
        <v>そんぽの家　蘇我</v>
      </c>
      <c r="D1006" s="9" t="s">
        <v>2</v>
      </c>
      <c r="E1006" s="10">
        <v>1</v>
      </c>
      <c r="F1006" s="11">
        <v>0</v>
      </c>
      <c r="G1006" s="12">
        <v>0</v>
      </c>
      <c r="H1006" s="11">
        <v>2</v>
      </c>
      <c r="I1006" s="12">
        <v>2</v>
      </c>
      <c r="J1006" s="10">
        <v>2</v>
      </c>
      <c r="K1006" s="39">
        <f t="shared" si="422"/>
        <v>4</v>
      </c>
      <c r="L1006" s="28">
        <v>0</v>
      </c>
      <c r="M1006" s="33">
        <f t="shared" si="415"/>
        <v>0</v>
      </c>
      <c r="N1006" s="1">
        <v>2213951200</v>
      </c>
    </row>
    <row r="1007" spans="1:14" ht="18" customHeight="1" x14ac:dyDescent="0.45">
      <c r="A1007" s="13">
        <v>1001</v>
      </c>
      <c r="B1007" s="40" t="s">
        <v>85</v>
      </c>
      <c r="C1007" s="40" t="s">
        <v>88</v>
      </c>
      <c r="D1007" s="14" t="s">
        <v>3</v>
      </c>
      <c r="E1007" s="15">
        <v>1</v>
      </c>
      <c r="F1007" s="16">
        <v>8</v>
      </c>
      <c r="G1007" s="17">
        <v>8</v>
      </c>
      <c r="H1007" s="16">
        <v>3</v>
      </c>
      <c r="I1007" s="17">
        <v>3</v>
      </c>
      <c r="J1007" s="15">
        <v>11</v>
      </c>
      <c r="K1007" s="43">
        <f t="shared" ref="K1007" si="431">SUM(M1007:M1011)</f>
        <v>7</v>
      </c>
      <c r="L1007" s="28">
        <v>2</v>
      </c>
      <c r="M1007" s="33">
        <f t="shared" si="415"/>
        <v>2</v>
      </c>
      <c r="N1007" s="1">
        <v>3315851200</v>
      </c>
    </row>
    <row r="1008" spans="1:14" ht="18" customHeight="1" x14ac:dyDescent="0.45">
      <c r="A1008" s="13">
        <v>1002</v>
      </c>
      <c r="B1008" s="41" t="str">
        <f t="shared" ref="B1008:C1011" si="432">B1007</f>
        <v>西日本第一本部</v>
      </c>
      <c r="C1008" s="41" t="str">
        <f t="shared" si="432"/>
        <v>そんぽの家　上飯田</v>
      </c>
      <c r="D1008" s="14" t="s">
        <v>4</v>
      </c>
      <c r="E1008" s="15">
        <v>1</v>
      </c>
      <c r="F1008" s="16">
        <v>12</v>
      </c>
      <c r="G1008" s="17">
        <v>12</v>
      </c>
      <c r="H1008" s="16">
        <v>10</v>
      </c>
      <c r="I1008" s="17">
        <v>10</v>
      </c>
      <c r="J1008" s="15">
        <v>22</v>
      </c>
      <c r="K1008" s="44">
        <f t="shared" si="422"/>
        <v>7</v>
      </c>
      <c r="L1008" s="28">
        <v>2</v>
      </c>
      <c r="M1008" s="33">
        <f t="shared" si="415"/>
        <v>2</v>
      </c>
      <c r="N1008" s="1">
        <v>3315851200</v>
      </c>
    </row>
    <row r="1009" spans="1:14" ht="18" customHeight="1" x14ac:dyDescent="0.45">
      <c r="A1009" s="13">
        <v>1003</v>
      </c>
      <c r="B1009" s="41" t="str">
        <f t="shared" si="432"/>
        <v>西日本第一本部</v>
      </c>
      <c r="C1009" s="41" t="str">
        <f t="shared" si="432"/>
        <v>そんぽの家　上飯田</v>
      </c>
      <c r="D1009" s="14" t="s">
        <v>5</v>
      </c>
      <c r="E1009" s="15">
        <v>1</v>
      </c>
      <c r="F1009" s="16">
        <v>9</v>
      </c>
      <c r="G1009" s="17">
        <v>9</v>
      </c>
      <c r="H1009" s="16">
        <v>0</v>
      </c>
      <c r="I1009" s="17">
        <v>0</v>
      </c>
      <c r="J1009" s="15">
        <v>9</v>
      </c>
      <c r="K1009" s="44">
        <f t="shared" si="422"/>
        <v>7</v>
      </c>
      <c r="L1009" s="28">
        <v>2</v>
      </c>
      <c r="M1009" s="33">
        <f t="shared" si="415"/>
        <v>2</v>
      </c>
      <c r="N1009" s="1">
        <v>3315851200</v>
      </c>
    </row>
    <row r="1010" spans="1:14" ht="18" customHeight="1" x14ac:dyDescent="0.45">
      <c r="A1010" s="13">
        <v>1004</v>
      </c>
      <c r="B1010" s="41" t="str">
        <f t="shared" si="432"/>
        <v>西日本第一本部</v>
      </c>
      <c r="C1010" s="41" t="str">
        <f t="shared" si="432"/>
        <v>そんぽの家　上飯田</v>
      </c>
      <c r="D1010" s="14" t="s">
        <v>6</v>
      </c>
      <c r="E1010" s="15">
        <v>3</v>
      </c>
      <c r="F1010" s="16">
        <v>7</v>
      </c>
      <c r="G1010" s="17">
        <v>2.2999999999999998</v>
      </c>
      <c r="H1010" s="16">
        <v>0</v>
      </c>
      <c r="I1010" s="17">
        <v>0</v>
      </c>
      <c r="J1010" s="15">
        <v>7</v>
      </c>
      <c r="K1010" s="44">
        <f t="shared" si="422"/>
        <v>7</v>
      </c>
      <c r="L1010" s="28">
        <v>1</v>
      </c>
      <c r="M1010" s="33">
        <f t="shared" si="415"/>
        <v>1</v>
      </c>
      <c r="N1010" s="1">
        <v>3315851200</v>
      </c>
    </row>
    <row r="1011" spans="1:14" ht="18" customHeight="1" x14ac:dyDescent="0.45">
      <c r="A1011" s="13">
        <v>1005</v>
      </c>
      <c r="B1011" s="42" t="str">
        <f t="shared" si="432"/>
        <v>西日本第一本部</v>
      </c>
      <c r="C1011" s="42" t="str">
        <f t="shared" si="432"/>
        <v>そんぽの家　上飯田</v>
      </c>
      <c r="D1011" s="14" t="s">
        <v>2</v>
      </c>
      <c r="E1011" s="15">
        <v>0</v>
      </c>
      <c r="F1011" s="16">
        <v>0</v>
      </c>
      <c r="G1011" s="17">
        <v>0</v>
      </c>
      <c r="H1011" s="16">
        <v>0</v>
      </c>
      <c r="I1011" s="17">
        <v>0</v>
      </c>
      <c r="J1011" s="15">
        <v>0</v>
      </c>
      <c r="K1011" s="45">
        <f t="shared" si="422"/>
        <v>7</v>
      </c>
      <c r="L1011" s="28">
        <v>0</v>
      </c>
      <c r="M1011" s="33">
        <f t="shared" si="415"/>
        <v>0</v>
      </c>
      <c r="N1011" s="1">
        <v>3315851200</v>
      </c>
    </row>
    <row r="1012" spans="1:14" ht="18" customHeight="1" x14ac:dyDescent="0.45">
      <c r="A1012" s="8">
        <v>1006</v>
      </c>
      <c r="B1012" s="34" t="s">
        <v>85</v>
      </c>
      <c r="C1012" s="34" t="s">
        <v>89</v>
      </c>
      <c r="D1012" s="9" t="s">
        <v>3</v>
      </c>
      <c r="E1012" s="10">
        <v>1</v>
      </c>
      <c r="F1012" s="11">
        <v>3</v>
      </c>
      <c r="G1012" s="12">
        <v>3</v>
      </c>
      <c r="H1012" s="11">
        <v>3</v>
      </c>
      <c r="I1012" s="12">
        <v>3</v>
      </c>
      <c r="J1012" s="10">
        <v>6</v>
      </c>
      <c r="K1012" s="37">
        <f t="shared" ref="K1012" si="433">SUM(M1012:M1016)</f>
        <v>3</v>
      </c>
      <c r="L1012" s="28">
        <v>1</v>
      </c>
      <c r="M1012" s="33">
        <f t="shared" si="415"/>
        <v>1</v>
      </c>
      <c r="N1012" s="1">
        <v>3315881200</v>
      </c>
    </row>
    <row r="1013" spans="1:14" ht="18" customHeight="1" x14ac:dyDescent="0.45">
      <c r="A1013" s="8">
        <v>1007</v>
      </c>
      <c r="B1013" s="35" t="str">
        <f t="shared" ref="B1013:C1016" si="434">B1012</f>
        <v>西日本第一本部</v>
      </c>
      <c r="C1013" s="35" t="str">
        <f t="shared" si="434"/>
        <v>そんぽの家　茶屋が坂</v>
      </c>
      <c r="D1013" s="9" t="s">
        <v>4</v>
      </c>
      <c r="E1013" s="10">
        <v>1</v>
      </c>
      <c r="F1013" s="11">
        <v>5</v>
      </c>
      <c r="G1013" s="12">
        <v>5</v>
      </c>
      <c r="H1013" s="11">
        <v>4</v>
      </c>
      <c r="I1013" s="12">
        <v>4</v>
      </c>
      <c r="J1013" s="10">
        <v>9</v>
      </c>
      <c r="K1013" s="38">
        <f t="shared" si="422"/>
        <v>3</v>
      </c>
      <c r="L1013" s="28">
        <v>2</v>
      </c>
      <c r="M1013" s="33">
        <f t="shared" si="415"/>
        <v>2</v>
      </c>
      <c r="N1013" s="1">
        <v>3315881200</v>
      </c>
    </row>
    <row r="1014" spans="1:14" ht="18" customHeight="1" x14ac:dyDescent="0.45">
      <c r="A1014" s="8">
        <v>1008</v>
      </c>
      <c r="B1014" s="35" t="str">
        <f t="shared" si="434"/>
        <v>西日本第一本部</v>
      </c>
      <c r="C1014" s="35" t="str">
        <f t="shared" si="434"/>
        <v>そんぽの家　茶屋が坂</v>
      </c>
      <c r="D1014" s="9" t="s">
        <v>5</v>
      </c>
      <c r="E1014" s="10">
        <v>0</v>
      </c>
      <c r="F1014" s="11">
        <v>0</v>
      </c>
      <c r="G1014" s="12">
        <v>0</v>
      </c>
      <c r="H1014" s="11">
        <v>0</v>
      </c>
      <c r="I1014" s="12">
        <v>0</v>
      </c>
      <c r="J1014" s="10">
        <v>0</v>
      </c>
      <c r="K1014" s="38">
        <f t="shared" si="422"/>
        <v>3</v>
      </c>
      <c r="L1014" s="28">
        <v>0</v>
      </c>
      <c r="M1014" s="33">
        <f t="shared" si="415"/>
        <v>0</v>
      </c>
      <c r="N1014" s="1">
        <v>3315881200</v>
      </c>
    </row>
    <row r="1015" spans="1:14" ht="18" customHeight="1" x14ac:dyDescent="0.45">
      <c r="A1015" s="8">
        <v>1009</v>
      </c>
      <c r="B1015" s="35" t="str">
        <f t="shared" si="434"/>
        <v>西日本第一本部</v>
      </c>
      <c r="C1015" s="35" t="str">
        <f t="shared" si="434"/>
        <v>そんぽの家　茶屋が坂</v>
      </c>
      <c r="D1015" s="9" t="s">
        <v>6</v>
      </c>
      <c r="E1015" s="10">
        <v>2</v>
      </c>
      <c r="F1015" s="11">
        <v>3</v>
      </c>
      <c r="G1015" s="12">
        <v>1.5</v>
      </c>
      <c r="H1015" s="11">
        <v>0</v>
      </c>
      <c r="I1015" s="12">
        <v>0</v>
      </c>
      <c r="J1015" s="10">
        <v>3</v>
      </c>
      <c r="K1015" s="38">
        <f t="shared" si="422"/>
        <v>3</v>
      </c>
      <c r="L1015" s="28">
        <v>0</v>
      </c>
      <c r="M1015" s="33">
        <f t="shared" si="415"/>
        <v>0</v>
      </c>
      <c r="N1015" s="1">
        <v>3315881200</v>
      </c>
    </row>
    <row r="1016" spans="1:14" ht="18" customHeight="1" x14ac:dyDescent="0.45">
      <c r="A1016" s="8">
        <v>1010</v>
      </c>
      <c r="B1016" s="36" t="str">
        <f t="shared" si="434"/>
        <v>西日本第一本部</v>
      </c>
      <c r="C1016" s="36" t="str">
        <f t="shared" si="434"/>
        <v>そんぽの家　茶屋が坂</v>
      </c>
      <c r="D1016" s="9" t="s">
        <v>2</v>
      </c>
      <c r="E1016" s="10">
        <v>1</v>
      </c>
      <c r="F1016" s="11">
        <v>2</v>
      </c>
      <c r="G1016" s="12">
        <v>2</v>
      </c>
      <c r="H1016" s="11">
        <v>0</v>
      </c>
      <c r="I1016" s="12">
        <v>0</v>
      </c>
      <c r="J1016" s="10">
        <v>2</v>
      </c>
      <c r="K1016" s="39">
        <f t="shared" si="422"/>
        <v>3</v>
      </c>
      <c r="L1016" s="28">
        <v>0</v>
      </c>
      <c r="M1016" s="33">
        <f t="shared" si="415"/>
        <v>0</v>
      </c>
      <c r="N1016" s="1">
        <v>3315881200</v>
      </c>
    </row>
    <row r="1017" spans="1:14" ht="18" customHeight="1" x14ac:dyDescent="0.45">
      <c r="A1017" s="13">
        <v>1011</v>
      </c>
      <c r="B1017" s="40" t="s">
        <v>85</v>
      </c>
      <c r="C1017" s="40" t="s">
        <v>90</v>
      </c>
      <c r="D1017" s="14" t="s">
        <v>3</v>
      </c>
      <c r="E1017" s="15">
        <v>1</v>
      </c>
      <c r="F1017" s="16">
        <v>11</v>
      </c>
      <c r="G1017" s="17">
        <v>11</v>
      </c>
      <c r="H1017" s="16">
        <v>9</v>
      </c>
      <c r="I1017" s="17">
        <v>9</v>
      </c>
      <c r="J1017" s="15">
        <v>20</v>
      </c>
      <c r="K1017" s="43">
        <f t="shared" ref="K1017" si="435">SUM(M1017:M1021)</f>
        <v>7</v>
      </c>
      <c r="L1017" s="28">
        <v>2</v>
      </c>
      <c r="M1017" s="33">
        <f t="shared" si="415"/>
        <v>2</v>
      </c>
      <c r="N1017" s="1">
        <v>3315901200</v>
      </c>
    </row>
    <row r="1018" spans="1:14" ht="18" customHeight="1" x14ac:dyDescent="0.45">
      <c r="A1018" s="13">
        <v>1012</v>
      </c>
      <c r="B1018" s="41" t="str">
        <f t="shared" ref="B1018:C1021" si="436">B1017</f>
        <v>西日本第一本部</v>
      </c>
      <c r="C1018" s="41" t="str">
        <f t="shared" si="436"/>
        <v>そんぽの家　黒川</v>
      </c>
      <c r="D1018" s="14" t="s">
        <v>4</v>
      </c>
      <c r="E1018" s="15">
        <v>1</v>
      </c>
      <c r="F1018" s="16">
        <v>3</v>
      </c>
      <c r="G1018" s="17">
        <v>3</v>
      </c>
      <c r="H1018" s="16">
        <v>1</v>
      </c>
      <c r="I1018" s="17">
        <v>1</v>
      </c>
      <c r="J1018" s="15">
        <v>4</v>
      </c>
      <c r="K1018" s="44">
        <f t="shared" si="422"/>
        <v>7</v>
      </c>
      <c r="L1018" s="28">
        <v>1</v>
      </c>
      <c r="M1018" s="33">
        <f t="shared" si="415"/>
        <v>1</v>
      </c>
      <c r="N1018" s="1">
        <v>3315901200</v>
      </c>
    </row>
    <row r="1019" spans="1:14" ht="18" customHeight="1" x14ac:dyDescent="0.45">
      <c r="A1019" s="13">
        <v>1013</v>
      </c>
      <c r="B1019" s="41" t="str">
        <f t="shared" si="436"/>
        <v>西日本第一本部</v>
      </c>
      <c r="C1019" s="41" t="str">
        <f t="shared" si="436"/>
        <v>そんぽの家　黒川</v>
      </c>
      <c r="D1019" s="14" t="s">
        <v>5</v>
      </c>
      <c r="E1019" s="15">
        <v>1</v>
      </c>
      <c r="F1019" s="16">
        <v>13</v>
      </c>
      <c r="G1019" s="17">
        <v>13</v>
      </c>
      <c r="H1019" s="16">
        <v>0</v>
      </c>
      <c r="I1019" s="17">
        <v>0</v>
      </c>
      <c r="J1019" s="15">
        <v>13</v>
      </c>
      <c r="K1019" s="44">
        <f t="shared" si="422"/>
        <v>7</v>
      </c>
      <c r="L1019" s="28">
        <v>2</v>
      </c>
      <c r="M1019" s="33">
        <f t="shared" si="415"/>
        <v>2</v>
      </c>
      <c r="N1019" s="1">
        <v>3315901200</v>
      </c>
    </row>
    <row r="1020" spans="1:14" ht="18" customHeight="1" x14ac:dyDescent="0.45">
      <c r="A1020" s="13">
        <v>1014</v>
      </c>
      <c r="B1020" s="41" t="str">
        <f t="shared" si="436"/>
        <v>西日本第一本部</v>
      </c>
      <c r="C1020" s="41" t="str">
        <f t="shared" si="436"/>
        <v>そんぽの家　黒川</v>
      </c>
      <c r="D1020" s="14" t="s">
        <v>6</v>
      </c>
      <c r="E1020" s="15">
        <v>3</v>
      </c>
      <c r="F1020" s="16">
        <v>3</v>
      </c>
      <c r="G1020" s="17">
        <v>1</v>
      </c>
      <c r="H1020" s="16">
        <v>0</v>
      </c>
      <c r="I1020" s="17">
        <v>0</v>
      </c>
      <c r="J1020" s="15">
        <v>3</v>
      </c>
      <c r="K1020" s="44">
        <f t="shared" si="422"/>
        <v>7</v>
      </c>
      <c r="L1020" s="28">
        <v>0</v>
      </c>
      <c r="M1020" s="33">
        <f t="shared" si="415"/>
        <v>0</v>
      </c>
      <c r="N1020" s="1">
        <v>3315901200</v>
      </c>
    </row>
    <row r="1021" spans="1:14" ht="18" customHeight="1" x14ac:dyDescent="0.45">
      <c r="A1021" s="13">
        <v>1015</v>
      </c>
      <c r="B1021" s="42" t="str">
        <f t="shared" si="436"/>
        <v>西日本第一本部</v>
      </c>
      <c r="C1021" s="42" t="str">
        <f t="shared" si="436"/>
        <v>そんぽの家　黒川</v>
      </c>
      <c r="D1021" s="14" t="s">
        <v>2</v>
      </c>
      <c r="E1021" s="15">
        <v>1</v>
      </c>
      <c r="F1021" s="16">
        <v>18</v>
      </c>
      <c r="G1021" s="17">
        <v>18</v>
      </c>
      <c r="H1021" s="16">
        <v>0</v>
      </c>
      <c r="I1021" s="17">
        <v>0</v>
      </c>
      <c r="J1021" s="15">
        <v>18</v>
      </c>
      <c r="K1021" s="45">
        <f t="shared" si="422"/>
        <v>7</v>
      </c>
      <c r="L1021" s="28">
        <v>2</v>
      </c>
      <c r="M1021" s="33">
        <f t="shared" si="415"/>
        <v>2</v>
      </c>
      <c r="N1021" s="1">
        <v>3315901200</v>
      </c>
    </row>
    <row r="1022" spans="1:14" ht="18" customHeight="1" x14ac:dyDescent="0.45">
      <c r="A1022" s="8">
        <v>1016</v>
      </c>
      <c r="B1022" s="34" t="s">
        <v>85</v>
      </c>
      <c r="C1022" s="34" t="s">
        <v>91</v>
      </c>
      <c r="D1022" s="9" t="s">
        <v>3</v>
      </c>
      <c r="E1022" s="10">
        <v>1</v>
      </c>
      <c r="F1022" s="11">
        <v>2</v>
      </c>
      <c r="G1022" s="12">
        <v>2</v>
      </c>
      <c r="H1022" s="11">
        <v>2</v>
      </c>
      <c r="I1022" s="12">
        <v>2</v>
      </c>
      <c r="J1022" s="10">
        <v>4</v>
      </c>
      <c r="K1022" s="37">
        <f t="shared" ref="K1022" si="437">SUM(M1022:M1026)</f>
        <v>4</v>
      </c>
      <c r="L1022" s="28">
        <v>1</v>
      </c>
      <c r="M1022" s="33">
        <f t="shared" si="415"/>
        <v>1</v>
      </c>
      <c r="N1022" s="1">
        <v>3315911200</v>
      </c>
    </row>
    <row r="1023" spans="1:14" ht="18" customHeight="1" x14ac:dyDescent="0.45">
      <c r="A1023" s="8">
        <v>1017</v>
      </c>
      <c r="B1023" s="35" t="str">
        <f t="shared" ref="B1023:C1026" si="438">B1022</f>
        <v>西日本第一本部</v>
      </c>
      <c r="C1023" s="35" t="str">
        <f t="shared" si="438"/>
        <v>そんぽの家　豊山</v>
      </c>
      <c r="D1023" s="9" t="s">
        <v>4</v>
      </c>
      <c r="E1023" s="10">
        <v>1</v>
      </c>
      <c r="F1023" s="11">
        <v>3</v>
      </c>
      <c r="G1023" s="12">
        <v>3</v>
      </c>
      <c r="H1023" s="11">
        <v>3</v>
      </c>
      <c r="I1023" s="12">
        <v>3</v>
      </c>
      <c r="J1023" s="10">
        <v>6</v>
      </c>
      <c r="K1023" s="38">
        <f t="shared" si="422"/>
        <v>4</v>
      </c>
      <c r="L1023" s="28">
        <v>1</v>
      </c>
      <c r="M1023" s="33">
        <f t="shared" si="415"/>
        <v>1</v>
      </c>
      <c r="N1023" s="1">
        <v>3315911200</v>
      </c>
    </row>
    <row r="1024" spans="1:14" ht="18" customHeight="1" x14ac:dyDescent="0.45">
      <c r="A1024" s="8">
        <v>1018</v>
      </c>
      <c r="B1024" s="35" t="str">
        <f t="shared" si="438"/>
        <v>西日本第一本部</v>
      </c>
      <c r="C1024" s="35" t="str">
        <f t="shared" si="438"/>
        <v>そんぽの家　豊山</v>
      </c>
      <c r="D1024" s="9" t="s">
        <v>5</v>
      </c>
      <c r="E1024" s="10">
        <v>1</v>
      </c>
      <c r="F1024" s="11">
        <v>51</v>
      </c>
      <c r="G1024" s="12">
        <v>51</v>
      </c>
      <c r="H1024" s="11">
        <v>0</v>
      </c>
      <c r="I1024" s="12">
        <v>0</v>
      </c>
      <c r="J1024" s="10">
        <v>51</v>
      </c>
      <c r="K1024" s="38">
        <f t="shared" si="422"/>
        <v>4</v>
      </c>
      <c r="L1024" s="28">
        <v>2</v>
      </c>
      <c r="M1024" s="33">
        <f t="shared" si="415"/>
        <v>2</v>
      </c>
      <c r="N1024" s="1">
        <v>3315911200</v>
      </c>
    </row>
    <row r="1025" spans="1:14" ht="18" customHeight="1" x14ac:dyDescent="0.45">
      <c r="A1025" s="8">
        <v>1019</v>
      </c>
      <c r="B1025" s="35" t="str">
        <f t="shared" si="438"/>
        <v>西日本第一本部</v>
      </c>
      <c r="C1025" s="35" t="str">
        <f t="shared" si="438"/>
        <v>そんぽの家　豊山</v>
      </c>
      <c r="D1025" s="9" t="s">
        <v>6</v>
      </c>
      <c r="E1025" s="10">
        <v>3</v>
      </c>
      <c r="F1025" s="11">
        <v>0</v>
      </c>
      <c r="G1025" s="12">
        <v>0</v>
      </c>
      <c r="H1025" s="11">
        <v>0</v>
      </c>
      <c r="I1025" s="12">
        <v>0</v>
      </c>
      <c r="J1025" s="10">
        <v>0</v>
      </c>
      <c r="K1025" s="38">
        <f t="shared" si="422"/>
        <v>4</v>
      </c>
      <c r="L1025" s="28">
        <v>0</v>
      </c>
      <c r="M1025" s="33">
        <f t="shared" si="415"/>
        <v>0</v>
      </c>
      <c r="N1025" s="1">
        <v>3315911200</v>
      </c>
    </row>
    <row r="1026" spans="1:14" ht="18" customHeight="1" x14ac:dyDescent="0.45">
      <c r="A1026" s="8">
        <v>1020</v>
      </c>
      <c r="B1026" s="36" t="str">
        <f t="shared" si="438"/>
        <v>西日本第一本部</v>
      </c>
      <c r="C1026" s="36" t="str">
        <f t="shared" si="438"/>
        <v>そんぽの家　豊山</v>
      </c>
      <c r="D1026" s="9" t="s">
        <v>2</v>
      </c>
      <c r="E1026" s="10">
        <v>2</v>
      </c>
      <c r="F1026" s="11">
        <v>0</v>
      </c>
      <c r="G1026" s="12">
        <v>0</v>
      </c>
      <c r="H1026" s="11">
        <v>0</v>
      </c>
      <c r="I1026" s="12">
        <v>0</v>
      </c>
      <c r="J1026" s="10">
        <v>0</v>
      </c>
      <c r="K1026" s="39">
        <f t="shared" si="422"/>
        <v>4</v>
      </c>
      <c r="L1026" s="28">
        <v>0</v>
      </c>
      <c r="M1026" s="33">
        <f t="shared" si="415"/>
        <v>0</v>
      </c>
      <c r="N1026" s="1">
        <v>3315911200</v>
      </c>
    </row>
    <row r="1027" spans="1:14" ht="18" customHeight="1" x14ac:dyDescent="0.45">
      <c r="A1027" s="13">
        <v>1021</v>
      </c>
      <c r="B1027" s="40" t="s">
        <v>85</v>
      </c>
      <c r="C1027" s="40" t="s">
        <v>92</v>
      </c>
      <c r="D1027" s="14" t="s">
        <v>3</v>
      </c>
      <c r="E1027" s="15">
        <v>1</v>
      </c>
      <c r="F1027" s="16">
        <v>14</v>
      </c>
      <c r="G1027" s="17">
        <v>14</v>
      </c>
      <c r="H1027" s="16">
        <v>12</v>
      </c>
      <c r="I1027" s="17">
        <v>12</v>
      </c>
      <c r="J1027" s="15">
        <v>26</v>
      </c>
      <c r="K1027" s="43">
        <f t="shared" ref="K1027" si="439">SUM(M1027:M1031)</f>
        <v>6</v>
      </c>
      <c r="L1027" s="28">
        <v>2</v>
      </c>
      <c r="M1027" s="33">
        <f t="shared" si="415"/>
        <v>2</v>
      </c>
      <c r="N1027" s="1">
        <v>3315921200</v>
      </c>
    </row>
    <row r="1028" spans="1:14" ht="18" customHeight="1" x14ac:dyDescent="0.45">
      <c r="A1028" s="13">
        <v>1022</v>
      </c>
      <c r="B1028" s="41" t="str">
        <f t="shared" ref="B1028:C1031" si="440">B1027</f>
        <v>西日本第一本部</v>
      </c>
      <c r="C1028" s="41" t="str">
        <f t="shared" si="440"/>
        <v>そんぽの家　丸の内</v>
      </c>
      <c r="D1028" s="14" t="s">
        <v>4</v>
      </c>
      <c r="E1028" s="15">
        <v>1</v>
      </c>
      <c r="F1028" s="16">
        <v>2</v>
      </c>
      <c r="G1028" s="17">
        <v>2</v>
      </c>
      <c r="H1028" s="16">
        <v>3</v>
      </c>
      <c r="I1028" s="17">
        <v>3</v>
      </c>
      <c r="J1028" s="15">
        <v>5</v>
      </c>
      <c r="K1028" s="44">
        <f t="shared" si="422"/>
        <v>6</v>
      </c>
      <c r="L1028" s="28">
        <v>1</v>
      </c>
      <c r="M1028" s="33">
        <f t="shared" si="415"/>
        <v>1</v>
      </c>
      <c r="N1028" s="1">
        <v>3315921200</v>
      </c>
    </row>
    <row r="1029" spans="1:14" ht="18" customHeight="1" x14ac:dyDescent="0.45">
      <c r="A1029" s="13">
        <v>1023</v>
      </c>
      <c r="B1029" s="41" t="str">
        <f t="shared" si="440"/>
        <v>西日本第一本部</v>
      </c>
      <c r="C1029" s="41" t="str">
        <f t="shared" si="440"/>
        <v>そんぽの家　丸の内</v>
      </c>
      <c r="D1029" s="14" t="s">
        <v>5</v>
      </c>
      <c r="E1029" s="15">
        <v>1</v>
      </c>
      <c r="F1029" s="16">
        <v>0</v>
      </c>
      <c r="G1029" s="17">
        <v>0</v>
      </c>
      <c r="H1029" s="16">
        <v>0</v>
      </c>
      <c r="I1029" s="17">
        <v>0</v>
      </c>
      <c r="J1029" s="15">
        <v>0</v>
      </c>
      <c r="K1029" s="44">
        <f t="shared" si="422"/>
        <v>6</v>
      </c>
      <c r="L1029" s="28">
        <v>0</v>
      </c>
      <c r="M1029" s="33">
        <f t="shared" si="415"/>
        <v>0</v>
      </c>
      <c r="N1029" s="1">
        <v>3315921200</v>
      </c>
    </row>
    <row r="1030" spans="1:14" ht="18" customHeight="1" x14ac:dyDescent="0.45">
      <c r="A1030" s="13">
        <v>1024</v>
      </c>
      <c r="B1030" s="41" t="str">
        <f t="shared" si="440"/>
        <v>西日本第一本部</v>
      </c>
      <c r="C1030" s="41" t="str">
        <f t="shared" si="440"/>
        <v>そんぽの家　丸の内</v>
      </c>
      <c r="D1030" s="14" t="s">
        <v>6</v>
      </c>
      <c r="E1030" s="15">
        <v>2</v>
      </c>
      <c r="F1030" s="16">
        <v>4</v>
      </c>
      <c r="G1030" s="17">
        <v>2</v>
      </c>
      <c r="H1030" s="16">
        <v>0</v>
      </c>
      <c r="I1030" s="17">
        <v>0</v>
      </c>
      <c r="J1030" s="15">
        <v>4</v>
      </c>
      <c r="K1030" s="44">
        <f t="shared" si="422"/>
        <v>6</v>
      </c>
      <c r="L1030" s="28">
        <v>1</v>
      </c>
      <c r="M1030" s="33">
        <f t="shared" si="415"/>
        <v>1</v>
      </c>
      <c r="N1030" s="1">
        <v>3315921200</v>
      </c>
    </row>
    <row r="1031" spans="1:14" ht="18" customHeight="1" x14ac:dyDescent="0.45">
      <c r="A1031" s="13">
        <v>1025</v>
      </c>
      <c r="B1031" s="42" t="str">
        <f t="shared" si="440"/>
        <v>西日本第一本部</v>
      </c>
      <c r="C1031" s="42" t="str">
        <f t="shared" si="440"/>
        <v>そんぽの家　丸の内</v>
      </c>
      <c r="D1031" s="14" t="s">
        <v>2</v>
      </c>
      <c r="E1031" s="15">
        <v>1</v>
      </c>
      <c r="F1031" s="16">
        <v>16</v>
      </c>
      <c r="G1031" s="17">
        <v>16</v>
      </c>
      <c r="H1031" s="16">
        <v>0</v>
      </c>
      <c r="I1031" s="17">
        <v>0</v>
      </c>
      <c r="J1031" s="15">
        <v>16</v>
      </c>
      <c r="K1031" s="45">
        <f t="shared" si="422"/>
        <v>6</v>
      </c>
      <c r="L1031" s="28">
        <v>2</v>
      </c>
      <c r="M1031" s="33">
        <f t="shared" si="415"/>
        <v>2</v>
      </c>
      <c r="N1031" s="1">
        <v>3315921200</v>
      </c>
    </row>
    <row r="1032" spans="1:14" ht="18" customHeight="1" x14ac:dyDescent="0.45">
      <c r="A1032" s="8">
        <v>1026</v>
      </c>
      <c r="B1032" s="34" t="s">
        <v>85</v>
      </c>
      <c r="C1032" s="34" t="s">
        <v>93</v>
      </c>
      <c r="D1032" s="9" t="s">
        <v>3</v>
      </c>
      <c r="E1032" s="10">
        <v>1</v>
      </c>
      <c r="F1032" s="11">
        <v>11</v>
      </c>
      <c r="G1032" s="12">
        <v>11</v>
      </c>
      <c r="H1032" s="11">
        <v>11</v>
      </c>
      <c r="I1032" s="12">
        <v>11</v>
      </c>
      <c r="J1032" s="10">
        <v>22</v>
      </c>
      <c r="K1032" s="37">
        <f t="shared" ref="K1032" si="441">SUM(M1032:M1036)</f>
        <v>6</v>
      </c>
      <c r="L1032" s="28">
        <v>2</v>
      </c>
      <c r="M1032" s="33">
        <f t="shared" ref="M1032:M1095" si="442">L1032</f>
        <v>2</v>
      </c>
      <c r="N1032" s="1">
        <v>3315931200</v>
      </c>
    </row>
    <row r="1033" spans="1:14" ht="18" customHeight="1" x14ac:dyDescent="0.45">
      <c r="A1033" s="8">
        <v>1027</v>
      </c>
      <c r="B1033" s="35" t="str">
        <f t="shared" ref="B1033:C1036" si="443">B1032</f>
        <v>西日本第一本部</v>
      </c>
      <c r="C1033" s="35" t="str">
        <f t="shared" si="443"/>
        <v>そんぽの家　吹上</v>
      </c>
      <c r="D1033" s="9" t="s">
        <v>4</v>
      </c>
      <c r="E1033" s="10">
        <v>1</v>
      </c>
      <c r="F1033" s="11">
        <v>0</v>
      </c>
      <c r="G1033" s="12">
        <v>0</v>
      </c>
      <c r="H1033" s="11">
        <v>0</v>
      </c>
      <c r="I1033" s="12">
        <v>0</v>
      </c>
      <c r="J1033" s="10">
        <v>0</v>
      </c>
      <c r="K1033" s="38">
        <f t="shared" si="422"/>
        <v>6</v>
      </c>
      <c r="L1033" s="28">
        <v>0</v>
      </c>
      <c r="M1033" s="33">
        <f t="shared" si="442"/>
        <v>0</v>
      </c>
      <c r="N1033" s="1">
        <v>3315931200</v>
      </c>
    </row>
    <row r="1034" spans="1:14" ht="18" customHeight="1" x14ac:dyDescent="0.45">
      <c r="A1034" s="8">
        <v>1028</v>
      </c>
      <c r="B1034" s="35" t="str">
        <f t="shared" si="443"/>
        <v>西日本第一本部</v>
      </c>
      <c r="C1034" s="35" t="str">
        <f t="shared" si="443"/>
        <v>そんぽの家　吹上</v>
      </c>
      <c r="D1034" s="9" t="s">
        <v>5</v>
      </c>
      <c r="E1034" s="10">
        <v>2</v>
      </c>
      <c r="F1034" s="11">
        <v>27</v>
      </c>
      <c r="G1034" s="12">
        <v>13.5</v>
      </c>
      <c r="H1034" s="11">
        <v>0</v>
      </c>
      <c r="I1034" s="12">
        <v>0</v>
      </c>
      <c r="J1034" s="10">
        <v>27</v>
      </c>
      <c r="K1034" s="38">
        <f t="shared" si="422"/>
        <v>6</v>
      </c>
      <c r="L1034" s="28">
        <v>2</v>
      </c>
      <c r="M1034" s="33">
        <f t="shared" si="442"/>
        <v>2</v>
      </c>
      <c r="N1034" s="1">
        <v>3315931200</v>
      </c>
    </row>
    <row r="1035" spans="1:14" ht="18" customHeight="1" x14ac:dyDescent="0.45">
      <c r="A1035" s="8">
        <v>1029</v>
      </c>
      <c r="B1035" s="35" t="str">
        <f t="shared" si="443"/>
        <v>西日本第一本部</v>
      </c>
      <c r="C1035" s="35" t="str">
        <f t="shared" si="443"/>
        <v>そんぽの家　吹上</v>
      </c>
      <c r="D1035" s="9" t="s">
        <v>6</v>
      </c>
      <c r="E1035" s="10">
        <v>4</v>
      </c>
      <c r="F1035" s="11">
        <v>11</v>
      </c>
      <c r="G1035" s="12">
        <v>2.8</v>
      </c>
      <c r="H1035" s="11">
        <v>0</v>
      </c>
      <c r="I1035" s="12">
        <v>0</v>
      </c>
      <c r="J1035" s="10">
        <v>11</v>
      </c>
      <c r="K1035" s="38">
        <f t="shared" si="422"/>
        <v>6</v>
      </c>
      <c r="L1035" s="28">
        <v>2</v>
      </c>
      <c r="M1035" s="33">
        <f t="shared" si="442"/>
        <v>2</v>
      </c>
      <c r="N1035" s="1">
        <v>3315931200</v>
      </c>
    </row>
    <row r="1036" spans="1:14" ht="18" customHeight="1" x14ac:dyDescent="0.45">
      <c r="A1036" s="8">
        <v>1030</v>
      </c>
      <c r="B1036" s="36" t="str">
        <f t="shared" si="443"/>
        <v>西日本第一本部</v>
      </c>
      <c r="C1036" s="36" t="str">
        <f t="shared" si="443"/>
        <v>そんぽの家　吹上</v>
      </c>
      <c r="D1036" s="9" t="s">
        <v>2</v>
      </c>
      <c r="E1036" s="10">
        <v>0</v>
      </c>
      <c r="F1036" s="11">
        <v>0</v>
      </c>
      <c r="G1036" s="12">
        <v>0</v>
      </c>
      <c r="H1036" s="11">
        <v>0</v>
      </c>
      <c r="I1036" s="12">
        <v>0</v>
      </c>
      <c r="J1036" s="10">
        <v>0</v>
      </c>
      <c r="K1036" s="39">
        <f t="shared" si="422"/>
        <v>6</v>
      </c>
      <c r="L1036" s="28">
        <v>0</v>
      </c>
      <c r="M1036" s="33">
        <f t="shared" si="442"/>
        <v>0</v>
      </c>
      <c r="N1036" s="1">
        <v>3315931200</v>
      </c>
    </row>
    <row r="1037" spans="1:14" ht="18" customHeight="1" x14ac:dyDescent="0.45">
      <c r="A1037" s="13">
        <v>1031</v>
      </c>
      <c r="B1037" s="40" t="s">
        <v>85</v>
      </c>
      <c r="C1037" s="40" t="s">
        <v>94</v>
      </c>
      <c r="D1037" s="14" t="s">
        <v>3</v>
      </c>
      <c r="E1037" s="15">
        <v>1</v>
      </c>
      <c r="F1037" s="16">
        <v>10</v>
      </c>
      <c r="G1037" s="17">
        <v>10</v>
      </c>
      <c r="H1037" s="16">
        <v>9</v>
      </c>
      <c r="I1037" s="17">
        <v>9</v>
      </c>
      <c r="J1037" s="15">
        <v>19</v>
      </c>
      <c r="K1037" s="43">
        <f t="shared" ref="K1037" si="444">SUM(M1037:M1041)</f>
        <v>9</v>
      </c>
      <c r="L1037" s="28">
        <v>2</v>
      </c>
      <c r="M1037" s="33">
        <f t="shared" si="442"/>
        <v>2</v>
      </c>
      <c r="N1037" s="1">
        <v>3315961100</v>
      </c>
    </row>
    <row r="1038" spans="1:14" ht="18" customHeight="1" x14ac:dyDescent="0.45">
      <c r="A1038" s="13">
        <v>1032</v>
      </c>
      <c r="B1038" s="41" t="str">
        <f t="shared" ref="B1038:C1041" si="445">B1037</f>
        <v>西日本第一本部</v>
      </c>
      <c r="C1038" s="41" t="str">
        <f t="shared" si="445"/>
        <v>そんぽの家　高辻</v>
      </c>
      <c r="D1038" s="14" t="s">
        <v>4</v>
      </c>
      <c r="E1038" s="15">
        <v>1</v>
      </c>
      <c r="F1038" s="16">
        <v>18</v>
      </c>
      <c r="G1038" s="17">
        <v>18</v>
      </c>
      <c r="H1038" s="16">
        <v>4</v>
      </c>
      <c r="I1038" s="17">
        <v>4</v>
      </c>
      <c r="J1038" s="15">
        <v>22</v>
      </c>
      <c r="K1038" s="44">
        <f t="shared" si="422"/>
        <v>9</v>
      </c>
      <c r="L1038" s="28">
        <v>2</v>
      </c>
      <c r="M1038" s="33">
        <f t="shared" si="442"/>
        <v>2</v>
      </c>
      <c r="N1038" s="1">
        <v>3315961100</v>
      </c>
    </row>
    <row r="1039" spans="1:14" ht="18" customHeight="1" x14ac:dyDescent="0.45">
      <c r="A1039" s="13">
        <v>1033</v>
      </c>
      <c r="B1039" s="41" t="str">
        <f t="shared" si="445"/>
        <v>西日本第一本部</v>
      </c>
      <c r="C1039" s="41" t="str">
        <f t="shared" si="445"/>
        <v>そんぽの家　高辻</v>
      </c>
      <c r="D1039" s="14" t="s">
        <v>5</v>
      </c>
      <c r="E1039" s="15">
        <v>1</v>
      </c>
      <c r="F1039" s="16">
        <v>8</v>
      </c>
      <c r="G1039" s="17">
        <v>8</v>
      </c>
      <c r="H1039" s="16">
        <v>0</v>
      </c>
      <c r="I1039" s="17">
        <v>0</v>
      </c>
      <c r="J1039" s="15">
        <v>8</v>
      </c>
      <c r="K1039" s="44">
        <f t="shared" si="422"/>
        <v>9</v>
      </c>
      <c r="L1039" s="28">
        <v>2</v>
      </c>
      <c r="M1039" s="33">
        <f t="shared" si="442"/>
        <v>2</v>
      </c>
      <c r="N1039" s="1">
        <v>3315961100</v>
      </c>
    </row>
    <row r="1040" spans="1:14" ht="18" customHeight="1" x14ac:dyDescent="0.45">
      <c r="A1040" s="13">
        <v>1034</v>
      </c>
      <c r="B1040" s="41" t="str">
        <f t="shared" si="445"/>
        <v>西日本第一本部</v>
      </c>
      <c r="C1040" s="41" t="str">
        <f t="shared" si="445"/>
        <v>そんぽの家　高辻</v>
      </c>
      <c r="D1040" s="14" t="s">
        <v>6</v>
      </c>
      <c r="E1040" s="15">
        <v>3</v>
      </c>
      <c r="F1040" s="16">
        <v>5</v>
      </c>
      <c r="G1040" s="17">
        <v>1.7</v>
      </c>
      <c r="H1040" s="16">
        <v>0</v>
      </c>
      <c r="I1040" s="17">
        <v>0</v>
      </c>
      <c r="J1040" s="15">
        <v>5</v>
      </c>
      <c r="K1040" s="44">
        <f t="shared" si="422"/>
        <v>9</v>
      </c>
      <c r="L1040" s="28">
        <v>1</v>
      </c>
      <c r="M1040" s="33">
        <f t="shared" si="442"/>
        <v>1</v>
      </c>
      <c r="N1040" s="1">
        <v>3315961100</v>
      </c>
    </row>
    <row r="1041" spans="1:14" ht="18" customHeight="1" x14ac:dyDescent="0.45">
      <c r="A1041" s="13">
        <v>1035</v>
      </c>
      <c r="B1041" s="42" t="str">
        <f t="shared" si="445"/>
        <v>西日本第一本部</v>
      </c>
      <c r="C1041" s="42" t="str">
        <f t="shared" si="445"/>
        <v>そんぽの家　高辻</v>
      </c>
      <c r="D1041" s="14" t="s">
        <v>2</v>
      </c>
      <c r="E1041" s="15">
        <v>2</v>
      </c>
      <c r="F1041" s="16">
        <v>28</v>
      </c>
      <c r="G1041" s="17">
        <v>14</v>
      </c>
      <c r="H1041" s="16">
        <v>0</v>
      </c>
      <c r="I1041" s="17">
        <v>0</v>
      </c>
      <c r="J1041" s="15">
        <v>28</v>
      </c>
      <c r="K1041" s="45">
        <f t="shared" si="422"/>
        <v>9</v>
      </c>
      <c r="L1041" s="28">
        <v>2</v>
      </c>
      <c r="M1041" s="33">
        <f t="shared" si="442"/>
        <v>2</v>
      </c>
      <c r="N1041" s="1">
        <v>3315961100</v>
      </c>
    </row>
    <row r="1042" spans="1:14" ht="18" customHeight="1" x14ac:dyDescent="0.45">
      <c r="A1042" s="8">
        <v>1036</v>
      </c>
      <c r="B1042" s="34" t="s">
        <v>85</v>
      </c>
      <c r="C1042" s="34" t="s">
        <v>95</v>
      </c>
      <c r="D1042" s="9" t="s">
        <v>3</v>
      </c>
      <c r="E1042" s="10">
        <v>1</v>
      </c>
      <c r="F1042" s="11">
        <v>9</v>
      </c>
      <c r="G1042" s="12">
        <v>9</v>
      </c>
      <c r="H1042" s="11">
        <v>1</v>
      </c>
      <c r="I1042" s="12">
        <v>1</v>
      </c>
      <c r="J1042" s="10">
        <v>10</v>
      </c>
      <c r="K1042" s="37">
        <f t="shared" ref="K1042" si="446">SUM(M1042:M1046)</f>
        <v>8</v>
      </c>
      <c r="L1042" s="28">
        <v>2</v>
      </c>
      <c r="M1042" s="33">
        <f t="shared" si="442"/>
        <v>2</v>
      </c>
      <c r="N1042" s="1">
        <v>3315981200</v>
      </c>
    </row>
    <row r="1043" spans="1:14" ht="18" customHeight="1" x14ac:dyDescent="0.45">
      <c r="A1043" s="8">
        <v>1037</v>
      </c>
      <c r="B1043" s="35" t="str">
        <f t="shared" ref="B1043:C1046" si="447">B1042</f>
        <v>西日本第一本部</v>
      </c>
      <c r="C1043" s="35" t="str">
        <f t="shared" si="447"/>
        <v>そんぽの家　浄心</v>
      </c>
      <c r="D1043" s="9" t="s">
        <v>4</v>
      </c>
      <c r="E1043" s="10">
        <v>1</v>
      </c>
      <c r="F1043" s="11">
        <v>22</v>
      </c>
      <c r="G1043" s="12">
        <v>22</v>
      </c>
      <c r="H1043" s="11">
        <v>20</v>
      </c>
      <c r="I1043" s="12">
        <v>20</v>
      </c>
      <c r="J1043" s="10">
        <v>42</v>
      </c>
      <c r="K1043" s="38">
        <f t="shared" si="422"/>
        <v>8</v>
      </c>
      <c r="L1043" s="28">
        <v>2</v>
      </c>
      <c r="M1043" s="33">
        <f t="shared" si="442"/>
        <v>2</v>
      </c>
      <c r="N1043" s="1">
        <v>3315981200</v>
      </c>
    </row>
    <row r="1044" spans="1:14" ht="18" customHeight="1" x14ac:dyDescent="0.45">
      <c r="A1044" s="8">
        <v>1038</v>
      </c>
      <c r="B1044" s="35" t="str">
        <f t="shared" si="447"/>
        <v>西日本第一本部</v>
      </c>
      <c r="C1044" s="35" t="str">
        <f t="shared" si="447"/>
        <v>そんぽの家　浄心</v>
      </c>
      <c r="D1044" s="9" t="s">
        <v>5</v>
      </c>
      <c r="E1044" s="10">
        <v>2</v>
      </c>
      <c r="F1044" s="11">
        <v>22</v>
      </c>
      <c r="G1044" s="12">
        <v>11</v>
      </c>
      <c r="H1044" s="11">
        <v>0</v>
      </c>
      <c r="I1044" s="12">
        <v>0</v>
      </c>
      <c r="J1044" s="10">
        <v>22</v>
      </c>
      <c r="K1044" s="38">
        <f t="shared" si="422"/>
        <v>8</v>
      </c>
      <c r="L1044" s="28">
        <v>2</v>
      </c>
      <c r="M1044" s="33">
        <f t="shared" si="442"/>
        <v>2</v>
      </c>
      <c r="N1044" s="1">
        <v>3315981200</v>
      </c>
    </row>
    <row r="1045" spans="1:14" ht="18" customHeight="1" x14ac:dyDescent="0.45">
      <c r="A1045" s="8">
        <v>1039</v>
      </c>
      <c r="B1045" s="35" t="str">
        <f t="shared" si="447"/>
        <v>西日本第一本部</v>
      </c>
      <c r="C1045" s="35" t="str">
        <f t="shared" si="447"/>
        <v>そんぽの家　浄心</v>
      </c>
      <c r="D1045" s="9" t="s">
        <v>6</v>
      </c>
      <c r="E1045" s="10">
        <v>3</v>
      </c>
      <c r="F1045" s="11">
        <v>1</v>
      </c>
      <c r="G1045" s="12">
        <v>0.3</v>
      </c>
      <c r="H1045" s="11">
        <v>0</v>
      </c>
      <c r="I1045" s="12">
        <v>0</v>
      </c>
      <c r="J1045" s="10">
        <v>1</v>
      </c>
      <c r="K1045" s="38">
        <f t="shared" si="422"/>
        <v>8</v>
      </c>
      <c r="L1045" s="28">
        <v>0</v>
      </c>
      <c r="M1045" s="33">
        <f t="shared" si="442"/>
        <v>0</v>
      </c>
      <c r="N1045" s="1">
        <v>3315981200</v>
      </c>
    </row>
    <row r="1046" spans="1:14" ht="18" customHeight="1" x14ac:dyDescent="0.45">
      <c r="A1046" s="8">
        <v>1040</v>
      </c>
      <c r="B1046" s="36" t="str">
        <f t="shared" si="447"/>
        <v>西日本第一本部</v>
      </c>
      <c r="C1046" s="36" t="str">
        <f t="shared" si="447"/>
        <v>そんぽの家　浄心</v>
      </c>
      <c r="D1046" s="9" t="s">
        <v>2</v>
      </c>
      <c r="E1046" s="10">
        <v>2</v>
      </c>
      <c r="F1046" s="11">
        <v>8</v>
      </c>
      <c r="G1046" s="12">
        <v>4</v>
      </c>
      <c r="H1046" s="11">
        <v>0</v>
      </c>
      <c r="I1046" s="12">
        <v>0</v>
      </c>
      <c r="J1046" s="10">
        <v>8</v>
      </c>
      <c r="K1046" s="39">
        <f t="shared" si="422"/>
        <v>8</v>
      </c>
      <c r="L1046" s="28">
        <v>2</v>
      </c>
      <c r="M1046" s="33">
        <f t="shared" si="442"/>
        <v>2</v>
      </c>
      <c r="N1046" s="1">
        <v>3315981200</v>
      </c>
    </row>
    <row r="1047" spans="1:14" ht="18" customHeight="1" x14ac:dyDescent="0.45">
      <c r="A1047" s="13">
        <v>1041</v>
      </c>
      <c r="B1047" s="40" t="s">
        <v>85</v>
      </c>
      <c r="C1047" s="40" t="s">
        <v>309</v>
      </c>
      <c r="D1047" s="14" t="s">
        <v>3</v>
      </c>
      <c r="E1047" s="15">
        <v>1</v>
      </c>
      <c r="F1047" s="16">
        <v>18</v>
      </c>
      <c r="G1047" s="17">
        <v>18</v>
      </c>
      <c r="H1047" s="16">
        <v>18</v>
      </c>
      <c r="I1047" s="17">
        <v>18</v>
      </c>
      <c r="J1047" s="15">
        <v>36</v>
      </c>
      <c r="K1047" s="43">
        <f t="shared" ref="K1047" si="448">SUM(M1047:M1051)</f>
        <v>8</v>
      </c>
      <c r="L1047" s="28">
        <v>2</v>
      </c>
      <c r="M1047" s="33">
        <f t="shared" si="442"/>
        <v>2</v>
      </c>
      <c r="N1047" s="1">
        <v>3315991100</v>
      </c>
    </row>
    <row r="1048" spans="1:14" ht="18" customHeight="1" x14ac:dyDescent="0.45">
      <c r="A1048" s="13">
        <v>1042</v>
      </c>
      <c r="B1048" s="41" t="str">
        <f t="shared" ref="B1048:C1051" si="449">B1047</f>
        <v>西日本第一本部</v>
      </c>
      <c r="C1048" s="41" t="str">
        <f t="shared" si="449"/>
        <v>ラヴィーレ名古屋</v>
      </c>
      <c r="D1048" s="14" t="s">
        <v>4</v>
      </c>
      <c r="E1048" s="15">
        <v>2</v>
      </c>
      <c r="F1048" s="16">
        <v>8</v>
      </c>
      <c r="G1048" s="17">
        <v>4</v>
      </c>
      <c r="H1048" s="16">
        <v>16</v>
      </c>
      <c r="I1048" s="17">
        <v>8</v>
      </c>
      <c r="J1048" s="15">
        <v>24</v>
      </c>
      <c r="K1048" s="44">
        <f t="shared" ref="K1048:K1111" si="450">K1047</f>
        <v>8</v>
      </c>
      <c r="L1048" s="28">
        <v>2</v>
      </c>
      <c r="M1048" s="33">
        <f t="shared" si="442"/>
        <v>2</v>
      </c>
      <c r="N1048" s="1">
        <v>3315991100</v>
      </c>
    </row>
    <row r="1049" spans="1:14" ht="18" customHeight="1" x14ac:dyDescent="0.45">
      <c r="A1049" s="13">
        <v>1043</v>
      </c>
      <c r="B1049" s="41" t="str">
        <f t="shared" si="449"/>
        <v>西日本第一本部</v>
      </c>
      <c r="C1049" s="41" t="str">
        <f t="shared" si="449"/>
        <v>ラヴィーレ名古屋</v>
      </c>
      <c r="D1049" s="14" t="s">
        <v>5</v>
      </c>
      <c r="E1049" s="15">
        <v>2</v>
      </c>
      <c r="F1049" s="16">
        <v>12</v>
      </c>
      <c r="G1049" s="17">
        <v>6</v>
      </c>
      <c r="H1049" s="16">
        <v>0</v>
      </c>
      <c r="I1049" s="17">
        <v>0</v>
      </c>
      <c r="J1049" s="15">
        <v>12</v>
      </c>
      <c r="K1049" s="44">
        <f t="shared" si="450"/>
        <v>8</v>
      </c>
      <c r="L1049" s="28">
        <v>2</v>
      </c>
      <c r="M1049" s="33">
        <f t="shared" si="442"/>
        <v>2</v>
      </c>
      <c r="N1049" s="1">
        <v>3315991100</v>
      </c>
    </row>
    <row r="1050" spans="1:14" ht="18" customHeight="1" x14ac:dyDescent="0.45">
      <c r="A1050" s="13">
        <v>1044</v>
      </c>
      <c r="B1050" s="41" t="str">
        <f t="shared" si="449"/>
        <v>西日本第一本部</v>
      </c>
      <c r="C1050" s="41" t="str">
        <f t="shared" si="449"/>
        <v>ラヴィーレ名古屋</v>
      </c>
      <c r="D1050" s="14" t="s">
        <v>6</v>
      </c>
      <c r="E1050" s="15">
        <v>3</v>
      </c>
      <c r="F1050" s="16">
        <v>0</v>
      </c>
      <c r="G1050" s="17">
        <v>0</v>
      </c>
      <c r="H1050" s="16">
        <v>0</v>
      </c>
      <c r="I1050" s="17">
        <v>0</v>
      </c>
      <c r="J1050" s="15">
        <v>0</v>
      </c>
      <c r="K1050" s="44">
        <f t="shared" si="450"/>
        <v>8</v>
      </c>
      <c r="L1050" s="28">
        <v>0</v>
      </c>
      <c r="M1050" s="33">
        <f t="shared" si="442"/>
        <v>0</v>
      </c>
      <c r="N1050" s="1">
        <v>3315991100</v>
      </c>
    </row>
    <row r="1051" spans="1:14" ht="18" customHeight="1" x14ac:dyDescent="0.45">
      <c r="A1051" s="13">
        <v>1045</v>
      </c>
      <c r="B1051" s="42" t="str">
        <f t="shared" si="449"/>
        <v>西日本第一本部</v>
      </c>
      <c r="C1051" s="42" t="str">
        <f t="shared" si="449"/>
        <v>ラヴィーレ名古屋</v>
      </c>
      <c r="D1051" s="14" t="s">
        <v>2</v>
      </c>
      <c r="E1051" s="15">
        <v>3</v>
      </c>
      <c r="F1051" s="16">
        <v>90</v>
      </c>
      <c r="G1051" s="17">
        <v>30</v>
      </c>
      <c r="H1051" s="16">
        <v>0</v>
      </c>
      <c r="I1051" s="17">
        <v>0</v>
      </c>
      <c r="J1051" s="15">
        <v>90</v>
      </c>
      <c r="K1051" s="45">
        <f t="shared" si="450"/>
        <v>8</v>
      </c>
      <c r="L1051" s="28">
        <v>2</v>
      </c>
      <c r="M1051" s="33">
        <f t="shared" si="442"/>
        <v>2</v>
      </c>
      <c r="N1051" s="1">
        <v>3315991100</v>
      </c>
    </row>
    <row r="1052" spans="1:14" ht="18" customHeight="1" x14ac:dyDescent="0.45">
      <c r="A1052" s="8">
        <v>1046</v>
      </c>
      <c r="B1052" s="34" t="s">
        <v>85</v>
      </c>
      <c r="C1052" s="34" t="s">
        <v>96</v>
      </c>
      <c r="D1052" s="9" t="s">
        <v>3</v>
      </c>
      <c r="E1052" s="10">
        <v>1</v>
      </c>
      <c r="F1052" s="11">
        <v>15</v>
      </c>
      <c r="G1052" s="12">
        <v>15</v>
      </c>
      <c r="H1052" s="11">
        <v>13</v>
      </c>
      <c r="I1052" s="12">
        <v>13</v>
      </c>
      <c r="J1052" s="10">
        <v>28</v>
      </c>
      <c r="K1052" s="37">
        <f t="shared" ref="K1052" si="451">SUM(M1052:M1056)</f>
        <v>6</v>
      </c>
      <c r="L1052" s="28">
        <v>2</v>
      </c>
      <c r="M1052" s="33">
        <f t="shared" si="442"/>
        <v>2</v>
      </c>
      <c r="N1052" s="1">
        <v>3316001200</v>
      </c>
    </row>
    <row r="1053" spans="1:14" ht="18" customHeight="1" x14ac:dyDescent="0.45">
      <c r="A1053" s="8">
        <v>1047</v>
      </c>
      <c r="B1053" s="35" t="str">
        <f t="shared" ref="B1053:C1056" si="452">B1052</f>
        <v>西日本第一本部</v>
      </c>
      <c r="C1053" s="35" t="str">
        <f t="shared" si="452"/>
        <v>そんぽの家　中村公園</v>
      </c>
      <c r="D1053" s="9" t="s">
        <v>4</v>
      </c>
      <c r="E1053" s="10">
        <v>1</v>
      </c>
      <c r="F1053" s="11">
        <v>16</v>
      </c>
      <c r="G1053" s="12">
        <v>16</v>
      </c>
      <c r="H1053" s="11">
        <v>13</v>
      </c>
      <c r="I1053" s="12">
        <v>13</v>
      </c>
      <c r="J1053" s="10">
        <v>29</v>
      </c>
      <c r="K1053" s="38">
        <f t="shared" si="450"/>
        <v>6</v>
      </c>
      <c r="L1053" s="28">
        <v>2</v>
      </c>
      <c r="M1053" s="33">
        <f t="shared" si="442"/>
        <v>2</v>
      </c>
      <c r="N1053" s="1">
        <v>3316001200</v>
      </c>
    </row>
    <row r="1054" spans="1:14" ht="18" customHeight="1" x14ac:dyDescent="0.45">
      <c r="A1054" s="8">
        <v>1048</v>
      </c>
      <c r="B1054" s="35" t="str">
        <f t="shared" si="452"/>
        <v>西日本第一本部</v>
      </c>
      <c r="C1054" s="35" t="str">
        <f t="shared" si="452"/>
        <v>そんぽの家　中村公園</v>
      </c>
      <c r="D1054" s="9" t="s">
        <v>5</v>
      </c>
      <c r="E1054" s="10">
        <v>2</v>
      </c>
      <c r="F1054" s="11">
        <v>56</v>
      </c>
      <c r="G1054" s="12">
        <v>28</v>
      </c>
      <c r="H1054" s="11">
        <v>0</v>
      </c>
      <c r="I1054" s="12">
        <v>0</v>
      </c>
      <c r="J1054" s="10">
        <v>56</v>
      </c>
      <c r="K1054" s="38">
        <f t="shared" si="450"/>
        <v>6</v>
      </c>
      <c r="L1054" s="28">
        <v>2</v>
      </c>
      <c r="M1054" s="33">
        <f t="shared" si="442"/>
        <v>2</v>
      </c>
      <c r="N1054" s="1">
        <v>3316001200</v>
      </c>
    </row>
    <row r="1055" spans="1:14" ht="18" customHeight="1" x14ac:dyDescent="0.45">
      <c r="A1055" s="8">
        <v>1049</v>
      </c>
      <c r="B1055" s="35" t="str">
        <f t="shared" si="452"/>
        <v>西日本第一本部</v>
      </c>
      <c r="C1055" s="35" t="str">
        <f t="shared" si="452"/>
        <v>そんぽの家　中村公園</v>
      </c>
      <c r="D1055" s="9" t="s">
        <v>6</v>
      </c>
      <c r="E1055" s="10">
        <v>3</v>
      </c>
      <c r="F1055" s="11">
        <v>0</v>
      </c>
      <c r="G1055" s="12">
        <v>0</v>
      </c>
      <c r="H1055" s="11">
        <v>0</v>
      </c>
      <c r="I1055" s="12">
        <v>0</v>
      </c>
      <c r="J1055" s="10">
        <v>0</v>
      </c>
      <c r="K1055" s="38">
        <f t="shared" si="450"/>
        <v>6</v>
      </c>
      <c r="L1055" s="28">
        <v>0</v>
      </c>
      <c r="M1055" s="33">
        <f t="shared" si="442"/>
        <v>0</v>
      </c>
      <c r="N1055" s="1">
        <v>3316001200</v>
      </c>
    </row>
    <row r="1056" spans="1:14" ht="18" customHeight="1" x14ac:dyDescent="0.45">
      <c r="A1056" s="8">
        <v>1050</v>
      </c>
      <c r="B1056" s="36" t="str">
        <f t="shared" si="452"/>
        <v>西日本第一本部</v>
      </c>
      <c r="C1056" s="36" t="str">
        <f t="shared" si="452"/>
        <v>そんぽの家　中村公園</v>
      </c>
      <c r="D1056" s="9" t="s">
        <v>2</v>
      </c>
      <c r="E1056" s="10">
        <v>1</v>
      </c>
      <c r="F1056" s="11">
        <v>0</v>
      </c>
      <c r="G1056" s="12">
        <v>0</v>
      </c>
      <c r="H1056" s="11">
        <v>0</v>
      </c>
      <c r="I1056" s="12">
        <v>0</v>
      </c>
      <c r="J1056" s="10">
        <v>0</v>
      </c>
      <c r="K1056" s="39">
        <f t="shared" si="450"/>
        <v>6</v>
      </c>
      <c r="L1056" s="28">
        <v>0</v>
      </c>
      <c r="M1056" s="33">
        <f t="shared" si="442"/>
        <v>0</v>
      </c>
      <c r="N1056" s="1">
        <v>3316001200</v>
      </c>
    </row>
    <row r="1057" spans="1:14" ht="18" customHeight="1" x14ac:dyDescent="0.45">
      <c r="A1057" s="13">
        <v>1051</v>
      </c>
      <c r="B1057" s="40" t="s">
        <v>85</v>
      </c>
      <c r="C1057" s="40" t="s">
        <v>97</v>
      </c>
      <c r="D1057" s="14" t="s">
        <v>3</v>
      </c>
      <c r="E1057" s="15">
        <v>1</v>
      </c>
      <c r="F1057" s="16">
        <v>7</v>
      </c>
      <c r="G1057" s="17">
        <v>7</v>
      </c>
      <c r="H1057" s="16">
        <v>7</v>
      </c>
      <c r="I1057" s="17">
        <v>7</v>
      </c>
      <c r="J1057" s="15">
        <v>14</v>
      </c>
      <c r="K1057" s="43">
        <f t="shared" ref="K1057" si="453">SUM(M1057:M1061)</f>
        <v>7</v>
      </c>
      <c r="L1057" s="28">
        <v>2</v>
      </c>
      <c r="M1057" s="33">
        <f t="shared" si="442"/>
        <v>2</v>
      </c>
      <c r="N1057" s="1">
        <v>3316011200</v>
      </c>
    </row>
    <row r="1058" spans="1:14" ht="18" customHeight="1" x14ac:dyDescent="0.45">
      <c r="A1058" s="13">
        <v>1052</v>
      </c>
      <c r="B1058" s="41" t="str">
        <f t="shared" ref="B1058:C1061" si="454">B1057</f>
        <v>西日本第一本部</v>
      </c>
      <c r="C1058" s="41" t="str">
        <f t="shared" si="454"/>
        <v>そんぽの家　植田一本松</v>
      </c>
      <c r="D1058" s="14" t="s">
        <v>4</v>
      </c>
      <c r="E1058" s="15">
        <v>1</v>
      </c>
      <c r="F1058" s="16">
        <v>7</v>
      </c>
      <c r="G1058" s="17">
        <v>7</v>
      </c>
      <c r="H1058" s="16">
        <v>5</v>
      </c>
      <c r="I1058" s="17">
        <v>5</v>
      </c>
      <c r="J1058" s="15">
        <v>12</v>
      </c>
      <c r="K1058" s="44">
        <f t="shared" si="450"/>
        <v>7</v>
      </c>
      <c r="L1058" s="28">
        <v>2</v>
      </c>
      <c r="M1058" s="33">
        <f t="shared" si="442"/>
        <v>2</v>
      </c>
      <c r="N1058" s="1">
        <v>3316011200</v>
      </c>
    </row>
    <row r="1059" spans="1:14" ht="18" customHeight="1" x14ac:dyDescent="0.45">
      <c r="A1059" s="13">
        <v>1053</v>
      </c>
      <c r="B1059" s="41" t="str">
        <f t="shared" si="454"/>
        <v>西日本第一本部</v>
      </c>
      <c r="C1059" s="41" t="str">
        <f t="shared" si="454"/>
        <v>そんぽの家　植田一本松</v>
      </c>
      <c r="D1059" s="14" t="s">
        <v>5</v>
      </c>
      <c r="E1059" s="15">
        <v>2</v>
      </c>
      <c r="F1059" s="16">
        <v>19</v>
      </c>
      <c r="G1059" s="17">
        <v>9.5</v>
      </c>
      <c r="H1059" s="16">
        <v>0</v>
      </c>
      <c r="I1059" s="17">
        <v>0</v>
      </c>
      <c r="J1059" s="15">
        <v>19</v>
      </c>
      <c r="K1059" s="44">
        <f t="shared" si="450"/>
        <v>7</v>
      </c>
      <c r="L1059" s="28">
        <v>2</v>
      </c>
      <c r="M1059" s="33">
        <f t="shared" si="442"/>
        <v>2</v>
      </c>
      <c r="N1059" s="1">
        <v>3316011200</v>
      </c>
    </row>
    <row r="1060" spans="1:14" ht="18" customHeight="1" x14ac:dyDescent="0.45">
      <c r="A1060" s="13">
        <v>1054</v>
      </c>
      <c r="B1060" s="41" t="str">
        <f t="shared" si="454"/>
        <v>西日本第一本部</v>
      </c>
      <c r="C1060" s="41" t="str">
        <f t="shared" si="454"/>
        <v>そんぽの家　植田一本松</v>
      </c>
      <c r="D1060" s="14" t="s">
        <v>6</v>
      </c>
      <c r="E1060" s="15">
        <v>2</v>
      </c>
      <c r="F1060" s="16">
        <v>1</v>
      </c>
      <c r="G1060" s="17">
        <v>0.5</v>
      </c>
      <c r="H1060" s="16">
        <v>0</v>
      </c>
      <c r="I1060" s="17">
        <v>0</v>
      </c>
      <c r="J1060" s="15">
        <v>1</v>
      </c>
      <c r="K1060" s="44">
        <f t="shared" si="450"/>
        <v>7</v>
      </c>
      <c r="L1060" s="28">
        <v>0</v>
      </c>
      <c r="M1060" s="33">
        <f t="shared" si="442"/>
        <v>0</v>
      </c>
      <c r="N1060" s="1">
        <v>3316011200</v>
      </c>
    </row>
    <row r="1061" spans="1:14" ht="18" customHeight="1" x14ac:dyDescent="0.45">
      <c r="A1061" s="13">
        <v>1055</v>
      </c>
      <c r="B1061" s="42" t="str">
        <f t="shared" si="454"/>
        <v>西日本第一本部</v>
      </c>
      <c r="C1061" s="42" t="str">
        <f t="shared" si="454"/>
        <v>そんぽの家　植田一本松</v>
      </c>
      <c r="D1061" s="14" t="s">
        <v>2</v>
      </c>
      <c r="E1061" s="15">
        <v>1</v>
      </c>
      <c r="F1061" s="16">
        <v>7</v>
      </c>
      <c r="G1061" s="17">
        <v>7</v>
      </c>
      <c r="H1061" s="16">
        <v>0</v>
      </c>
      <c r="I1061" s="17">
        <v>0</v>
      </c>
      <c r="J1061" s="15">
        <v>7</v>
      </c>
      <c r="K1061" s="45">
        <f t="shared" si="450"/>
        <v>7</v>
      </c>
      <c r="L1061" s="28">
        <v>1</v>
      </c>
      <c r="M1061" s="33">
        <f t="shared" si="442"/>
        <v>1</v>
      </c>
      <c r="N1061" s="1">
        <v>3316011200</v>
      </c>
    </row>
    <row r="1062" spans="1:14" ht="18" customHeight="1" x14ac:dyDescent="0.45">
      <c r="A1062" s="8">
        <v>1056</v>
      </c>
      <c r="B1062" s="34" t="s">
        <v>85</v>
      </c>
      <c r="C1062" s="34" t="s">
        <v>98</v>
      </c>
      <c r="D1062" s="9" t="s">
        <v>3</v>
      </c>
      <c r="E1062" s="10">
        <v>1</v>
      </c>
      <c r="F1062" s="11">
        <v>8</v>
      </c>
      <c r="G1062" s="12">
        <v>8</v>
      </c>
      <c r="H1062" s="11">
        <v>8</v>
      </c>
      <c r="I1062" s="12">
        <v>8</v>
      </c>
      <c r="J1062" s="10">
        <v>16</v>
      </c>
      <c r="K1062" s="37">
        <f t="shared" ref="K1062" si="455">SUM(M1062:M1066)</f>
        <v>8</v>
      </c>
      <c r="L1062" s="28">
        <v>2</v>
      </c>
      <c r="M1062" s="33">
        <f t="shared" si="442"/>
        <v>2</v>
      </c>
      <c r="N1062" s="1">
        <v>3316041200</v>
      </c>
    </row>
    <row r="1063" spans="1:14" ht="18" customHeight="1" x14ac:dyDescent="0.45">
      <c r="A1063" s="8">
        <v>1057</v>
      </c>
      <c r="B1063" s="35" t="str">
        <f t="shared" ref="B1063:C1066" si="456">B1062</f>
        <v>西日本第一本部</v>
      </c>
      <c r="C1063" s="35" t="str">
        <f t="shared" si="456"/>
        <v>そんぽの家　十番町</v>
      </c>
      <c r="D1063" s="9" t="s">
        <v>4</v>
      </c>
      <c r="E1063" s="10">
        <v>1</v>
      </c>
      <c r="F1063" s="11">
        <v>10</v>
      </c>
      <c r="G1063" s="12">
        <v>10</v>
      </c>
      <c r="H1063" s="11">
        <v>10</v>
      </c>
      <c r="I1063" s="12">
        <v>10</v>
      </c>
      <c r="J1063" s="10">
        <v>20</v>
      </c>
      <c r="K1063" s="38">
        <f t="shared" si="450"/>
        <v>8</v>
      </c>
      <c r="L1063" s="28">
        <v>2</v>
      </c>
      <c r="M1063" s="33">
        <f t="shared" si="442"/>
        <v>2</v>
      </c>
      <c r="N1063" s="1">
        <v>3316041200</v>
      </c>
    </row>
    <row r="1064" spans="1:14" ht="18" customHeight="1" x14ac:dyDescent="0.45">
      <c r="A1064" s="8">
        <v>1058</v>
      </c>
      <c r="B1064" s="35" t="str">
        <f t="shared" si="456"/>
        <v>西日本第一本部</v>
      </c>
      <c r="C1064" s="35" t="str">
        <f t="shared" si="456"/>
        <v>そんぽの家　十番町</v>
      </c>
      <c r="D1064" s="9" t="s">
        <v>5</v>
      </c>
      <c r="E1064" s="10">
        <v>2</v>
      </c>
      <c r="F1064" s="11">
        <v>35</v>
      </c>
      <c r="G1064" s="12">
        <v>17.5</v>
      </c>
      <c r="H1064" s="11">
        <v>0</v>
      </c>
      <c r="I1064" s="12">
        <v>0</v>
      </c>
      <c r="J1064" s="10">
        <v>35</v>
      </c>
      <c r="K1064" s="38">
        <f t="shared" si="450"/>
        <v>8</v>
      </c>
      <c r="L1064" s="28">
        <v>2</v>
      </c>
      <c r="M1064" s="33">
        <f t="shared" si="442"/>
        <v>2</v>
      </c>
      <c r="N1064" s="1">
        <v>3316041200</v>
      </c>
    </row>
    <row r="1065" spans="1:14" ht="18" customHeight="1" x14ac:dyDescent="0.45">
      <c r="A1065" s="8">
        <v>1059</v>
      </c>
      <c r="B1065" s="35" t="str">
        <f t="shared" si="456"/>
        <v>西日本第一本部</v>
      </c>
      <c r="C1065" s="35" t="str">
        <f t="shared" si="456"/>
        <v>そんぽの家　十番町</v>
      </c>
      <c r="D1065" s="9" t="s">
        <v>6</v>
      </c>
      <c r="E1065" s="10">
        <v>3</v>
      </c>
      <c r="F1065" s="11">
        <v>0</v>
      </c>
      <c r="G1065" s="12">
        <v>0</v>
      </c>
      <c r="H1065" s="11">
        <v>0</v>
      </c>
      <c r="I1065" s="12">
        <v>0</v>
      </c>
      <c r="J1065" s="10">
        <v>0</v>
      </c>
      <c r="K1065" s="38">
        <f t="shared" si="450"/>
        <v>8</v>
      </c>
      <c r="L1065" s="28">
        <v>0</v>
      </c>
      <c r="M1065" s="33">
        <f t="shared" si="442"/>
        <v>0</v>
      </c>
      <c r="N1065" s="1">
        <v>3316041200</v>
      </c>
    </row>
    <row r="1066" spans="1:14" ht="18" customHeight="1" x14ac:dyDescent="0.45">
      <c r="A1066" s="8">
        <v>1060</v>
      </c>
      <c r="B1066" s="36" t="str">
        <f t="shared" si="456"/>
        <v>西日本第一本部</v>
      </c>
      <c r="C1066" s="36" t="str">
        <f t="shared" si="456"/>
        <v>そんぽの家　十番町</v>
      </c>
      <c r="D1066" s="9" t="s">
        <v>2</v>
      </c>
      <c r="E1066" s="10">
        <v>1</v>
      </c>
      <c r="F1066" s="11">
        <v>8</v>
      </c>
      <c r="G1066" s="12">
        <v>8</v>
      </c>
      <c r="H1066" s="11">
        <v>0</v>
      </c>
      <c r="I1066" s="12">
        <v>0</v>
      </c>
      <c r="J1066" s="10">
        <v>8</v>
      </c>
      <c r="K1066" s="39">
        <f t="shared" si="450"/>
        <v>8</v>
      </c>
      <c r="L1066" s="28">
        <v>2</v>
      </c>
      <c r="M1066" s="33">
        <f t="shared" si="442"/>
        <v>2</v>
      </c>
      <c r="N1066" s="1">
        <v>3316041200</v>
      </c>
    </row>
    <row r="1067" spans="1:14" ht="18" customHeight="1" x14ac:dyDescent="0.45">
      <c r="A1067" s="13">
        <v>1061</v>
      </c>
      <c r="B1067" s="40" t="s">
        <v>85</v>
      </c>
      <c r="C1067" s="40" t="s">
        <v>99</v>
      </c>
      <c r="D1067" s="14" t="s">
        <v>3</v>
      </c>
      <c r="E1067" s="15">
        <v>1</v>
      </c>
      <c r="F1067" s="16">
        <v>3</v>
      </c>
      <c r="G1067" s="17">
        <v>3</v>
      </c>
      <c r="H1067" s="16">
        <v>3</v>
      </c>
      <c r="I1067" s="17">
        <v>3</v>
      </c>
      <c r="J1067" s="15">
        <v>6</v>
      </c>
      <c r="K1067" s="43">
        <f t="shared" ref="K1067" si="457">SUM(M1067:M1071)</f>
        <v>4</v>
      </c>
      <c r="L1067" s="28">
        <v>1</v>
      </c>
      <c r="M1067" s="33">
        <f t="shared" si="442"/>
        <v>1</v>
      </c>
      <c r="N1067" s="1">
        <v>3316051200</v>
      </c>
    </row>
    <row r="1068" spans="1:14" ht="18" customHeight="1" x14ac:dyDescent="0.45">
      <c r="A1068" s="13">
        <v>1062</v>
      </c>
      <c r="B1068" s="41" t="str">
        <f t="shared" ref="B1068:C1071" si="458">B1067</f>
        <v>西日本第一本部</v>
      </c>
      <c r="C1068" s="41" t="str">
        <f t="shared" si="458"/>
        <v>そんぽの家　松葉公園</v>
      </c>
      <c r="D1068" s="14" t="s">
        <v>4</v>
      </c>
      <c r="E1068" s="15">
        <v>1</v>
      </c>
      <c r="F1068" s="16">
        <v>15</v>
      </c>
      <c r="G1068" s="17">
        <v>15</v>
      </c>
      <c r="H1068" s="16">
        <v>9</v>
      </c>
      <c r="I1068" s="17">
        <v>9</v>
      </c>
      <c r="J1068" s="15">
        <v>24</v>
      </c>
      <c r="K1068" s="44">
        <f t="shared" si="450"/>
        <v>4</v>
      </c>
      <c r="L1068" s="28">
        <v>2</v>
      </c>
      <c r="M1068" s="33">
        <f t="shared" si="442"/>
        <v>2</v>
      </c>
      <c r="N1068" s="1">
        <v>3316051200</v>
      </c>
    </row>
    <row r="1069" spans="1:14" ht="18" customHeight="1" x14ac:dyDescent="0.45">
      <c r="A1069" s="13">
        <v>1063</v>
      </c>
      <c r="B1069" s="41" t="str">
        <f t="shared" si="458"/>
        <v>西日本第一本部</v>
      </c>
      <c r="C1069" s="41" t="str">
        <f t="shared" si="458"/>
        <v>そんぽの家　松葉公園</v>
      </c>
      <c r="D1069" s="14" t="s">
        <v>5</v>
      </c>
      <c r="E1069" s="15">
        <v>1</v>
      </c>
      <c r="F1069" s="16">
        <v>0</v>
      </c>
      <c r="G1069" s="17">
        <v>0</v>
      </c>
      <c r="H1069" s="16">
        <v>0</v>
      </c>
      <c r="I1069" s="17">
        <v>0</v>
      </c>
      <c r="J1069" s="15">
        <v>0</v>
      </c>
      <c r="K1069" s="44">
        <f t="shared" si="450"/>
        <v>4</v>
      </c>
      <c r="L1069" s="28">
        <v>0</v>
      </c>
      <c r="M1069" s="33">
        <f t="shared" si="442"/>
        <v>0</v>
      </c>
      <c r="N1069" s="1">
        <v>3316051200</v>
      </c>
    </row>
    <row r="1070" spans="1:14" ht="18" customHeight="1" x14ac:dyDescent="0.45">
      <c r="A1070" s="13">
        <v>1064</v>
      </c>
      <c r="B1070" s="41" t="str">
        <f t="shared" si="458"/>
        <v>西日本第一本部</v>
      </c>
      <c r="C1070" s="41" t="str">
        <f t="shared" si="458"/>
        <v>そんぽの家　松葉公園</v>
      </c>
      <c r="D1070" s="14" t="s">
        <v>6</v>
      </c>
      <c r="E1070" s="15">
        <v>3</v>
      </c>
      <c r="F1070" s="16">
        <v>5</v>
      </c>
      <c r="G1070" s="17">
        <v>1.7</v>
      </c>
      <c r="H1070" s="16">
        <v>0</v>
      </c>
      <c r="I1070" s="17">
        <v>0</v>
      </c>
      <c r="J1070" s="15">
        <v>5</v>
      </c>
      <c r="K1070" s="44">
        <f t="shared" si="450"/>
        <v>4</v>
      </c>
      <c r="L1070" s="28">
        <v>1</v>
      </c>
      <c r="M1070" s="33">
        <f t="shared" si="442"/>
        <v>1</v>
      </c>
      <c r="N1070" s="1">
        <v>3316051200</v>
      </c>
    </row>
    <row r="1071" spans="1:14" ht="18" customHeight="1" x14ac:dyDescent="0.45">
      <c r="A1071" s="13">
        <v>1065</v>
      </c>
      <c r="B1071" s="42" t="str">
        <f t="shared" si="458"/>
        <v>西日本第一本部</v>
      </c>
      <c r="C1071" s="42" t="str">
        <f t="shared" si="458"/>
        <v>そんぽの家　松葉公園</v>
      </c>
      <c r="D1071" s="14" t="s">
        <v>2</v>
      </c>
      <c r="E1071" s="15">
        <v>1</v>
      </c>
      <c r="F1071" s="16">
        <v>2</v>
      </c>
      <c r="G1071" s="17">
        <v>2</v>
      </c>
      <c r="H1071" s="16">
        <v>0</v>
      </c>
      <c r="I1071" s="17">
        <v>0</v>
      </c>
      <c r="J1071" s="15">
        <v>2</v>
      </c>
      <c r="K1071" s="45">
        <f t="shared" si="450"/>
        <v>4</v>
      </c>
      <c r="L1071" s="28">
        <v>0</v>
      </c>
      <c r="M1071" s="33">
        <f t="shared" si="442"/>
        <v>0</v>
      </c>
      <c r="N1071" s="1">
        <v>3316051200</v>
      </c>
    </row>
    <row r="1072" spans="1:14" ht="18" customHeight="1" x14ac:dyDescent="0.45">
      <c r="A1072" s="8">
        <v>1066</v>
      </c>
      <c r="B1072" s="34" t="s">
        <v>85</v>
      </c>
      <c r="C1072" s="34" t="s">
        <v>310</v>
      </c>
      <c r="D1072" s="9" t="s">
        <v>3</v>
      </c>
      <c r="E1072" s="10">
        <v>1</v>
      </c>
      <c r="F1072" s="11">
        <v>13</v>
      </c>
      <c r="G1072" s="12">
        <v>13</v>
      </c>
      <c r="H1072" s="11">
        <v>12</v>
      </c>
      <c r="I1072" s="12">
        <v>12</v>
      </c>
      <c r="J1072" s="10">
        <v>25</v>
      </c>
      <c r="K1072" s="37">
        <f t="shared" ref="K1072" si="459">SUM(M1072:M1076)</f>
        <v>6</v>
      </c>
      <c r="L1072" s="28">
        <v>2</v>
      </c>
      <c r="M1072" s="33">
        <f t="shared" si="442"/>
        <v>2</v>
      </c>
      <c r="N1072" s="1">
        <v>3316061200</v>
      </c>
    </row>
    <row r="1073" spans="1:14" ht="18" customHeight="1" x14ac:dyDescent="0.45">
      <c r="A1073" s="8">
        <v>1067</v>
      </c>
      <c r="B1073" s="35" t="str">
        <f t="shared" ref="B1073:C1076" si="460">B1072</f>
        <v>西日本第一本部</v>
      </c>
      <c r="C1073" s="35" t="str">
        <f t="shared" si="460"/>
        <v>ラヴィーレ熱田</v>
      </c>
      <c r="D1073" s="9" t="s">
        <v>4</v>
      </c>
      <c r="E1073" s="10">
        <v>1</v>
      </c>
      <c r="F1073" s="11">
        <v>11</v>
      </c>
      <c r="G1073" s="12">
        <v>11</v>
      </c>
      <c r="H1073" s="11">
        <v>0</v>
      </c>
      <c r="I1073" s="12">
        <v>0</v>
      </c>
      <c r="J1073" s="10">
        <v>11</v>
      </c>
      <c r="K1073" s="38">
        <f t="shared" si="450"/>
        <v>6</v>
      </c>
      <c r="L1073" s="28">
        <v>2</v>
      </c>
      <c r="M1073" s="33">
        <f t="shared" si="442"/>
        <v>2</v>
      </c>
      <c r="N1073" s="1">
        <v>3316061200</v>
      </c>
    </row>
    <row r="1074" spans="1:14" ht="18" customHeight="1" x14ac:dyDescent="0.45">
      <c r="A1074" s="8">
        <v>1068</v>
      </c>
      <c r="B1074" s="35" t="str">
        <f t="shared" si="460"/>
        <v>西日本第一本部</v>
      </c>
      <c r="C1074" s="35" t="str">
        <f t="shared" si="460"/>
        <v>ラヴィーレ熱田</v>
      </c>
      <c r="D1074" s="9" t="s">
        <v>5</v>
      </c>
      <c r="E1074" s="10">
        <v>2</v>
      </c>
      <c r="F1074" s="11">
        <v>42</v>
      </c>
      <c r="G1074" s="12">
        <v>21</v>
      </c>
      <c r="H1074" s="11">
        <v>0</v>
      </c>
      <c r="I1074" s="12">
        <v>0</v>
      </c>
      <c r="J1074" s="10">
        <v>42</v>
      </c>
      <c r="K1074" s="38">
        <f t="shared" si="450"/>
        <v>6</v>
      </c>
      <c r="L1074" s="28">
        <v>2</v>
      </c>
      <c r="M1074" s="33">
        <f t="shared" si="442"/>
        <v>2</v>
      </c>
      <c r="N1074" s="1">
        <v>3316061200</v>
      </c>
    </row>
    <row r="1075" spans="1:14" ht="18" customHeight="1" x14ac:dyDescent="0.45">
      <c r="A1075" s="8">
        <v>1069</v>
      </c>
      <c r="B1075" s="35" t="str">
        <f t="shared" si="460"/>
        <v>西日本第一本部</v>
      </c>
      <c r="C1075" s="35" t="str">
        <f t="shared" si="460"/>
        <v>ラヴィーレ熱田</v>
      </c>
      <c r="D1075" s="9" t="s">
        <v>6</v>
      </c>
      <c r="E1075" s="10">
        <v>3</v>
      </c>
      <c r="F1075" s="11">
        <v>0</v>
      </c>
      <c r="G1075" s="12">
        <v>0</v>
      </c>
      <c r="H1075" s="11">
        <v>0</v>
      </c>
      <c r="I1075" s="12">
        <v>0</v>
      </c>
      <c r="J1075" s="10">
        <v>0</v>
      </c>
      <c r="K1075" s="38">
        <f t="shared" si="450"/>
        <v>6</v>
      </c>
      <c r="L1075" s="28">
        <v>0</v>
      </c>
      <c r="M1075" s="33">
        <f t="shared" si="442"/>
        <v>0</v>
      </c>
      <c r="N1075" s="1">
        <v>3316061200</v>
      </c>
    </row>
    <row r="1076" spans="1:14" ht="18" customHeight="1" x14ac:dyDescent="0.45">
      <c r="A1076" s="8">
        <v>1070</v>
      </c>
      <c r="B1076" s="36" t="str">
        <f t="shared" si="460"/>
        <v>西日本第一本部</v>
      </c>
      <c r="C1076" s="36" t="str">
        <f t="shared" si="460"/>
        <v>ラヴィーレ熱田</v>
      </c>
      <c r="D1076" s="9" t="s">
        <v>2</v>
      </c>
      <c r="E1076" s="10">
        <v>2</v>
      </c>
      <c r="F1076" s="11">
        <v>0</v>
      </c>
      <c r="G1076" s="12">
        <v>0</v>
      </c>
      <c r="H1076" s="11">
        <v>0</v>
      </c>
      <c r="I1076" s="12">
        <v>0</v>
      </c>
      <c r="J1076" s="10">
        <v>0</v>
      </c>
      <c r="K1076" s="39">
        <f t="shared" si="450"/>
        <v>6</v>
      </c>
      <c r="L1076" s="28">
        <v>0</v>
      </c>
      <c r="M1076" s="33">
        <f t="shared" si="442"/>
        <v>0</v>
      </c>
      <c r="N1076" s="1">
        <v>3316061200</v>
      </c>
    </row>
    <row r="1077" spans="1:14" ht="18" customHeight="1" x14ac:dyDescent="0.45">
      <c r="A1077" s="13">
        <v>1071</v>
      </c>
      <c r="B1077" s="40" t="s">
        <v>85</v>
      </c>
      <c r="C1077" s="40" t="s">
        <v>100</v>
      </c>
      <c r="D1077" s="14" t="s">
        <v>3</v>
      </c>
      <c r="E1077" s="15">
        <v>1</v>
      </c>
      <c r="F1077" s="16">
        <v>0</v>
      </c>
      <c r="G1077" s="17">
        <v>0</v>
      </c>
      <c r="H1077" s="16">
        <v>0</v>
      </c>
      <c r="I1077" s="17">
        <v>0</v>
      </c>
      <c r="J1077" s="15">
        <v>0</v>
      </c>
      <c r="K1077" s="43">
        <f t="shared" ref="K1077" si="461">SUM(M1077:M1081)</f>
        <v>1</v>
      </c>
      <c r="L1077" s="28">
        <v>0</v>
      </c>
      <c r="M1077" s="33">
        <f t="shared" si="442"/>
        <v>0</v>
      </c>
      <c r="N1077" s="1">
        <v>3316081200</v>
      </c>
    </row>
    <row r="1078" spans="1:14" ht="18" customHeight="1" x14ac:dyDescent="0.45">
      <c r="A1078" s="13">
        <v>1072</v>
      </c>
      <c r="B1078" s="41" t="str">
        <f t="shared" ref="B1078:C1081" si="462">B1077</f>
        <v>西日本第一本部</v>
      </c>
      <c r="C1078" s="41" t="str">
        <f t="shared" si="462"/>
        <v>そんぽの家　桜本町</v>
      </c>
      <c r="D1078" s="14" t="s">
        <v>4</v>
      </c>
      <c r="E1078" s="15">
        <v>1</v>
      </c>
      <c r="F1078" s="16">
        <v>4</v>
      </c>
      <c r="G1078" s="17">
        <v>4</v>
      </c>
      <c r="H1078" s="16">
        <v>2</v>
      </c>
      <c r="I1078" s="17">
        <v>2</v>
      </c>
      <c r="J1078" s="15">
        <v>6</v>
      </c>
      <c r="K1078" s="44">
        <f t="shared" si="450"/>
        <v>1</v>
      </c>
      <c r="L1078" s="28">
        <v>1</v>
      </c>
      <c r="M1078" s="33">
        <f t="shared" si="442"/>
        <v>1</v>
      </c>
      <c r="N1078" s="1">
        <v>3316081200</v>
      </c>
    </row>
    <row r="1079" spans="1:14" ht="18" customHeight="1" x14ac:dyDescent="0.45">
      <c r="A1079" s="13">
        <v>1073</v>
      </c>
      <c r="B1079" s="41" t="str">
        <f t="shared" si="462"/>
        <v>西日本第一本部</v>
      </c>
      <c r="C1079" s="41" t="str">
        <f t="shared" si="462"/>
        <v>そんぽの家　桜本町</v>
      </c>
      <c r="D1079" s="14" t="s">
        <v>5</v>
      </c>
      <c r="E1079" s="15">
        <v>1</v>
      </c>
      <c r="F1079" s="16">
        <v>0</v>
      </c>
      <c r="G1079" s="17">
        <v>0</v>
      </c>
      <c r="H1079" s="16">
        <v>0</v>
      </c>
      <c r="I1079" s="17">
        <v>0</v>
      </c>
      <c r="J1079" s="15">
        <v>0</v>
      </c>
      <c r="K1079" s="44">
        <f t="shared" si="450"/>
        <v>1</v>
      </c>
      <c r="L1079" s="28">
        <v>0</v>
      </c>
      <c r="M1079" s="33">
        <f t="shared" si="442"/>
        <v>0</v>
      </c>
      <c r="N1079" s="1">
        <v>3316081200</v>
      </c>
    </row>
    <row r="1080" spans="1:14" ht="18" customHeight="1" x14ac:dyDescent="0.45">
      <c r="A1080" s="13">
        <v>1074</v>
      </c>
      <c r="B1080" s="41" t="str">
        <f t="shared" si="462"/>
        <v>西日本第一本部</v>
      </c>
      <c r="C1080" s="41" t="str">
        <f t="shared" si="462"/>
        <v>そんぽの家　桜本町</v>
      </c>
      <c r="D1080" s="14" t="s">
        <v>6</v>
      </c>
      <c r="E1080" s="15">
        <v>3</v>
      </c>
      <c r="F1080" s="16">
        <v>0</v>
      </c>
      <c r="G1080" s="17">
        <v>0</v>
      </c>
      <c r="H1080" s="16">
        <v>0</v>
      </c>
      <c r="I1080" s="17">
        <v>0</v>
      </c>
      <c r="J1080" s="15">
        <v>0</v>
      </c>
      <c r="K1080" s="44">
        <f t="shared" si="450"/>
        <v>1</v>
      </c>
      <c r="L1080" s="28">
        <v>0</v>
      </c>
      <c r="M1080" s="33">
        <f t="shared" si="442"/>
        <v>0</v>
      </c>
      <c r="N1080" s="1">
        <v>3316081200</v>
      </c>
    </row>
    <row r="1081" spans="1:14" ht="18" customHeight="1" x14ac:dyDescent="0.45">
      <c r="A1081" s="13">
        <v>1075</v>
      </c>
      <c r="B1081" s="42" t="str">
        <f t="shared" si="462"/>
        <v>西日本第一本部</v>
      </c>
      <c r="C1081" s="42" t="str">
        <f t="shared" si="462"/>
        <v>そんぽの家　桜本町</v>
      </c>
      <c r="D1081" s="14" t="s">
        <v>2</v>
      </c>
      <c r="E1081" s="15">
        <v>0</v>
      </c>
      <c r="F1081" s="16">
        <v>0</v>
      </c>
      <c r="G1081" s="17">
        <v>0</v>
      </c>
      <c r="H1081" s="16">
        <v>0</v>
      </c>
      <c r="I1081" s="17">
        <v>0</v>
      </c>
      <c r="J1081" s="15">
        <v>0</v>
      </c>
      <c r="K1081" s="45">
        <f t="shared" si="450"/>
        <v>1</v>
      </c>
      <c r="L1081" s="28">
        <v>0</v>
      </c>
      <c r="M1081" s="33">
        <f t="shared" si="442"/>
        <v>0</v>
      </c>
      <c r="N1081" s="1">
        <v>3316081200</v>
      </c>
    </row>
    <row r="1082" spans="1:14" ht="18" customHeight="1" x14ac:dyDescent="0.45">
      <c r="A1082" s="8">
        <v>1076</v>
      </c>
      <c r="B1082" s="34" t="s">
        <v>85</v>
      </c>
      <c r="C1082" s="34" t="s">
        <v>106</v>
      </c>
      <c r="D1082" s="9" t="s">
        <v>3</v>
      </c>
      <c r="E1082" s="10">
        <v>1</v>
      </c>
      <c r="F1082" s="11">
        <v>5</v>
      </c>
      <c r="G1082" s="12">
        <v>5</v>
      </c>
      <c r="H1082" s="11">
        <v>5</v>
      </c>
      <c r="I1082" s="12">
        <v>5</v>
      </c>
      <c r="J1082" s="10">
        <v>10</v>
      </c>
      <c r="K1082" s="37">
        <f t="shared" ref="K1082" si="463">SUM(M1082:M1086)</f>
        <v>8</v>
      </c>
      <c r="L1082" s="28">
        <v>2</v>
      </c>
      <c r="M1082" s="33">
        <f t="shared" si="442"/>
        <v>2</v>
      </c>
      <c r="N1082" s="1">
        <v>3316091200</v>
      </c>
    </row>
    <row r="1083" spans="1:14" ht="18" customHeight="1" x14ac:dyDescent="0.45">
      <c r="A1083" s="8">
        <v>1077</v>
      </c>
      <c r="B1083" s="35" t="str">
        <f t="shared" ref="B1083:C1086" si="464">B1082</f>
        <v>西日本第一本部</v>
      </c>
      <c r="C1083" s="35" t="str">
        <f t="shared" si="464"/>
        <v>そんぽの家　星崎</v>
      </c>
      <c r="D1083" s="9" t="s">
        <v>4</v>
      </c>
      <c r="E1083" s="10">
        <v>1</v>
      </c>
      <c r="F1083" s="11">
        <v>18</v>
      </c>
      <c r="G1083" s="12">
        <v>18</v>
      </c>
      <c r="H1083" s="11">
        <v>1</v>
      </c>
      <c r="I1083" s="12">
        <v>1</v>
      </c>
      <c r="J1083" s="10">
        <v>19</v>
      </c>
      <c r="K1083" s="38">
        <f t="shared" si="450"/>
        <v>8</v>
      </c>
      <c r="L1083" s="28">
        <v>2</v>
      </c>
      <c r="M1083" s="33">
        <f t="shared" si="442"/>
        <v>2</v>
      </c>
      <c r="N1083" s="1">
        <v>3316091200</v>
      </c>
    </row>
    <row r="1084" spans="1:14" ht="18" customHeight="1" x14ac:dyDescent="0.45">
      <c r="A1084" s="8">
        <v>1078</v>
      </c>
      <c r="B1084" s="35" t="str">
        <f t="shared" si="464"/>
        <v>西日本第一本部</v>
      </c>
      <c r="C1084" s="35" t="str">
        <f t="shared" si="464"/>
        <v>そんぽの家　星崎</v>
      </c>
      <c r="D1084" s="9" t="s">
        <v>5</v>
      </c>
      <c r="E1084" s="10">
        <v>1</v>
      </c>
      <c r="F1084" s="11">
        <v>15</v>
      </c>
      <c r="G1084" s="12">
        <v>15</v>
      </c>
      <c r="H1084" s="11">
        <v>0</v>
      </c>
      <c r="I1084" s="12">
        <v>0</v>
      </c>
      <c r="J1084" s="10">
        <v>15</v>
      </c>
      <c r="K1084" s="38">
        <f t="shared" si="450"/>
        <v>8</v>
      </c>
      <c r="L1084" s="28">
        <v>2</v>
      </c>
      <c r="M1084" s="33">
        <f t="shared" si="442"/>
        <v>2</v>
      </c>
      <c r="N1084" s="1">
        <v>3316091200</v>
      </c>
    </row>
    <row r="1085" spans="1:14" ht="18" customHeight="1" x14ac:dyDescent="0.45">
      <c r="A1085" s="8">
        <v>1079</v>
      </c>
      <c r="B1085" s="35" t="str">
        <f t="shared" si="464"/>
        <v>西日本第一本部</v>
      </c>
      <c r="C1085" s="35" t="str">
        <f t="shared" si="464"/>
        <v>そんぽの家　星崎</v>
      </c>
      <c r="D1085" s="9" t="s">
        <v>6</v>
      </c>
      <c r="E1085" s="10">
        <v>3</v>
      </c>
      <c r="F1085" s="11">
        <v>0</v>
      </c>
      <c r="G1085" s="12">
        <v>0</v>
      </c>
      <c r="H1085" s="11">
        <v>0</v>
      </c>
      <c r="I1085" s="12">
        <v>0</v>
      </c>
      <c r="J1085" s="10">
        <v>0</v>
      </c>
      <c r="K1085" s="38">
        <f t="shared" si="450"/>
        <v>8</v>
      </c>
      <c r="L1085" s="28">
        <v>0</v>
      </c>
      <c r="M1085" s="33">
        <f t="shared" si="442"/>
        <v>0</v>
      </c>
      <c r="N1085" s="1">
        <v>3316091200</v>
      </c>
    </row>
    <row r="1086" spans="1:14" ht="18" customHeight="1" x14ac:dyDescent="0.45">
      <c r="A1086" s="8">
        <v>1080</v>
      </c>
      <c r="B1086" s="36" t="str">
        <f t="shared" si="464"/>
        <v>西日本第一本部</v>
      </c>
      <c r="C1086" s="36" t="str">
        <f t="shared" si="464"/>
        <v>そんぽの家　星崎</v>
      </c>
      <c r="D1086" s="9" t="s">
        <v>2</v>
      </c>
      <c r="E1086" s="10">
        <v>1</v>
      </c>
      <c r="F1086" s="11">
        <v>32</v>
      </c>
      <c r="G1086" s="12">
        <v>32</v>
      </c>
      <c r="H1086" s="11">
        <v>0</v>
      </c>
      <c r="I1086" s="12">
        <v>0</v>
      </c>
      <c r="J1086" s="10">
        <v>32</v>
      </c>
      <c r="K1086" s="39">
        <f t="shared" si="450"/>
        <v>8</v>
      </c>
      <c r="L1086" s="28">
        <v>2</v>
      </c>
      <c r="M1086" s="33">
        <f t="shared" si="442"/>
        <v>2</v>
      </c>
      <c r="N1086" s="1">
        <v>3316091200</v>
      </c>
    </row>
    <row r="1087" spans="1:14" ht="18" customHeight="1" x14ac:dyDescent="0.45">
      <c r="A1087" s="13">
        <v>1081</v>
      </c>
      <c r="B1087" s="40" t="s">
        <v>85</v>
      </c>
      <c r="C1087" s="40" t="s">
        <v>107</v>
      </c>
      <c r="D1087" s="14" t="s">
        <v>3</v>
      </c>
      <c r="E1087" s="15">
        <v>1</v>
      </c>
      <c r="F1087" s="16">
        <v>3</v>
      </c>
      <c r="G1087" s="17">
        <v>3</v>
      </c>
      <c r="H1087" s="16">
        <v>3</v>
      </c>
      <c r="I1087" s="17">
        <v>3</v>
      </c>
      <c r="J1087" s="15">
        <v>6</v>
      </c>
      <c r="K1087" s="43">
        <f t="shared" ref="K1087" si="465">SUM(M1087:M1091)</f>
        <v>6</v>
      </c>
      <c r="L1087" s="28">
        <v>1</v>
      </c>
      <c r="M1087" s="33">
        <f t="shared" si="442"/>
        <v>1</v>
      </c>
      <c r="N1087" s="1">
        <v>3316101200</v>
      </c>
    </row>
    <row r="1088" spans="1:14" ht="18" customHeight="1" x14ac:dyDescent="0.45">
      <c r="A1088" s="13">
        <v>1082</v>
      </c>
      <c r="B1088" s="41" t="str">
        <f t="shared" ref="B1088:C1091" si="466">B1087</f>
        <v>西日本第一本部</v>
      </c>
      <c r="C1088" s="41" t="str">
        <f t="shared" si="466"/>
        <v>そんぽの家　神沢</v>
      </c>
      <c r="D1088" s="14" t="s">
        <v>4</v>
      </c>
      <c r="E1088" s="15">
        <v>1</v>
      </c>
      <c r="F1088" s="16">
        <v>21</v>
      </c>
      <c r="G1088" s="17">
        <v>21</v>
      </c>
      <c r="H1088" s="16">
        <v>15</v>
      </c>
      <c r="I1088" s="17">
        <v>15</v>
      </c>
      <c r="J1088" s="15">
        <v>36</v>
      </c>
      <c r="K1088" s="44">
        <f t="shared" si="450"/>
        <v>6</v>
      </c>
      <c r="L1088" s="28">
        <v>2</v>
      </c>
      <c r="M1088" s="33">
        <f t="shared" si="442"/>
        <v>2</v>
      </c>
      <c r="N1088" s="1">
        <v>3316101200</v>
      </c>
    </row>
    <row r="1089" spans="1:14" ht="18" customHeight="1" x14ac:dyDescent="0.45">
      <c r="A1089" s="13">
        <v>1083</v>
      </c>
      <c r="B1089" s="41" t="str">
        <f t="shared" si="466"/>
        <v>西日本第一本部</v>
      </c>
      <c r="C1089" s="41" t="str">
        <f t="shared" si="466"/>
        <v>そんぽの家　神沢</v>
      </c>
      <c r="D1089" s="14" t="s">
        <v>5</v>
      </c>
      <c r="E1089" s="15">
        <v>1</v>
      </c>
      <c r="F1089" s="16">
        <v>4</v>
      </c>
      <c r="G1089" s="17">
        <v>4</v>
      </c>
      <c r="H1089" s="16">
        <v>0</v>
      </c>
      <c r="I1089" s="17">
        <v>0</v>
      </c>
      <c r="J1089" s="15">
        <v>4</v>
      </c>
      <c r="K1089" s="44">
        <f t="shared" si="450"/>
        <v>6</v>
      </c>
      <c r="L1089" s="28">
        <v>1</v>
      </c>
      <c r="M1089" s="33">
        <f t="shared" si="442"/>
        <v>1</v>
      </c>
      <c r="N1089" s="1">
        <v>3316101200</v>
      </c>
    </row>
    <row r="1090" spans="1:14" ht="18" customHeight="1" x14ac:dyDescent="0.45">
      <c r="A1090" s="13">
        <v>1084</v>
      </c>
      <c r="B1090" s="41" t="str">
        <f t="shared" si="466"/>
        <v>西日本第一本部</v>
      </c>
      <c r="C1090" s="41" t="str">
        <f t="shared" si="466"/>
        <v>そんぽの家　神沢</v>
      </c>
      <c r="D1090" s="14" t="s">
        <v>6</v>
      </c>
      <c r="E1090" s="15">
        <v>3</v>
      </c>
      <c r="F1090" s="16">
        <v>4</v>
      </c>
      <c r="G1090" s="17">
        <v>1.3</v>
      </c>
      <c r="H1090" s="16">
        <v>0</v>
      </c>
      <c r="I1090" s="17">
        <v>0</v>
      </c>
      <c r="J1090" s="15">
        <v>4</v>
      </c>
      <c r="K1090" s="44">
        <f t="shared" si="450"/>
        <v>6</v>
      </c>
      <c r="L1090" s="28">
        <v>1</v>
      </c>
      <c r="M1090" s="33">
        <f t="shared" si="442"/>
        <v>1</v>
      </c>
      <c r="N1090" s="1">
        <v>3316101200</v>
      </c>
    </row>
    <row r="1091" spans="1:14" ht="18" customHeight="1" x14ac:dyDescent="0.45">
      <c r="A1091" s="13">
        <v>1085</v>
      </c>
      <c r="B1091" s="42" t="str">
        <f t="shared" si="466"/>
        <v>西日本第一本部</v>
      </c>
      <c r="C1091" s="42" t="str">
        <f t="shared" si="466"/>
        <v>そんぽの家　神沢</v>
      </c>
      <c r="D1091" s="14" t="s">
        <v>2</v>
      </c>
      <c r="E1091" s="15">
        <v>1</v>
      </c>
      <c r="F1091" s="16">
        <v>5</v>
      </c>
      <c r="G1091" s="17">
        <v>5</v>
      </c>
      <c r="H1091" s="16">
        <v>0</v>
      </c>
      <c r="I1091" s="17">
        <v>0</v>
      </c>
      <c r="J1091" s="15">
        <v>5</v>
      </c>
      <c r="K1091" s="45">
        <f t="shared" si="450"/>
        <v>6</v>
      </c>
      <c r="L1091" s="28">
        <v>1</v>
      </c>
      <c r="M1091" s="33">
        <f t="shared" si="442"/>
        <v>1</v>
      </c>
      <c r="N1091" s="1">
        <v>3316101200</v>
      </c>
    </row>
    <row r="1092" spans="1:14" ht="18" customHeight="1" x14ac:dyDescent="0.45">
      <c r="A1092" s="8">
        <v>1086</v>
      </c>
      <c r="B1092" s="34" t="s">
        <v>85</v>
      </c>
      <c r="C1092" s="34" t="s">
        <v>108</v>
      </c>
      <c r="D1092" s="9" t="s">
        <v>3</v>
      </c>
      <c r="E1092" s="10">
        <v>1</v>
      </c>
      <c r="F1092" s="11">
        <v>1</v>
      </c>
      <c r="G1092" s="12">
        <v>1</v>
      </c>
      <c r="H1092" s="11">
        <v>0</v>
      </c>
      <c r="I1092" s="12">
        <v>0</v>
      </c>
      <c r="J1092" s="10">
        <v>1</v>
      </c>
      <c r="K1092" s="37">
        <f t="shared" ref="K1092" si="467">SUM(M1092:M1096)</f>
        <v>4</v>
      </c>
      <c r="L1092" s="28">
        <v>0</v>
      </c>
      <c r="M1092" s="33">
        <f t="shared" si="442"/>
        <v>0</v>
      </c>
      <c r="N1092" s="1">
        <v>3316111200</v>
      </c>
    </row>
    <row r="1093" spans="1:14" ht="18" customHeight="1" x14ac:dyDescent="0.45">
      <c r="A1093" s="8">
        <v>1087</v>
      </c>
      <c r="B1093" s="35" t="str">
        <f t="shared" ref="B1093:C1096" si="468">B1092</f>
        <v>西日本第一本部</v>
      </c>
      <c r="C1093" s="35" t="str">
        <f t="shared" si="468"/>
        <v>そんぽの家　有松</v>
      </c>
      <c r="D1093" s="9" t="s">
        <v>4</v>
      </c>
      <c r="E1093" s="10">
        <v>1</v>
      </c>
      <c r="F1093" s="11">
        <v>10</v>
      </c>
      <c r="G1093" s="12">
        <v>10</v>
      </c>
      <c r="H1093" s="11">
        <v>0</v>
      </c>
      <c r="I1093" s="12">
        <v>0</v>
      </c>
      <c r="J1093" s="10">
        <v>10</v>
      </c>
      <c r="K1093" s="38">
        <f t="shared" si="450"/>
        <v>4</v>
      </c>
      <c r="L1093" s="28">
        <v>2</v>
      </c>
      <c r="M1093" s="33">
        <f t="shared" si="442"/>
        <v>2</v>
      </c>
      <c r="N1093" s="1">
        <v>3316111200</v>
      </c>
    </row>
    <row r="1094" spans="1:14" ht="18" customHeight="1" x14ac:dyDescent="0.45">
      <c r="A1094" s="8">
        <v>1088</v>
      </c>
      <c r="B1094" s="35" t="str">
        <f t="shared" si="468"/>
        <v>西日本第一本部</v>
      </c>
      <c r="C1094" s="35" t="str">
        <f t="shared" si="468"/>
        <v>そんぽの家　有松</v>
      </c>
      <c r="D1094" s="9" t="s">
        <v>5</v>
      </c>
      <c r="E1094" s="10">
        <v>2</v>
      </c>
      <c r="F1094" s="11">
        <v>28</v>
      </c>
      <c r="G1094" s="12">
        <v>14</v>
      </c>
      <c r="H1094" s="11">
        <v>0</v>
      </c>
      <c r="I1094" s="12">
        <v>0</v>
      </c>
      <c r="J1094" s="10">
        <v>28</v>
      </c>
      <c r="K1094" s="38">
        <f t="shared" si="450"/>
        <v>4</v>
      </c>
      <c r="L1094" s="28">
        <v>2</v>
      </c>
      <c r="M1094" s="33">
        <f t="shared" si="442"/>
        <v>2</v>
      </c>
      <c r="N1094" s="1">
        <v>3316111200</v>
      </c>
    </row>
    <row r="1095" spans="1:14" ht="18" customHeight="1" x14ac:dyDescent="0.45">
      <c r="A1095" s="8">
        <v>1089</v>
      </c>
      <c r="B1095" s="35" t="str">
        <f t="shared" si="468"/>
        <v>西日本第一本部</v>
      </c>
      <c r="C1095" s="35" t="str">
        <f t="shared" si="468"/>
        <v>そんぽの家　有松</v>
      </c>
      <c r="D1095" s="9" t="s">
        <v>6</v>
      </c>
      <c r="E1095" s="10">
        <v>2</v>
      </c>
      <c r="F1095" s="11">
        <v>0</v>
      </c>
      <c r="G1095" s="12">
        <v>0</v>
      </c>
      <c r="H1095" s="11">
        <v>0</v>
      </c>
      <c r="I1095" s="12">
        <v>0</v>
      </c>
      <c r="J1095" s="10">
        <v>0</v>
      </c>
      <c r="K1095" s="38">
        <f t="shared" si="450"/>
        <v>4</v>
      </c>
      <c r="L1095" s="28">
        <v>0</v>
      </c>
      <c r="M1095" s="33">
        <f t="shared" si="442"/>
        <v>0</v>
      </c>
      <c r="N1095" s="1">
        <v>3316111200</v>
      </c>
    </row>
    <row r="1096" spans="1:14" ht="18" customHeight="1" x14ac:dyDescent="0.45">
      <c r="A1096" s="8">
        <v>1090</v>
      </c>
      <c r="B1096" s="36" t="str">
        <f t="shared" si="468"/>
        <v>西日本第一本部</v>
      </c>
      <c r="C1096" s="36" t="str">
        <f t="shared" si="468"/>
        <v>そんぽの家　有松</v>
      </c>
      <c r="D1096" s="9" t="s">
        <v>2</v>
      </c>
      <c r="E1096" s="10">
        <v>0</v>
      </c>
      <c r="F1096" s="11">
        <v>0</v>
      </c>
      <c r="G1096" s="12">
        <v>0</v>
      </c>
      <c r="H1096" s="11">
        <v>0</v>
      </c>
      <c r="I1096" s="12">
        <v>0</v>
      </c>
      <c r="J1096" s="10">
        <v>0</v>
      </c>
      <c r="K1096" s="39">
        <f t="shared" si="450"/>
        <v>4</v>
      </c>
      <c r="L1096" s="28">
        <v>0</v>
      </c>
      <c r="M1096" s="33">
        <f t="shared" ref="M1096:M1159" si="469">L1096</f>
        <v>0</v>
      </c>
      <c r="N1096" s="1">
        <v>3316111200</v>
      </c>
    </row>
    <row r="1097" spans="1:14" ht="18" customHeight="1" x14ac:dyDescent="0.45">
      <c r="A1097" s="13">
        <v>1091</v>
      </c>
      <c r="B1097" s="40" t="s">
        <v>85</v>
      </c>
      <c r="C1097" s="40" t="s">
        <v>109</v>
      </c>
      <c r="D1097" s="14" t="s">
        <v>3</v>
      </c>
      <c r="E1097" s="15">
        <v>1</v>
      </c>
      <c r="F1097" s="16">
        <v>12</v>
      </c>
      <c r="G1097" s="17">
        <v>12</v>
      </c>
      <c r="H1097" s="16">
        <v>13</v>
      </c>
      <c r="I1097" s="17">
        <v>13</v>
      </c>
      <c r="J1097" s="15">
        <v>25</v>
      </c>
      <c r="K1097" s="43">
        <f t="shared" ref="K1097" si="470">SUM(M1097:M1101)</f>
        <v>10</v>
      </c>
      <c r="L1097" s="28">
        <v>2</v>
      </c>
      <c r="M1097" s="33">
        <f t="shared" si="469"/>
        <v>2</v>
      </c>
      <c r="N1097" s="1">
        <v>3316121200</v>
      </c>
    </row>
    <row r="1098" spans="1:14" ht="18" customHeight="1" x14ac:dyDescent="0.45">
      <c r="A1098" s="13">
        <v>1092</v>
      </c>
      <c r="B1098" s="41" t="str">
        <f t="shared" ref="B1098:C1101" si="471">B1097</f>
        <v>西日本第一本部</v>
      </c>
      <c r="C1098" s="41" t="str">
        <f t="shared" si="471"/>
        <v>そんぽの家　大曽根</v>
      </c>
      <c r="D1098" s="14" t="s">
        <v>4</v>
      </c>
      <c r="E1098" s="15">
        <v>1</v>
      </c>
      <c r="F1098" s="16">
        <v>9</v>
      </c>
      <c r="G1098" s="17">
        <v>9</v>
      </c>
      <c r="H1098" s="16">
        <v>9</v>
      </c>
      <c r="I1098" s="17">
        <v>9</v>
      </c>
      <c r="J1098" s="15">
        <v>18</v>
      </c>
      <c r="K1098" s="44">
        <f t="shared" si="450"/>
        <v>10</v>
      </c>
      <c r="L1098" s="28">
        <v>2</v>
      </c>
      <c r="M1098" s="33">
        <f t="shared" si="469"/>
        <v>2</v>
      </c>
      <c r="N1098" s="1">
        <v>3316121200</v>
      </c>
    </row>
    <row r="1099" spans="1:14" ht="18" customHeight="1" x14ac:dyDescent="0.45">
      <c r="A1099" s="13">
        <v>1093</v>
      </c>
      <c r="B1099" s="41" t="str">
        <f t="shared" si="471"/>
        <v>西日本第一本部</v>
      </c>
      <c r="C1099" s="41" t="str">
        <f t="shared" si="471"/>
        <v>そんぽの家　大曽根</v>
      </c>
      <c r="D1099" s="14" t="s">
        <v>5</v>
      </c>
      <c r="E1099" s="15">
        <v>2</v>
      </c>
      <c r="F1099" s="16">
        <v>76</v>
      </c>
      <c r="G1099" s="17">
        <v>38</v>
      </c>
      <c r="H1099" s="16">
        <v>0</v>
      </c>
      <c r="I1099" s="17">
        <v>0</v>
      </c>
      <c r="J1099" s="15">
        <v>76</v>
      </c>
      <c r="K1099" s="44">
        <f t="shared" si="450"/>
        <v>10</v>
      </c>
      <c r="L1099" s="28">
        <v>2</v>
      </c>
      <c r="M1099" s="33">
        <f t="shared" si="469"/>
        <v>2</v>
      </c>
      <c r="N1099" s="1">
        <v>3316121200</v>
      </c>
    </row>
    <row r="1100" spans="1:14" ht="18" customHeight="1" x14ac:dyDescent="0.45">
      <c r="A1100" s="13">
        <v>1094</v>
      </c>
      <c r="B1100" s="41" t="str">
        <f t="shared" si="471"/>
        <v>西日本第一本部</v>
      </c>
      <c r="C1100" s="41" t="str">
        <f t="shared" si="471"/>
        <v>そんぽの家　大曽根</v>
      </c>
      <c r="D1100" s="14" t="s">
        <v>6</v>
      </c>
      <c r="E1100" s="15">
        <v>3</v>
      </c>
      <c r="F1100" s="16">
        <v>10</v>
      </c>
      <c r="G1100" s="17">
        <v>3.3</v>
      </c>
      <c r="H1100" s="16">
        <v>0</v>
      </c>
      <c r="I1100" s="17">
        <v>0</v>
      </c>
      <c r="J1100" s="15">
        <v>10</v>
      </c>
      <c r="K1100" s="44">
        <f t="shared" si="450"/>
        <v>10</v>
      </c>
      <c r="L1100" s="28">
        <v>2</v>
      </c>
      <c r="M1100" s="33">
        <f t="shared" si="469"/>
        <v>2</v>
      </c>
      <c r="N1100" s="1">
        <v>3316121200</v>
      </c>
    </row>
    <row r="1101" spans="1:14" ht="18" customHeight="1" x14ac:dyDescent="0.45">
      <c r="A1101" s="13">
        <v>1095</v>
      </c>
      <c r="B1101" s="42" t="str">
        <f t="shared" si="471"/>
        <v>西日本第一本部</v>
      </c>
      <c r="C1101" s="42" t="str">
        <f t="shared" si="471"/>
        <v>そんぽの家　大曽根</v>
      </c>
      <c r="D1101" s="14" t="s">
        <v>2</v>
      </c>
      <c r="E1101" s="15">
        <v>2</v>
      </c>
      <c r="F1101" s="16">
        <v>25</v>
      </c>
      <c r="G1101" s="17">
        <v>12.5</v>
      </c>
      <c r="H1101" s="16">
        <v>0</v>
      </c>
      <c r="I1101" s="17">
        <v>0</v>
      </c>
      <c r="J1101" s="15">
        <v>25</v>
      </c>
      <c r="K1101" s="45">
        <f t="shared" si="450"/>
        <v>10</v>
      </c>
      <c r="L1101" s="28">
        <v>2</v>
      </c>
      <c r="M1101" s="33">
        <f t="shared" si="469"/>
        <v>2</v>
      </c>
      <c r="N1101" s="1">
        <v>3316121200</v>
      </c>
    </row>
    <row r="1102" spans="1:14" ht="18" customHeight="1" x14ac:dyDescent="0.45">
      <c r="A1102" s="8">
        <v>1096</v>
      </c>
      <c r="B1102" s="34" t="s">
        <v>85</v>
      </c>
      <c r="C1102" s="34" t="s">
        <v>110</v>
      </c>
      <c r="D1102" s="9" t="s">
        <v>3</v>
      </c>
      <c r="E1102" s="10">
        <v>1</v>
      </c>
      <c r="F1102" s="11">
        <v>17</v>
      </c>
      <c r="G1102" s="12">
        <v>17</v>
      </c>
      <c r="H1102" s="11">
        <v>18</v>
      </c>
      <c r="I1102" s="12">
        <v>18</v>
      </c>
      <c r="J1102" s="10">
        <v>35</v>
      </c>
      <c r="K1102" s="37">
        <f t="shared" ref="K1102" si="472">SUM(M1102:M1106)</f>
        <v>5</v>
      </c>
      <c r="L1102" s="28">
        <v>2</v>
      </c>
      <c r="M1102" s="33">
        <f t="shared" si="469"/>
        <v>2</v>
      </c>
      <c r="N1102" s="1">
        <v>3616141100</v>
      </c>
    </row>
    <row r="1103" spans="1:14" ht="18" customHeight="1" x14ac:dyDescent="0.45">
      <c r="A1103" s="8">
        <v>1097</v>
      </c>
      <c r="B1103" s="35" t="str">
        <f t="shared" ref="B1103:C1106" si="473">B1102</f>
        <v>西日本第一本部</v>
      </c>
      <c r="C1103" s="35" t="str">
        <f t="shared" si="473"/>
        <v>そんぽの家　太秦天神川</v>
      </c>
      <c r="D1103" s="9" t="s">
        <v>4</v>
      </c>
      <c r="E1103" s="10">
        <v>1</v>
      </c>
      <c r="F1103" s="11">
        <v>20</v>
      </c>
      <c r="G1103" s="12">
        <v>20</v>
      </c>
      <c r="H1103" s="11">
        <v>19</v>
      </c>
      <c r="I1103" s="12">
        <v>19</v>
      </c>
      <c r="J1103" s="10">
        <v>39</v>
      </c>
      <c r="K1103" s="38">
        <f t="shared" si="450"/>
        <v>5</v>
      </c>
      <c r="L1103" s="28">
        <v>2</v>
      </c>
      <c r="M1103" s="33">
        <f t="shared" si="469"/>
        <v>2</v>
      </c>
      <c r="N1103" s="1">
        <v>3616141100</v>
      </c>
    </row>
    <row r="1104" spans="1:14" ht="18" customHeight="1" x14ac:dyDescent="0.45">
      <c r="A1104" s="8">
        <v>1098</v>
      </c>
      <c r="B1104" s="35" t="str">
        <f t="shared" si="473"/>
        <v>西日本第一本部</v>
      </c>
      <c r="C1104" s="35" t="str">
        <f t="shared" si="473"/>
        <v>そんぽの家　太秦天神川</v>
      </c>
      <c r="D1104" s="9" t="s">
        <v>5</v>
      </c>
      <c r="E1104" s="10">
        <v>1</v>
      </c>
      <c r="F1104" s="11">
        <v>2</v>
      </c>
      <c r="G1104" s="12">
        <v>2</v>
      </c>
      <c r="H1104" s="11">
        <v>0</v>
      </c>
      <c r="I1104" s="12">
        <v>0</v>
      </c>
      <c r="J1104" s="10">
        <v>2</v>
      </c>
      <c r="K1104" s="38">
        <f t="shared" si="450"/>
        <v>5</v>
      </c>
      <c r="L1104" s="28">
        <v>0</v>
      </c>
      <c r="M1104" s="33">
        <f t="shared" si="469"/>
        <v>0</v>
      </c>
      <c r="N1104" s="1">
        <v>3616141100</v>
      </c>
    </row>
    <row r="1105" spans="1:14" ht="18" customHeight="1" x14ac:dyDescent="0.45">
      <c r="A1105" s="8">
        <v>1099</v>
      </c>
      <c r="B1105" s="35" t="str">
        <f t="shared" si="473"/>
        <v>西日本第一本部</v>
      </c>
      <c r="C1105" s="35" t="str">
        <f t="shared" si="473"/>
        <v>そんぽの家　太秦天神川</v>
      </c>
      <c r="D1105" s="9" t="s">
        <v>6</v>
      </c>
      <c r="E1105" s="10">
        <v>3</v>
      </c>
      <c r="F1105" s="11">
        <v>7</v>
      </c>
      <c r="G1105" s="12">
        <v>2.2999999999999998</v>
      </c>
      <c r="H1105" s="11">
        <v>0</v>
      </c>
      <c r="I1105" s="12">
        <v>0</v>
      </c>
      <c r="J1105" s="10">
        <v>7</v>
      </c>
      <c r="K1105" s="38">
        <f t="shared" si="450"/>
        <v>5</v>
      </c>
      <c r="L1105" s="28">
        <v>1</v>
      </c>
      <c r="M1105" s="33">
        <f t="shared" si="469"/>
        <v>1</v>
      </c>
      <c r="N1105" s="1">
        <v>3616141100</v>
      </c>
    </row>
    <row r="1106" spans="1:14" ht="18" customHeight="1" x14ac:dyDescent="0.45">
      <c r="A1106" s="8">
        <v>1100</v>
      </c>
      <c r="B1106" s="36" t="str">
        <f t="shared" si="473"/>
        <v>西日本第一本部</v>
      </c>
      <c r="C1106" s="36" t="str">
        <f t="shared" si="473"/>
        <v>そんぽの家　太秦天神川</v>
      </c>
      <c r="D1106" s="9" t="s">
        <v>2</v>
      </c>
      <c r="E1106" s="10">
        <v>2</v>
      </c>
      <c r="F1106" s="11">
        <v>0</v>
      </c>
      <c r="G1106" s="12">
        <v>0</v>
      </c>
      <c r="H1106" s="11">
        <v>0</v>
      </c>
      <c r="I1106" s="12">
        <v>0</v>
      </c>
      <c r="J1106" s="10">
        <v>0</v>
      </c>
      <c r="K1106" s="39">
        <f t="shared" si="450"/>
        <v>5</v>
      </c>
      <c r="L1106" s="28">
        <v>0</v>
      </c>
      <c r="M1106" s="33">
        <f t="shared" si="469"/>
        <v>0</v>
      </c>
      <c r="N1106" s="1">
        <v>3616141100</v>
      </c>
    </row>
    <row r="1107" spans="1:14" ht="18" customHeight="1" x14ac:dyDescent="0.45">
      <c r="A1107" s="13">
        <v>1101</v>
      </c>
      <c r="B1107" s="40" t="s">
        <v>85</v>
      </c>
      <c r="C1107" s="40" t="s">
        <v>111</v>
      </c>
      <c r="D1107" s="14" t="s">
        <v>3</v>
      </c>
      <c r="E1107" s="15">
        <v>1</v>
      </c>
      <c r="F1107" s="16">
        <v>22</v>
      </c>
      <c r="G1107" s="17">
        <v>22</v>
      </c>
      <c r="H1107" s="16">
        <v>20</v>
      </c>
      <c r="I1107" s="17">
        <v>20</v>
      </c>
      <c r="J1107" s="15">
        <v>42</v>
      </c>
      <c r="K1107" s="43">
        <f t="shared" ref="K1107" si="474">SUM(M1107:M1111)</f>
        <v>6</v>
      </c>
      <c r="L1107" s="28">
        <v>2</v>
      </c>
      <c r="M1107" s="33">
        <f t="shared" si="469"/>
        <v>2</v>
      </c>
      <c r="N1107" s="1">
        <v>3616251100</v>
      </c>
    </row>
    <row r="1108" spans="1:14" ht="18" customHeight="1" x14ac:dyDescent="0.45">
      <c r="A1108" s="13">
        <v>1102</v>
      </c>
      <c r="B1108" s="41" t="str">
        <f t="shared" ref="B1108:C1111" si="475">B1107</f>
        <v>西日本第一本部</v>
      </c>
      <c r="C1108" s="41" t="str">
        <f t="shared" si="475"/>
        <v>そんぽの家　京都羽束師</v>
      </c>
      <c r="D1108" s="14" t="s">
        <v>4</v>
      </c>
      <c r="E1108" s="15">
        <v>1</v>
      </c>
      <c r="F1108" s="16">
        <v>19</v>
      </c>
      <c r="G1108" s="17">
        <v>19</v>
      </c>
      <c r="H1108" s="16">
        <v>0</v>
      </c>
      <c r="I1108" s="17">
        <v>0</v>
      </c>
      <c r="J1108" s="15">
        <v>19</v>
      </c>
      <c r="K1108" s="44">
        <f t="shared" si="450"/>
        <v>6</v>
      </c>
      <c r="L1108" s="28">
        <v>2</v>
      </c>
      <c r="M1108" s="33">
        <f t="shared" si="469"/>
        <v>2</v>
      </c>
      <c r="N1108" s="1">
        <v>3616251100</v>
      </c>
    </row>
    <row r="1109" spans="1:14" ht="18" customHeight="1" x14ac:dyDescent="0.45">
      <c r="A1109" s="13">
        <v>1103</v>
      </c>
      <c r="B1109" s="41" t="str">
        <f t="shared" si="475"/>
        <v>西日本第一本部</v>
      </c>
      <c r="C1109" s="41" t="str">
        <f t="shared" si="475"/>
        <v>そんぽの家　京都羽束師</v>
      </c>
      <c r="D1109" s="14" t="s">
        <v>5</v>
      </c>
      <c r="E1109" s="15">
        <v>1</v>
      </c>
      <c r="F1109" s="16">
        <v>27</v>
      </c>
      <c r="G1109" s="17">
        <v>27</v>
      </c>
      <c r="H1109" s="16">
        <v>0</v>
      </c>
      <c r="I1109" s="17">
        <v>0</v>
      </c>
      <c r="J1109" s="15">
        <v>27</v>
      </c>
      <c r="K1109" s="44">
        <f t="shared" si="450"/>
        <v>6</v>
      </c>
      <c r="L1109" s="28">
        <v>2</v>
      </c>
      <c r="M1109" s="33">
        <f t="shared" si="469"/>
        <v>2</v>
      </c>
      <c r="N1109" s="1">
        <v>3616251100</v>
      </c>
    </row>
    <row r="1110" spans="1:14" ht="18" customHeight="1" x14ac:dyDescent="0.45">
      <c r="A1110" s="13">
        <v>1104</v>
      </c>
      <c r="B1110" s="41" t="str">
        <f t="shared" si="475"/>
        <v>西日本第一本部</v>
      </c>
      <c r="C1110" s="41" t="str">
        <f t="shared" si="475"/>
        <v>そんぽの家　京都羽束師</v>
      </c>
      <c r="D1110" s="14" t="s">
        <v>6</v>
      </c>
      <c r="E1110" s="15">
        <v>4</v>
      </c>
      <c r="F1110" s="16">
        <v>1</v>
      </c>
      <c r="G1110" s="17">
        <v>0.3</v>
      </c>
      <c r="H1110" s="16">
        <v>0</v>
      </c>
      <c r="I1110" s="17">
        <v>0</v>
      </c>
      <c r="J1110" s="15">
        <v>1</v>
      </c>
      <c r="K1110" s="44">
        <f t="shared" si="450"/>
        <v>6</v>
      </c>
      <c r="L1110" s="28">
        <v>0</v>
      </c>
      <c r="M1110" s="33">
        <f t="shared" si="469"/>
        <v>0</v>
      </c>
      <c r="N1110" s="1">
        <v>3616251100</v>
      </c>
    </row>
    <row r="1111" spans="1:14" ht="18" customHeight="1" x14ac:dyDescent="0.45">
      <c r="A1111" s="13">
        <v>1105</v>
      </c>
      <c r="B1111" s="42" t="str">
        <f t="shared" si="475"/>
        <v>西日本第一本部</v>
      </c>
      <c r="C1111" s="42" t="str">
        <f t="shared" si="475"/>
        <v>そんぽの家　京都羽束師</v>
      </c>
      <c r="D1111" s="14" t="s">
        <v>2</v>
      </c>
      <c r="E1111" s="15">
        <v>2</v>
      </c>
      <c r="F1111" s="16">
        <v>0</v>
      </c>
      <c r="G1111" s="17">
        <v>0</v>
      </c>
      <c r="H1111" s="16">
        <v>0</v>
      </c>
      <c r="I1111" s="17">
        <v>0</v>
      </c>
      <c r="J1111" s="15">
        <v>0</v>
      </c>
      <c r="K1111" s="45">
        <f t="shared" si="450"/>
        <v>6</v>
      </c>
      <c r="L1111" s="28">
        <v>0</v>
      </c>
      <c r="M1111" s="33">
        <f t="shared" si="469"/>
        <v>0</v>
      </c>
      <c r="N1111" s="1">
        <v>3616251100</v>
      </c>
    </row>
    <row r="1112" spans="1:14" ht="18" customHeight="1" x14ac:dyDescent="0.45">
      <c r="A1112" s="8">
        <v>1106</v>
      </c>
      <c r="B1112" s="34" t="s">
        <v>85</v>
      </c>
      <c r="C1112" s="34" t="s">
        <v>112</v>
      </c>
      <c r="D1112" s="9" t="s">
        <v>3</v>
      </c>
      <c r="E1112" s="10">
        <v>1</v>
      </c>
      <c r="F1112" s="11">
        <v>14</v>
      </c>
      <c r="G1112" s="12">
        <v>14</v>
      </c>
      <c r="H1112" s="11">
        <v>0</v>
      </c>
      <c r="I1112" s="12">
        <v>0</v>
      </c>
      <c r="J1112" s="10">
        <v>14</v>
      </c>
      <c r="K1112" s="37">
        <f t="shared" ref="K1112" si="476">SUM(M1112:M1116)</f>
        <v>5</v>
      </c>
      <c r="L1112" s="28">
        <v>2</v>
      </c>
      <c r="M1112" s="33">
        <f t="shared" si="469"/>
        <v>2</v>
      </c>
      <c r="N1112" s="1">
        <v>3716281200</v>
      </c>
    </row>
    <row r="1113" spans="1:14" ht="18" customHeight="1" x14ac:dyDescent="0.45">
      <c r="A1113" s="8">
        <v>1107</v>
      </c>
      <c r="B1113" s="35" t="str">
        <f t="shared" ref="B1113:C1116" si="477">B1112</f>
        <v>西日本第一本部</v>
      </c>
      <c r="C1113" s="35" t="str">
        <f t="shared" si="477"/>
        <v>そんぽの家　枚方西</v>
      </c>
      <c r="D1113" s="9" t="s">
        <v>4</v>
      </c>
      <c r="E1113" s="10">
        <v>1</v>
      </c>
      <c r="F1113" s="11">
        <v>7</v>
      </c>
      <c r="G1113" s="12">
        <v>7</v>
      </c>
      <c r="H1113" s="11">
        <v>0</v>
      </c>
      <c r="I1113" s="12">
        <v>0</v>
      </c>
      <c r="J1113" s="10">
        <v>7</v>
      </c>
      <c r="K1113" s="38">
        <f t="shared" ref="K1113:K1176" si="478">K1112</f>
        <v>5</v>
      </c>
      <c r="L1113" s="28">
        <v>1</v>
      </c>
      <c r="M1113" s="33">
        <f t="shared" si="469"/>
        <v>1</v>
      </c>
      <c r="N1113" s="1">
        <v>3716281200</v>
      </c>
    </row>
    <row r="1114" spans="1:14" ht="18" customHeight="1" x14ac:dyDescent="0.45">
      <c r="A1114" s="8">
        <v>1108</v>
      </c>
      <c r="B1114" s="35" t="str">
        <f t="shared" si="477"/>
        <v>西日本第一本部</v>
      </c>
      <c r="C1114" s="35" t="str">
        <f t="shared" si="477"/>
        <v>そんぽの家　枚方西</v>
      </c>
      <c r="D1114" s="9" t="s">
        <v>5</v>
      </c>
      <c r="E1114" s="10">
        <v>1</v>
      </c>
      <c r="F1114" s="11">
        <v>2</v>
      </c>
      <c r="G1114" s="12">
        <v>2</v>
      </c>
      <c r="H1114" s="11">
        <v>0</v>
      </c>
      <c r="I1114" s="12">
        <v>0</v>
      </c>
      <c r="J1114" s="10">
        <v>2</v>
      </c>
      <c r="K1114" s="38">
        <f t="shared" si="478"/>
        <v>5</v>
      </c>
      <c r="L1114" s="28">
        <v>0</v>
      </c>
      <c r="M1114" s="33">
        <f t="shared" si="469"/>
        <v>0</v>
      </c>
      <c r="N1114" s="1">
        <v>3716281200</v>
      </c>
    </row>
    <row r="1115" spans="1:14" ht="18" customHeight="1" x14ac:dyDescent="0.45">
      <c r="A1115" s="8">
        <v>1109</v>
      </c>
      <c r="B1115" s="35" t="str">
        <f t="shared" si="477"/>
        <v>西日本第一本部</v>
      </c>
      <c r="C1115" s="35" t="str">
        <f t="shared" si="477"/>
        <v>そんぽの家　枚方西</v>
      </c>
      <c r="D1115" s="9" t="s">
        <v>6</v>
      </c>
      <c r="E1115" s="10">
        <v>3</v>
      </c>
      <c r="F1115" s="11">
        <v>0</v>
      </c>
      <c r="G1115" s="12">
        <v>0</v>
      </c>
      <c r="H1115" s="11">
        <v>0</v>
      </c>
      <c r="I1115" s="12">
        <v>0</v>
      </c>
      <c r="J1115" s="10">
        <v>0</v>
      </c>
      <c r="K1115" s="38">
        <f t="shared" si="478"/>
        <v>5</v>
      </c>
      <c r="L1115" s="28">
        <v>0</v>
      </c>
      <c r="M1115" s="33">
        <f t="shared" si="469"/>
        <v>0</v>
      </c>
      <c r="N1115" s="1">
        <v>3716281200</v>
      </c>
    </row>
    <row r="1116" spans="1:14" ht="18" customHeight="1" x14ac:dyDescent="0.45">
      <c r="A1116" s="8">
        <v>1110</v>
      </c>
      <c r="B1116" s="36" t="str">
        <f t="shared" si="477"/>
        <v>西日本第一本部</v>
      </c>
      <c r="C1116" s="36" t="str">
        <f t="shared" si="477"/>
        <v>そんぽの家　枚方西</v>
      </c>
      <c r="D1116" s="9" t="s">
        <v>2</v>
      </c>
      <c r="E1116" s="10">
        <v>1</v>
      </c>
      <c r="F1116" s="11">
        <v>24</v>
      </c>
      <c r="G1116" s="12">
        <v>24</v>
      </c>
      <c r="H1116" s="11">
        <v>0</v>
      </c>
      <c r="I1116" s="12">
        <v>0</v>
      </c>
      <c r="J1116" s="10">
        <v>24</v>
      </c>
      <c r="K1116" s="39">
        <f t="shared" si="478"/>
        <v>5</v>
      </c>
      <c r="L1116" s="28">
        <v>2</v>
      </c>
      <c r="M1116" s="33">
        <f t="shared" si="469"/>
        <v>2</v>
      </c>
      <c r="N1116" s="1">
        <v>3716281200</v>
      </c>
    </row>
    <row r="1117" spans="1:14" ht="18" customHeight="1" x14ac:dyDescent="0.45">
      <c r="A1117" s="13">
        <v>1111</v>
      </c>
      <c r="B1117" s="40" t="s">
        <v>85</v>
      </c>
      <c r="C1117" s="40" t="s">
        <v>113</v>
      </c>
      <c r="D1117" s="14" t="s">
        <v>3</v>
      </c>
      <c r="E1117" s="15">
        <v>1</v>
      </c>
      <c r="F1117" s="16">
        <v>1</v>
      </c>
      <c r="G1117" s="17">
        <v>1</v>
      </c>
      <c r="H1117" s="16">
        <v>1</v>
      </c>
      <c r="I1117" s="17">
        <v>1</v>
      </c>
      <c r="J1117" s="15">
        <v>2</v>
      </c>
      <c r="K1117" s="43">
        <f t="shared" ref="K1117" si="479">SUM(M1117:M1121)</f>
        <v>6</v>
      </c>
      <c r="L1117" s="28">
        <v>0</v>
      </c>
      <c r="M1117" s="33">
        <f t="shared" si="469"/>
        <v>0</v>
      </c>
      <c r="N1117" s="1">
        <v>3716291200</v>
      </c>
    </row>
    <row r="1118" spans="1:14" ht="18" customHeight="1" x14ac:dyDescent="0.45">
      <c r="A1118" s="13">
        <v>1112</v>
      </c>
      <c r="B1118" s="41" t="str">
        <f t="shared" ref="B1118:C1121" si="480">B1117</f>
        <v>西日本第一本部</v>
      </c>
      <c r="C1118" s="41" t="str">
        <f t="shared" si="480"/>
        <v>そんぽの家　交野</v>
      </c>
      <c r="D1118" s="14" t="s">
        <v>4</v>
      </c>
      <c r="E1118" s="15">
        <v>1</v>
      </c>
      <c r="F1118" s="16">
        <v>1</v>
      </c>
      <c r="G1118" s="17">
        <v>1</v>
      </c>
      <c r="H1118" s="16">
        <v>0</v>
      </c>
      <c r="I1118" s="17">
        <v>0</v>
      </c>
      <c r="J1118" s="15">
        <v>1</v>
      </c>
      <c r="K1118" s="44">
        <f t="shared" si="478"/>
        <v>6</v>
      </c>
      <c r="L1118" s="28">
        <v>0</v>
      </c>
      <c r="M1118" s="33">
        <f t="shared" si="469"/>
        <v>0</v>
      </c>
      <c r="N1118" s="1">
        <v>3716291200</v>
      </c>
    </row>
    <row r="1119" spans="1:14" ht="18" customHeight="1" x14ac:dyDescent="0.45">
      <c r="A1119" s="13">
        <v>1113</v>
      </c>
      <c r="B1119" s="41" t="str">
        <f t="shared" si="480"/>
        <v>西日本第一本部</v>
      </c>
      <c r="C1119" s="41" t="str">
        <f t="shared" si="480"/>
        <v>そんぽの家　交野</v>
      </c>
      <c r="D1119" s="14" t="s">
        <v>5</v>
      </c>
      <c r="E1119" s="15">
        <v>1</v>
      </c>
      <c r="F1119" s="16">
        <v>9</v>
      </c>
      <c r="G1119" s="17">
        <v>9</v>
      </c>
      <c r="H1119" s="16">
        <v>0</v>
      </c>
      <c r="I1119" s="17">
        <v>0</v>
      </c>
      <c r="J1119" s="15">
        <v>9</v>
      </c>
      <c r="K1119" s="44">
        <f t="shared" si="478"/>
        <v>6</v>
      </c>
      <c r="L1119" s="28">
        <v>2</v>
      </c>
      <c r="M1119" s="33">
        <f t="shared" si="469"/>
        <v>2</v>
      </c>
      <c r="N1119" s="1">
        <v>3716291200</v>
      </c>
    </row>
    <row r="1120" spans="1:14" ht="18" customHeight="1" x14ac:dyDescent="0.45">
      <c r="A1120" s="13">
        <v>1114</v>
      </c>
      <c r="B1120" s="41" t="str">
        <f t="shared" si="480"/>
        <v>西日本第一本部</v>
      </c>
      <c r="C1120" s="41" t="str">
        <f t="shared" si="480"/>
        <v>そんぽの家　交野</v>
      </c>
      <c r="D1120" s="14" t="s">
        <v>6</v>
      </c>
      <c r="E1120" s="15">
        <v>3</v>
      </c>
      <c r="F1120" s="16">
        <v>14</v>
      </c>
      <c r="G1120" s="17">
        <v>4.7</v>
      </c>
      <c r="H1120" s="16">
        <v>0</v>
      </c>
      <c r="I1120" s="17">
        <v>0</v>
      </c>
      <c r="J1120" s="15">
        <v>14</v>
      </c>
      <c r="K1120" s="44">
        <f t="shared" si="478"/>
        <v>6</v>
      </c>
      <c r="L1120" s="28">
        <v>2</v>
      </c>
      <c r="M1120" s="33">
        <f t="shared" si="469"/>
        <v>2</v>
      </c>
      <c r="N1120" s="1">
        <v>3716291200</v>
      </c>
    </row>
    <row r="1121" spans="1:14" ht="18" customHeight="1" x14ac:dyDescent="0.45">
      <c r="A1121" s="13">
        <v>1115</v>
      </c>
      <c r="B1121" s="42" t="str">
        <f t="shared" si="480"/>
        <v>西日本第一本部</v>
      </c>
      <c r="C1121" s="42" t="str">
        <f t="shared" si="480"/>
        <v>そんぽの家　交野</v>
      </c>
      <c r="D1121" s="14" t="s">
        <v>2</v>
      </c>
      <c r="E1121" s="15">
        <v>1</v>
      </c>
      <c r="F1121" s="16">
        <v>30</v>
      </c>
      <c r="G1121" s="17">
        <v>30</v>
      </c>
      <c r="H1121" s="16">
        <v>0</v>
      </c>
      <c r="I1121" s="17">
        <v>0</v>
      </c>
      <c r="J1121" s="15">
        <v>30</v>
      </c>
      <c r="K1121" s="45">
        <f t="shared" si="478"/>
        <v>6</v>
      </c>
      <c r="L1121" s="28">
        <v>2</v>
      </c>
      <c r="M1121" s="33">
        <f t="shared" si="469"/>
        <v>2</v>
      </c>
      <c r="N1121" s="1">
        <v>3716291200</v>
      </c>
    </row>
    <row r="1122" spans="1:14" ht="18" customHeight="1" x14ac:dyDescent="0.45">
      <c r="A1122" s="8">
        <v>1116</v>
      </c>
      <c r="B1122" s="34" t="s">
        <v>85</v>
      </c>
      <c r="C1122" s="34" t="s">
        <v>114</v>
      </c>
      <c r="D1122" s="9" t="s">
        <v>3</v>
      </c>
      <c r="E1122" s="10">
        <v>1</v>
      </c>
      <c r="F1122" s="11">
        <v>12</v>
      </c>
      <c r="G1122" s="12">
        <v>12</v>
      </c>
      <c r="H1122" s="11">
        <v>13</v>
      </c>
      <c r="I1122" s="12">
        <v>13</v>
      </c>
      <c r="J1122" s="10">
        <v>25</v>
      </c>
      <c r="K1122" s="37">
        <f t="shared" ref="K1122" si="481">SUM(M1122:M1126)</f>
        <v>10</v>
      </c>
      <c r="L1122" s="28">
        <v>2</v>
      </c>
      <c r="M1122" s="33">
        <f t="shared" si="469"/>
        <v>2</v>
      </c>
      <c r="N1122" s="1">
        <v>3716321200</v>
      </c>
    </row>
    <row r="1123" spans="1:14" ht="18" customHeight="1" x14ac:dyDescent="0.45">
      <c r="A1123" s="8">
        <v>1117</v>
      </c>
      <c r="B1123" s="35" t="str">
        <f t="shared" ref="B1123:C1126" si="482">B1122</f>
        <v>西日本第一本部</v>
      </c>
      <c r="C1123" s="35" t="str">
        <f t="shared" si="482"/>
        <v>そんぽの家　交野駅前</v>
      </c>
      <c r="D1123" s="9" t="s">
        <v>4</v>
      </c>
      <c r="E1123" s="10">
        <v>1</v>
      </c>
      <c r="F1123" s="11">
        <v>16</v>
      </c>
      <c r="G1123" s="12">
        <v>16</v>
      </c>
      <c r="H1123" s="11">
        <v>17</v>
      </c>
      <c r="I1123" s="12">
        <v>17</v>
      </c>
      <c r="J1123" s="10">
        <v>33</v>
      </c>
      <c r="K1123" s="38">
        <f t="shared" si="478"/>
        <v>10</v>
      </c>
      <c r="L1123" s="28">
        <v>2</v>
      </c>
      <c r="M1123" s="33">
        <f t="shared" si="469"/>
        <v>2</v>
      </c>
      <c r="N1123" s="1">
        <v>3716321200</v>
      </c>
    </row>
    <row r="1124" spans="1:14" ht="18" customHeight="1" x14ac:dyDescent="0.45">
      <c r="A1124" s="8">
        <v>1118</v>
      </c>
      <c r="B1124" s="35" t="str">
        <f t="shared" si="482"/>
        <v>西日本第一本部</v>
      </c>
      <c r="C1124" s="35" t="str">
        <f t="shared" si="482"/>
        <v>そんぽの家　交野駅前</v>
      </c>
      <c r="D1124" s="9" t="s">
        <v>5</v>
      </c>
      <c r="E1124" s="10">
        <v>1</v>
      </c>
      <c r="F1124" s="11">
        <v>70</v>
      </c>
      <c r="G1124" s="12">
        <v>70</v>
      </c>
      <c r="H1124" s="11">
        <v>0</v>
      </c>
      <c r="I1124" s="12">
        <v>0</v>
      </c>
      <c r="J1124" s="10">
        <v>70</v>
      </c>
      <c r="K1124" s="38">
        <f t="shared" si="478"/>
        <v>10</v>
      </c>
      <c r="L1124" s="28">
        <v>2</v>
      </c>
      <c r="M1124" s="33">
        <f t="shared" si="469"/>
        <v>2</v>
      </c>
      <c r="N1124" s="1">
        <v>3716321200</v>
      </c>
    </row>
    <row r="1125" spans="1:14" ht="18" customHeight="1" x14ac:dyDescent="0.45">
      <c r="A1125" s="8">
        <v>1119</v>
      </c>
      <c r="B1125" s="35" t="str">
        <f t="shared" si="482"/>
        <v>西日本第一本部</v>
      </c>
      <c r="C1125" s="35" t="str">
        <f t="shared" si="482"/>
        <v>そんぽの家　交野駅前</v>
      </c>
      <c r="D1125" s="9" t="s">
        <v>6</v>
      </c>
      <c r="E1125" s="10">
        <v>4</v>
      </c>
      <c r="F1125" s="11">
        <v>16</v>
      </c>
      <c r="G1125" s="12">
        <v>4</v>
      </c>
      <c r="H1125" s="11">
        <v>0</v>
      </c>
      <c r="I1125" s="12">
        <v>0</v>
      </c>
      <c r="J1125" s="10">
        <v>16</v>
      </c>
      <c r="K1125" s="38">
        <f t="shared" si="478"/>
        <v>10</v>
      </c>
      <c r="L1125" s="28">
        <v>2</v>
      </c>
      <c r="M1125" s="33">
        <f t="shared" si="469"/>
        <v>2</v>
      </c>
      <c r="N1125" s="1">
        <v>3716321200</v>
      </c>
    </row>
    <row r="1126" spans="1:14" ht="18" customHeight="1" x14ac:dyDescent="0.45">
      <c r="A1126" s="8">
        <v>1120</v>
      </c>
      <c r="B1126" s="36" t="str">
        <f t="shared" si="482"/>
        <v>西日本第一本部</v>
      </c>
      <c r="C1126" s="36" t="str">
        <f t="shared" si="482"/>
        <v>そんぽの家　交野駅前</v>
      </c>
      <c r="D1126" s="9" t="s">
        <v>2</v>
      </c>
      <c r="E1126" s="10">
        <v>1</v>
      </c>
      <c r="F1126" s="11">
        <v>64</v>
      </c>
      <c r="G1126" s="12">
        <v>64</v>
      </c>
      <c r="H1126" s="11">
        <v>0</v>
      </c>
      <c r="I1126" s="12">
        <v>0</v>
      </c>
      <c r="J1126" s="10">
        <v>64</v>
      </c>
      <c r="K1126" s="39">
        <f t="shared" si="478"/>
        <v>10</v>
      </c>
      <c r="L1126" s="28">
        <v>2</v>
      </c>
      <c r="M1126" s="33">
        <f t="shared" si="469"/>
        <v>2</v>
      </c>
      <c r="N1126" s="1">
        <v>3716321200</v>
      </c>
    </row>
    <row r="1127" spans="1:14" ht="18" customHeight="1" x14ac:dyDescent="0.45">
      <c r="A1127" s="13">
        <v>1121</v>
      </c>
      <c r="B1127" s="40" t="s">
        <v>85</v>
      </c>
      <c r="C1127" s="40" t="s">
        <v>115</v>
      </c>
      <c r="D1127" s="14" t="s">
        <v>3</v>
      </c>
      <c r="E1127" s="15">
        <v>1</v>
      </c>
      <c r="F1127" s="16">
        <v>5</v>
      </c>
      <c r="G1127" s="17">
        <v>5</v>
      </c>
      <c r="H1127" s="16">
        <v>5</v>
      </c>
      <c r="I1127" s="17">
        <v>5</v>
      </c>
      <c r="J1127" s="15">
        <v>10</v>
      </c>
      <c r="K1127" s="43">
        <f t="shared" ref="K1127" si="483">SUM(M1127:M1131)</f>
        <v>8</v>
      </c>
      <c r="L1127" s="28">
        <v>2</v>
      </c>
      <c r="M1127" s="33">
        <f t="shared" si="469"/>
        <v>2</v>
      </c>
      <c r="N1127" s="1">
        <v>3716331200</v>
      </c>
    </row>
    <row r="1128" spans="1:14" ht="18" customHeight="1" x14ac:dyDescent="0.45">
      <c r="A1128" s="13">
        <v>1122</v>
      </c>
      <c r="B1128" s="41" t="str">
        <f t="shared" ref="B1128:C1131" si="484">B1127</f>
        <v>西日本第一本部</v>
      </c>
      <c r="C1128" s="41" t="str">
        <f t="shared" si="484"/>
        <v>そんぽの家　寝屋川寿町</v>
      </c>
      <c r="D1128" s="14" t="s">
        <v>4</v>
      </c>
      <c r="E1128" s="15">
        <v>1</v>
      </c>
      <c r="F1128" s="16">
        <v>16</v>
      </c>
      <c r="G1128" s="17">
        <v>16</v>
      </c>
      <c r="H1128" s="16">
        <v>6</v>
      </c>
      <c r="I1128" s="17">
        <v>6</v>
      </c>
      <c r="J1128" s="15">
        <v>22</v>
      </c>
      <c r="K1128" s="44">
        <f t="shared" si="478"/>
        <v>8</v>
      </c>
      <c r="L1128" s="28">
        <v>2</v>
      </c>
      <c r="M1128" s="33">
        <f t="shared" si="469"/>
        <v>2</v>
      </c>
      <c r="N1128" s="1">
        <v>3716331200</v>
      </c>
    </row>
    <row r="1129" spans="1:14" ht="18" customHeight="1" x14ac:dyDescent="0.45">
      <c r="A1129" s="13">
        <v>1123</v>
      </c>
      <c r="B1129" s="41" t="str">
        <f t="shared" si="484"/>
        <v>西日本第一本部</v>
      </c>
      <c r="C1129" s="41" t="str">
        <f t="shared" si="484"/>
        <v>そんぽの家　寝屋川寿町</v>
      </c>
      <c r="D1129" s="14" t="s">
        <v>5</v>
      </c>
      <c r="E1129" s="15">
        <v>1</v>
      </c>
      <c r="F1129" s="16">
        <v>24</v>
      </c>
      <c r="G1129" s="17">
        <v>24</v>
      </c>
      <c r="H1129" s="16">
        <v>0</v>
      </c>
      <c r="I1129" s="17">
        <v>0</v>
      </c>
      <c r="J1129" s="15">
        <v>24</v>
      </c>
      <c r="K1129" s="44">
        <f t="shared" si="478"/>
        <v>8</v>
      </c>
      <c r="L1129" s="28">
        <v>2</v>
      </c>
      <c r="M1129" s="33">
        <f t="shared" si="469"/>
        <v>2</v>
      </c>
      <c r="N1129" s="1">
        <v>3716331200</v>
      </c>
    </row>
    <row r="1130" spans="1:14" ht="18" customHeight="1" x14ac:dyDescent="0.45">
      <c r="A1130" s="13">
        <v>1124</v>
      </c>
      <c r="B1130" s="41" t="str">
        <f t="shared" si="484"/>
        <v>西日本第一本部</v>
      </c>
      <c r="C1130" s="41" t="str">
        <f t="shared" si="484"/>
        <v>そんぽの家　寝屋川寿町</v>
      </c>
      <c r="D1130" s="14" t="s">
        <v>6</v>
      </c>
      <c r="E1130" s="15">
        <v>3</v>
      </c>
      <c r="F1130" s="16">
        <v>0</v>
      </c>
      <c r="G1130" s="17">
        <v>0</v>
      </c>
      <c r="H1130" s="16">
        <v>0</v>
      </c>
      <c r="I1130" s="17">
        <v>0</v>
      </c>
      <c r="J1130" s="15">
        <v>0</v>
      </c>
      <c r="K1130" s="44">
        <f t="shared" si="478"/>
        <v>8</v>
      </c>
      <c r="L1130" s="28">
        <v>0</v>
      </c>
      <c r="M1130" s="33">
        <f t="shared" si="469"/>
        <v>0</v>
      </c>
      <c r="N1130" s="1">
        <v>3716331200</v>
      </c>
    </row>
    <row r="1131" spans="1:14" ht="18" customHeight="1" x14ac:dyDescent="0.45">
      <c r="A1131" s="13">
        <v>1125</v>
      </c>
      <c r="B1131" s="42" t="str">
        <f t="shared" si="484"/>
        <v>西日本第一本部</v>
      </c>
      <c r="C1131" s="42" t="str">
        <f t="shared" si="484"/>
        <v>そんぽの家　寝屋川寿町</v>
      </c>
      <c r="D1131" s="14" t="s">
        <v>2</v>
      </c>
      <c r="E1131" s="15">
        <v>1</v>
      </c>
      <c r="F1131" s="16">
        <v>42</v>
      </c>
      <c r="G1131" s="17">
        <v>42</v>
      </c>
      <c r="H1131" s="16">
        <v>0</v>
      </c>
      <c r="I1131" s="17">
        <v>0</v>
      </c>
      <c r="J1131" s="15">
        <v>42</v>
      </c>
      <c r="K1131" s="45">
        <f t="shared" si="478"/>
        <v>8</v>
      </c>
      <c r="L1131" s="28">
        <v>2</v>
      </c>
      <c r="M1131" s="33">
        <f t="shared" si="469"/>
        <v>2</v>
      </c>
      <c r="N1131" s="1">
        <v>3716331200</v>
      </c>
    </row>
    <row r="1132" spans="1:14" ht="18" customHeight="1" x14ac:dyDescent="0.45">
      <c r="A1132" s="8">
        <v>1126</v>
      </c>
      <c r="B1132" s="34" t="s">
        <v>85</v>
      </c>
      <c r="C1132" s="34" t="s">
        <v>116</v>
      </c>
      <c r="D1132" s="9" t="s">
        <v>3</v>
      </c>
      <c r="E1132" s="10">
        <v>1</v>
      </c>
      <c r="F1132" s="11">
        <v>2</v>
      </c>
      <c r="G1132" s="12">
        <v>2</v>
      </c>
      <c r="H1132" s="11">
        <v>3</v>
      </c>
      <c r="I1132" s="12">
        <v>3</v>
      </c>
      <c r="J1132" s="10">
        <v>5</v>
      </c>
      <c r="K1132" s="37">
        <f t="shared" ref="K1132" si="485">SUM(M1132:M1136)</f>
        <v>6</v>
      </c>
      <c r="L1132" s="28">
        <v>1</v>
      </c>
      <c r="M1132" s="33">
        <f t="shared" si="469"/>
        <v>1</v>
      </c>
      <c r="N1132" s="1">
        <v>3716361200</v>
      </c>
    </row>
    <row r="1133" spans="1:14" ht="18" customHeight="1" x14ac:dyDescent="0.45">
      <c r="A1133" s="8">
        <v>1127</v>
      </c>
      <c r="B1133" s="35" t="str">
        <f t="shared" ref="B1133:C1136" si="486">B1132</f>
        <v>西日本第一本部</v>
      </c>
      <c r="C1133" s="35" t="str">
        <f t="shared" si="486"/>
        <v>そんぽの家　星田</v>
      </c>
      <c r="D1133" s="9" t="s">
        <v>4</v>
      </c>
      <c r="E1133" s="10">
        <v>0</v>
      </c>
      <c r="F1133" s="11">
        <v>0</v>
      </c>
      <c r="G1133" s="12">
        <v>0</v>
      </c>
      <c r="H1133" s="11">
        <v>0</v>
      </c>
      <c r="I1133" s="12">
        <v>0</v>
      </c>
      <c r="J1133" s="10">
        <v>0</v>
      </c>
      <c r="K1133" s="38">
        <f t="shared" si="478"/>
        <v>6</v>
      </c>
      <c r="L1133" s="28">
        <v>0</v>
      </c>
      <c r="M1133" s="33">
        <f t="shared" si="469"/>
        <v>0</v>
      </c>
      <c r="N1133" s="1">
        <v>3716361200</v>
      </c>
    </row>
    <row r="1134" spans="1:14" ht="18" customHeight="1" x14ac:dyDescent="0.45">
      <c r="A1134" s="8">
        <v>1128</v>
      </c>
      <c r="B1134" s="35" t="str">
        <f t="shared" si="486"/>
        <v>西日本第一本部</v>
      </c>
      <c r="C1134" s="35" t="str">
        <f t="shared" si="486"/>
        <v>そんぽの家　星田</v>
      </c>
      <c r="D1134" s="9" t="s">
        <v>5</v>
      </c>
      <c r="E1134" s="10">
        <v>1</v>
      </c>
      <c r="F1134" s="11">
        <v>27</v>
      </c>
      <c r="G1134" s="12">
        <v>27</v>
      </c>
      <c r="H1134" s="11">
        <v>0</v>
      </c>
      <c r="I1134" s="12">
        <v>0</v>
      </c>
      <c r="J1134" s="10">
        <v>27</v>
      </c>
      <c r="K1134" s="38">
        <f t="shared" si="478"/>
        <v>6</v>
      </c>
      <c r="L1134" s="28">
        <v>2</v>
      </c>
      <c r="M1134" s="33">
        <f t="shared" si="469"/>
        <v>2</v>
      </c>
      <c r="N1134" s="1">
        <v>3716361200</v>
      </c>
    </row>
    <row r="1135" spans="1:14" ht="18" customHeight="1" x14ac:dyDescent="0.45">
      <c r="A1135" s="8">
        <v>1129</v>
      </c>
      <c r="B1135" s="35" t="str">
        <f t="shared" si="486"/>
        <v>西日本第一本部</v>
      </c>
      <c r="C1135" s="35" t="str">
        <f t="shared" si="486"/>
        <v>そんぽの家　星田</v>
      </c>
      <c r="D1135" s="9" t="s">
        <v>6</v>
      </c>
      <c r="E1135" s="10">
        <v>3</v>
      </c>
      <c r="F1135" s="11">
        <v>6</v>
      </c>
      <c r="G1135" s="12">
        <v>2</v>
      </c>
      <c r="H1135" s="11">
        <v>0</v>
      </c>
      <c r="I1135" s="12">
        <v>0</v>
      </c>
      <c r="J1135" s="10">
        <v>6</v>
      </c>
      <c r="K1135" s="38">
        <f t="shared" si="478"/>
        <v>6</v>
      </c>
      <c r="L1135" s="28">
        <v>1</v>
      </c>
      <c r="M1135" s="33">
        <f t="shared" si="469"/>
        <v>1</v>
      </c>
      <c r="N1135" s="1">
        <v>3716361200</v>
      </c>
    </row>
    <row r="1136" spans="1:14" ht="18" customHeight="1" x14ac:dyDescent="0.45">
      <c r="A1136" s="8">
        <v>1130</v>
      </c>
      <c r="B1136" s="36" t="str">
        <f t="shared" si="486"/>
        <v>西日本第一本部</v>
      </c>
      <c r="C1136" s="36" t="str">
        <f t="shared" si="486"/>
        <v>そんぽの家　星田</v>
      </c>
      <c r="D1136" s="9" t="s">
        <v>2</v>
      </c>
      <c r="E1136" s="10">
        <v>2</v>
      </c>
      <c r="F1136" s="11">
        <v>19</v>
      </c>
      <c r="G1136" s="12">
        <v>9.5</v>
      </c>
      <c r="H1136" s="11">
        <v>0</v>
      </c>
      <c r="I1136" s="12">
        <v>0</v>
      </c>
      <c r="J1136" s="10">
        <v>19</v>
      </c>
      <c r="K1136" s="39">
        <f t="shared" si="478"/>
        <v>6</v>
      </c>
      <c r="L1136" s="28">
        <v>2</v>
      </c>
      <c r="M1136" s="33">
        <f t="shared" si="469"/>
        <v>2</v>
      </c>
      <c r="N1136" s="1">
        <v>3716361200</v>
      </c>
    </row>
    <row r="1137" spans="1:14" ht="18" customHeight="1" x14ac:dyDescent="0.45">
      <c r="A1137" s="13">
        <v>1131</v>
      </c>
      <c r="B1137" s="40" t="s">
        <v>85</v>
      </c>
      <c r="C1137" s="40" t="s">
        <v>117</v>
      </c>
      <c r="D1137" s="14" t="s">
        <v>3</v>
      </c>
      <c r="E1137" s="15">
        <v>1</v>
      </c>
      <c r="F1137" s="16">
        <v>0</v>
      </c>
      <c r="G1137" s="17">
        <v>0</v>
      </c>
      <c r="H1137" s="16">
        <v>0</v>
      </c>
      <c r="I1137" s="17">
        <v>0</v>
      </c>
      <c r="J1137" s="15">
        <v>0</v>
      </c>
      <c r="K1137" s="43">
        <f t="shared" ref="K1137" si="487">SUM(M1137:M1141)</f>
        <v>8</v>
      </c>
      <c r="L1137" s="28">
        <v>0</v>
      </c>
      <c r="M1137" s="33">
        <f t="shared" si="469"/>
        <v>0</v>
      </c>
      <c r="N1137" s="1">
        <v>3716371200</v>
      </c>
    </row>
    <row r="1138" spans="1:14" ht="18" customHeight="1" x14ac:dyDescent="0.45">
      <c r="A1138" s="13">
        <v>1132</v>
      </c>
      <c r="B1138" s="41" t="str">
        <f t="shared" ref="B1138:C1141" si="488">B1137</f>
        <v>西日本第一本部</v>
      </c>
      <c r="C1138" s="41" t="str">
        <f t="shared" si="488"/>
        <v>そんぽの家　守口南</v>
      </c>
      <c r="D1138" s="14" t="s">
        <v>4</v>
      </c>
      <c r="E1138" s="15">
        <v>1</v>
      </c>
      <c r="F1138" s="16">
        <v>12</v>
      </c>
      <c r="G1138" s="17">
        <v>12</v>
      </c>
      <c r="H1138" s="16">
        <v>13</v>
      </c>
      <c r="I1138" s="17">
        <v>13</v>
      </c>
      <c r="J1138" s="15">
        <v>25</v>
      </c>
      <c r="K1138" s="44">
        <f t="shared" si="478"/>
        <v>8</v>
      </c>
      <c r="L1138" s="28">
        <v>2</v>
      </c>
      <c r="M1138" s="33">
        <f t="shared" si="469"/>
        <v>2</v>
      </c>
      <c r="N1138" s="1">
        <v>3716371200</v>
      </c>
    </row>
    <row r="1139" spans="1:14" ht="18" customHeight="1" x14ac:dyDescent="0.45">
      <c r="A1139" s="13">
        <v>1133</v>
      </c>
      <c r="B1139" s="41" t="str">
        <f t="shared" si="488"/>
        <v>西日本第一本部</v>
      </c>
      <c r="C1139" s="41" t="str">
        <f t="shared" si="488"/>
        <v>そんぽの家　守口南</v>
      </c>
      <c r="D1139" s="14" t="s">
        <v>5</v>
      </c>
      <c r="E1139" s="15">
        <v>1</v>
      </c>
      <c r="F1139" s="16">
        <v>12</v>
      </c>
      <c r="G1139" s="17">
        <v>12</v>
      </c>
      <c r="H1139" s="16">
        <v>0</v>
      </c>
      <c r="I1139" s="17">
        <v>0</v>
      </c>
      <c r="J1139" s="15">
        <v>12</v>
      </c>
      <c r="K1139" s="44">
        <f t="shared" si="478"/>
        <v>8</v>
      </c>
      <c r="L1139" s="28">
        <v>2</v>
      </c>
      <c r="M1139" s="33">
        <f t="shared" si="469"/>
        <v>2</v>
      </c>
      <c r="N1139" s="1">
        <v>3716371200</v>
      </c>
    </row>
    <row r="1140" spans="1:14" ht="18" customHeight="1" x14ac:dyDescent="0.45">
      <c r="A1140" s="13">
        <v>1134</v>
      </c>
      <c r="B1140" s="41" t="str">
        <f t="shared" si="488"/>
        <v>西日本第一本部</v>
      </c>
      <c r="C1140" s="41" t="str">
        <f t="shared" si="488"/>
        <v>そんぽの家　守口南</v>
      </c>
      <c r="D1140" s="14" t="s">
        <v>6</v>
      </c>
      <c r="E1140" s="15">
        <v>3</v>
      </c>
      <c r="F1140" s="16">
        <v>18</v>
      </c>
      <c r="G1140" s="17">
        <v>6</v>
      </c>
      <c r="H1140" s="16">
        <v>0</v>
      </c>
      <c r="I1140" s="17">
        <v>0</v>
      </c>
      <c r="J1140" s="15">
        <v>18</v>
      </c>
      <c r="K1140" s="44">
        <f t="shared" si="478"/>
        <v>8</v>
      </c>
      <c r="L1140" s="28">
        <v>2</v>
      </c>
      <c r="M1140" s="33">
        <f t="shared" si="469"/>
        <v>2</v>
      </c>
      <c r="N1140" s="1">
        <v>3716371200</v>
      </c>
    </row>
    <row r="1141" spans="1:14" ht="18" customHeight="1" x14ac:dyDescent="0.45">
      <c r="A1141" s="13">
        <v>1135</v>
      </c>
      <c r="B1141" s="42" t="str">
        <f t="shared" si="488"/>
        <v>西日本第一本部</v>
      </c>
      <c r="C1141" s="42" t="str">
        <f t="shared" si="488"/>
        <v>そんぽの家　守口南</v>
      </c>
      <c r="D1141" s="14" t="s">
        <v>2</v>
      </c>
      <c r="E1141" s="15">
        <v>2</v>
      </c>
      <c r="F1141" s="16">
        <v>44</v>
      </c>
      <c r="G1141" s="17">
        <v>22</v>
      </c>
      <c r="H1141" s="16">
        <v>0</v>
      </c>
      <c r="I1141" s="17">
        <v>0</v>
      </c>
      <c r="J1141" s="15">
        <v>44</v>
      </c>
      <c r="K1141" s="45">
        <f t="shared" si="478"/>
        <v>8</v>
      </c>
      <c r="L1141" s="28">
        <v>2</v>
      </c>
      <c r="M1141" s="33">
        <f t="shared" si="469"/>
        <v>2</v>
      </c>
      <c r="N1141" s="1">
        <v>3716371200</v>
      </c>
    </row>
    <row r="1142" spans="1:14" ht="18" customHeight="1" x14ac:dyDescent="0.45">
      <c r="A1142" s="8">
        <v>1136</v>
      </c>
      <c r="B1142" s="34" t="s">
        <v>85</v>
      </c>
      <c r="C1142" s="34" t="s">
        <v>118</v>
      </c>
      <c r="D1142" s="9" t="s">
        <v>3</v>
      </c>
      <c r="E1142" s="10">
        <v>1</v>
      </c>
      <c r="F1142" s="11">
        <v>9</v>
      </c>
      <c r="G1142" s="12">
        <v>9</v>
      </c>
      <c r="H1142" s="11">
        <v>2</v>
      </c>
      <c r="I1142" s="12">
        <v>2</v>
      </c>
      <c r="J1142" s="10">
        <v>11</v>
      </c>
      <c r="K1142" s="37">
        <f t="shared" ref="K1142" si="489">SUM(M1142:M1146)</f>
        <v>8</v>
      </c>
      <c r="L1142" s="28">
        <v>2</v>
      </c>
      <c r="M1142" s="33">
        <f t="shared" si="469"/>
        <v>2</v>
      </c>
      <c r="N1142" s="1">
        <v>3716471200</v>
      </c>
    </row>
    <row r="1143" spans="1:14" ht="18" customHeight="1" x14ac:dyDescent="0.45">
      <c r="A1143" s="8">
        <v>1137</v>
      </c>
      <c r="B1143" s="35" t="str">
        <f t="shared" ref="B1143:C1146" si="490">B1142</f>
        <v>西日本第一本部</v>
      </c>
      <c r="C1143" s="35" t="str">
        <f t="shared" si="490"/>
        <v>そんぽの家　茨木島</v>
      </c>
      <c r="D1143" s="9" t="s">
        <v>4</v>
      </c>
      <c r="E1143" s="10">
        <v>1</v>
      </c>
      <c r="F1143" s="11">
        <v>0</v>
      </c>
      <c r="G1143" s="12">
        <v>0</v>
      </c>
      <c r="H1143" s="11">
        <v>0</v>
      </c>
      <c r="I1143" s="12">
        <v>0</v>
      </c>
      <c r="J1143" s="10">
        <v>0</v>
      </c>
      <c r="K1143" s="38">
        <f t="shared" si="478"/>
        <v>8</v>
      </c>
      <c r="L1143" s="28">
        <v>0</v>
      </c>
      <c r="M1143" s="33">
        <f t="shared" si="469"/>
        <v>0</v>
      </c>
      <c r="N1143" s="1">
        <v>3716471200</v>
      </c>
    </row>
    <row r="1144" spans="1:14" ht="18" customHeight="1" x14ac:dyDescent="0.45">
      <c r="A1144" s="8">
        <v>1138</v>
      </c>
      <c r="B1144" s="35" t="str">
        <f t="shared" si="490"/>
        <v>西日本第一本部</v>
      </c>
      <c r="C1144" s="35" t="str">
        <f t="shared" si="490"/>
        <v>そんぽの家　茨木島</v>
      </c>
      <c r="D1144" s="9" t="s">
        <v>5</v>
      </c>
      <c r="E1144" s="10">
        <v>1</v>
      </c>
      <c r="F1144" s="11">
        <v>18</v>
      </c>
      <c r="G1144" s="12">
        <v>18</v>
      </c>
      <c r="H1144" s="11">
        <v>0</v>
      </c>
      <c r="I1144" s="12">
        <v>0</v>
      </c>
      <c r="J1144" s="10">
        <v>18</v>
      </c>
      <c r="K1144" s="38">
        <f t="shared" si="478"/>
        <v>8</v>
      </c>
      <c r="L1144" s="28">
        <v>2</v>
      </c>
      <c r="M1144" s="33">
        <f t="shared" si="469"/>
        <v>2</v>
      </c>
      <c r="N1144" s="1">
        <v>3716471200</v>
      </c>
    </row>
    <row r="1145" spans="1:14" ht="18" customHeight="1" x14ac:dyDescent="0.45">
      <c r="A1145" s="8">
        <v>1139</v>
      </c>
      <c r="B1145" s="35" t="str">
        <f t="shared" si="490"/>
        <v>西日本第一本部</v>
      </c>
      <c r="C1145" s="35" t="str">
        <f t="shared" si="490"/>
        <v>そんぽの家　茨木島</v>
      </c>
      <c r="D1145" s="9" t="s">
        <v>6</v>
      </c>
      <c r="E1145" s="10">
        <v>4</v>
      </c>
      <c r="F1145" s="11">
        <v>8</v>
      </c>
      <c r="G1145" s="12">
        <v>2</v>
      </c>
      <c r="H1145" s="11">
        <v>0</v>
      </c>
      <c r="I1145" s="12">
        <v>0</v>
      </c>
      <c r="J1145" s="10">
        <v>8</v>
      </c>
      <c r="K1145" s="38">
        <f t="shared" si="478"/>
        <v>8</v>
      </c>
      <c r="L1145" s="28">
        <v>2</v>
      </c>
      <c r="M1145" s="33">
        <f t="shared" si="469"/>
        <v>2</v>
      </c>
      <c r="N1145" s="1">
        <v>3716471200</v>
      </c>
    </row>
    <row r="1146" spans="1:14" ht="18" customHeight="1" x14ac:dyDescent="0.45">
      <c r="A1146" s="8">
        <v>1140</v>
      </c>
      <c r="B1146" s="36" t="str">
        <f t="shared" si="490"/>
        <v>西日本第一本部</v>
      </c>
      <c r="C1146" s="36" t="str">
        <f t="shared" si="490"/>
        <v>そんぽの家　茨木島</v>
      </c>
      <c r="D1146" s="9" t="s">
        <v>2</v>
      </c>
      <c r="E1146" s="10">
        <v>2</v>
      </c>
      <c r="F1146" s="11">
        <v>20</v>
      </c>
      <c r="G1146" s="12">
        <v>10</v>
      </c>
      <c r="H1146" s="11">
        <v>0</v>
      </c>
      <c r="I1146" s="12">
        <v>0</v>
      </c>
      <c r="J1146" s="10">
        <v>20</v>
      </c>
      <c r="K1146" s="39">
        <f t="shared" si="478"/>
        <v>8</v>
      </c>
      <c r="L1146" s="28">
        <v>2</v>
      </c>
      <c r="M1146" s="33">
        <f t="shared" si="469"/>
        <v>2</v>
      </c>
      <c r="N1146" s="1">
        <v>3716471200</v>
      </c>
    </row>
    <row r="1147" spans="1:14" ht="18" customHeight="1" x14ac:dyDescent="0.45">
      <c r="A1147" s="13">
        <v>1141</v>
      </c>
      <c r="B1147" s="40" t="s">
        <v>85</v>
      </c>
      <c r="C1147" s="40" t="s">
        <v>119</v>
      </c>
      <c r="D1147" s="14" t="s">
        <v>3</v>
      </c>
      <c r="E1147" s="15">
        <v>1</v>
      </c>
      <c r="F1147" s="16">
        <v>10</v>
      </c>
      <c r="G1147" s="17">
        <v>10</v>
      </c>
      <c r="H1147" s="16">
        <v>2</v>
      </c>
      <c r="I1147" s="17">
        <v>2</v>
      </c>
      <c r="J1147" s="15">
        <v>12</v>
      </c>
      <c r="K1147" s="43">
        <f t="shared" ref="K1147" si="491">SUM(M1147:M1151)</f>
        <v>10</v>
      </c>
      <c r="L1147" s="28">
        <v>2</v>
      </c>
      <c r="M1147" s="33">
        <f t="shared" si="469"/>
        <v>2</v>
      </c>
      <c r="N1147" s="1">
        <v>3716481200</v>
      </c>
    </row>
    <row r="1148" spans="1:14" ht="18" customHeight="1" x14ac:dyDescent="0.45">
      <c r="A1148" s="13">
        <v>1142</v>
      </c>
      <c r="B1148" s="41" t="str">
        <f t="shared" ref="B1148:C1151" si="492">B1147</f>
        <v>西日本第一本部</v>
      </c>
      <c r="C1148" s="41" t="str">
        <f t="shared" si="492"/>
        <v>そんぽの家　茨木東奈良</v>
      </c>
      <c r="D1148" s="14" t="s">
        <v>4</v>
      </c>
      <c r="E1148" s="15">
        <v>1</v>
      </c>
      <c r="F1148" s="16">
        <v>15</v>
      </c>
      <c r="G1148" s="17">
        <v>15</v>
      </c>
      <c r="H1148" s="16">
        <v>0</v>
      </c>
      <c r="I1148" s="17">
        <v>0</v>
      </c>
      <c r="J1148" s="15">
        <v>15</v>
      </c>
      <c r="K1148" s="44">
        <f t="shared" si="478"/>
        <v>10</v>
      </c>
      <c r="L1148" s="28">
        <v>2</v>
      </c>
      <c r="M1148" s="33">
        <f t="shared" si="469"/>
        <v>2</v>
      </c>
      <c r="N1148" s="1">
        <v>3716481200</v>
      </c>
    </row>
    <row r="1149" spans="1:14" ht="18" customHeight="1" x14ac:dyDescent="0.45">
      <c r="A1149" s="13">
        <v>1143</v>
      </c>
      <c r="B1149" s="41" t="str">
        <f t="shared" si="492"/>
        <v>西日本第一本部</v>
      </c>
      <c r="C1149" s="41" t="str">
        <f t="shared" si="492"/>
        <v>そんぽの家　茨木東奈良</v>
      </c>
      <c r="D1149" s="14" t="s">
        <v>5</v>
      </c>
      <c r="E1149" s="15">
        <v>2</v>
      </c>
      <c r="F1149" s="16">
        <v>57</v>
      </c>
      <c r="G1149" s="17">
        <v>28.5</v>
      </c>
      <c r="H1149" s="16">
        <v>0</v>
      </c>
      <c r="I1149" s="17">
        <v>0</v>
      </c>
      <c r="J1149" s="15">
        <v>57</v>
      </c>
      <c r="K1149" s="44">
        <f t="shared" si="478"/>
        <v>10</v>
      </c>
      <c r="L1149" s="28">
        <v>2</v>
      </c>
      <c r="M1149" s="33">
        <f t="shared" si="469"/>
        <v>2</v>
      </c>
      <c r="N1149" s="1">
        <v>3716481200</v>
      </c>
    </row>
    <row r="1150" spans="1:14" ht="18" customHeight="1" x14ac:dyDescent="0.45">
      <c r="A1150" s="13">
        <v>1144</v>
      </c>
      <c r="B1150" s="41" t="str">
        <f t="shared" si="492"/>
        <v>西日本第一本部</v>
      </c>
      <c r="C1150" s="41" t="str">
        <f t="shared" si="492"/>
        <v>そんぽの家　茨木東奈良</v>
      </c>
      <c r="D1150" s="14" t="s">
        <v>6</v>
      </c>
      <c r="E1150" s="15">
        <v>3</v>
      </c>
      <c r="F1150" s="16">
        <v>22</v>
      </c>
      <c r="G1150" s="17">
        <v>7.3</v>
      </c>
      <c r="H1150" s="16">
        <v>0</v>
      </c>
      <c r="I1150" s="17">
        <v>0</v>
      </c>
      <c r="J1150" s="15">
        <v>22</v>
      </c>
      <c r="K1150" s="44">
        <f t="shared" si="478"/>
        <v>10</v>
      </c>
      <c r="L1150" s="28">
        <v>2</v>
      </c>
      <c r="M1150" s="33">
        <f t="shared" si="469"/>
        <v>2</v>
      </c>
      <c r="N1150" s="1">
        <v>3716481200</v>
      </c>
    </row>
    <row r="1151" spans="1:14" ht="18" customHeight="1" x14ac:dyDescent="0.45">
      <c r="A1151" s="13">
        <v>1145</v>
      </c>
      <c r="B1151" s="42" t="str">
        <f t="shared" si="492"/>
        <v>西日本第一本部</v>
      </c>
      <c r="C1151" s="42" t="str">
        <f t="shared" si="492"/>
        <v>そんぽの家　茨木東奈良</v>
      </c>
      <c r="D1151" s="14" t="s">
        <v>2</v>
      </c>
      <c r="E1151" s="15">
        <v>2</v>
      </c>
      <c r="F1151" s="16">
        <v>48</v>
      </c>
      <c r="G1151" s="17">
        <v>24</v>
      </c>
      <c r="H1151" s="16">
        <v>0</v>
      </c>
      <c r="I1151" s="17">
        <v>0</v>
      </c>
      <c r="J1151" s="15">
        <v>48</v>
      </c>
      <c r="K1151" s="45">
        <f t="shared" si="478"/>
        <v>10</v>
      </c>
      <c r="L1151" s="28">
        <v>2</v>
      </c>
      <c r="M1151" s="33">
        <f t="shared" si="469"/>
        <v>2</v>
      </c>
      <c r="N1151" s="1">
        <v>3716481200</v>
      </c>
    </row>
    <row r="1152" spans="1:14" ht="18" customHeight="1" x14ac:dyDescent="0.45">
      <c r="A1152" s="8">
        <v>1146</v>
      </c>
      <c r="B1152" s="34" t="s">
        <v>85</v>
      </c>
      <c r="C1152" s="34" t="s">
        <v>120</v>
      </c>
      <c r="D1152" s="9" t="s">
        <v>3</v>
      </c>
      <c r="E1152" s="10">
        <v>1</v>
      </c>
      <c r="F1152" s="11">
        <v>5</v>
      </c>
      <c r="G1152" s="12">
        <v>5</v>
      </c>
      <c r="H1152" s="11">
        <v>2</v>
      </c>
      <c r="I1152" s="12">
        <v>2</v>
      </c>
      <c r="J1152" s="10">
        <v>7</v>
      </c>
      <c r="K1152" s="37">
        <f t="shared" ref="K1152" si="493">SUM(M1152:M1156)</f>
        <v>7</v>
      </c>
      <c r="L1152" s="28">
        <v>1</v>
      </c>
      <c r="M1152" s="33">
        <f t="shared" si="469"/>
        <v>1</v>
      </c>
      <c r="N1152" s="1">
        <v>3716511200</v>
      </c>
    </row>
    <row r="1153" spans="1:14" ht="18" customHeight="1" x14ac:dyDescent="0.45">
      <c r="A1153" s="8">
        <v>1147</v>
      </c>
      <c r="B1153" s="35" t="str">
        <f t="shared" ref="B1153:C1156" si="494">B1152</f>
        <v>西日本第一本部</v>
      </c>
      <c r="C1153" s="35" t="str">
        <f t="shared" si="494"/>
        <v>そんぽの家　箕面</v>
      </c>
      <c r="D1153" s="9" t="s">
        <v>4</v>
      </c>
      <c r="E1153" s="10">
        <v>1</v>
      </c>
      <c r="F1153" s="11">
        <v>0</v>
      </c>
      <c r="G1153" s="12">
        <v>0</v>
      </c>
      <c r="H1153" s="11">
        <v>0</v>
      </c>
      <c r="I1153" s="12">
        <v>0</v>
      </c>
      <c r="J1153" s="10">
        <v>0</v>
      </c>
      <c r="K1153" s="38">
        <f t="shared" si="478"/>
        <v>7</v>
      </c>
      <c r="L1153" s="28">
        <v>0</v>
      </c>
      <c r="M1153" s="33">
        <f t="shared" si="469"/>
        <v>0</v>
      </c>
      <c r="N1153" s="1">
        <v>3716511200</v>
      </c>
    </row>
    <row r="1154" spans="1:14" ht="18" customHeight="1" x14ac:dyDescent="0.45">
      <c r="A1154" s="8">
        <v>1148</v>
      </c>
      <c r="B1154" s="35" t="str">
        <f t="shared" si="494"/>
        <v>西日本第一本部</v>
      </c>
      <c r="C1154" s="35" t="str">
        <f t="shared" si="494"/>
        <v>そんぽの家　箕面</v>
      </c>
      <c r="D1154" s="9" t="s">
        <v>5</v>
      </c>
      <c r="E1154" s="10">
        <v>2</v>
      </c>
      <c r="F1154" s="11">
        <v>56</v>
      </c>
      <c r="G1154" s="12">
        <v>28</v>
      </c>
      <c r="H1154" s="11">
        <v>0</v>
      </c>
      <c r="I1154" s="12">
        <v>0</v>
      </c>
      <c r="J1154" s="10">
        <v>56</v>
      </c>
      <c r="K1154" s="38">
        <f t="shared" si="478"/>
        <v>7</v>
      </c>
      <c r="L1154" s="28">
        <v>2</v>
      </c>
      <c r="M1154" s="33">
        <f t="shared" si="469"/>
        <v>2</v>
      </c>
      <c r="N1154" s="1">
        <v>3716511200</v>
      </c>
    </row>
    <row r="1155" spans="1:14" ht="18" customHeight="1" x14ac:dyDescent="0.45">
      <c r="A1155" s="8">
        <v>1149</v>
      </c>
      <c r="B1155" s="35" t="str">
        <f t="shared" si="494"/>
        <v>西日本第一本部</v>
      </c>
      <c r="C1155" s="35" t="str">
        <f t="shared" si="494"/>
        <v>そんぽの家　箕面</v>
      </c>
      <c r="D1155" s="9" t="s">
        <v>6</v>
      </c>
      <c r="E1155" s="10">
        <v>2</v>
      </c>
      <c r="F1155" s="11">
        <v>11</v>
      </c>
      <c r="G1155" s="12">
        <v>5.5</v>
      </c>
      <c r="H1155" s="11">
        <v>0</v>
      </c>
      <c r="I1155" s="12">
        <v>0</v>
      </c>
      <c r="J1155" s="10">
        <v>11</v>
      </c>
      <c r="K1155" s="38">
        <f t="shared" si="478"/>
        <v>7</v>
      </c>
      <c r="L1155" s="28">
        <v>2</v>
      </c>
      <c r="M1155" s="33">
        <f t="shared" si="469"/>
        <v>2</v>
      </c>
      <c r="N1155" s="1">
        <v>3716511200</v>
      </c>
    </row>
    <row r="1156" spans="1:14" ht="18" customHeight="1" x14ac:dyDescent="0.45">
      <c r="A1156" s="8">
        <v>1150</v>
      </c>
      <c r="B1156" s="36" t="str">
        <f t="shared" si="494"/>
        <v>西日本第一本部</v>
      </c>
      <c r="C1156" s="36" t="str">
        <f t="shared" si="494"/>
        <v>そんぽの家　箕面</v>
      </c>
      <c r="D1156" s="9" t="s">
        <v>2</v>
      </c>
      <c r="E1156" s="10">
        <v>1</v>
      </c>
      <c r="F1156" s="11">
        <v>12</v>
      </c>
      <c r="G1156" s="12">
        <v>12</v>
      </c>
      <c r="H1156" s="11">
        <v>0</v>
      </c>
      <c r="I1156" s="12">
        <v>0</v>
      </c>
      <c r="J1156" s="10">
        <v>12</v>
      </c>
      <c r="K1156" s="39">
        <f t="shared" si="478"/>
        <v>7</v>
      </c>
      <c r="L1156" s="28">
        <v>2</v>
      </c>
      <c r="M1156" s="33">
        <f t="shared" si="469"/>
        <v>2</v>
      </c>
      <c r="N1156" s="1">
        <v>3716511200</v>
      </c>
    </row>
    <row r="1157" spans="1:14" ht="18" customHeight="1" x14ac:dyDescent="0.45">
      <c r="A1157" s="13">
        <v>1151</v>
      </c>
      <c r="B1157" s="40" t="s">
        <v>85</v>
      </c>
      <c r="C1157" s="40" t="s">
        <v>311</v>
      </c>
      <c r="D1157" s="14" t="s">
        <v>3</v>
      </c>
      <c r="E1157" s="15">
        <v>1</v>
      </c>
      <c r="F1157" s="16">
        <v>21</v>
      </c>
      <c r="G1157" s="17">
        <v>21</v>
      </c>
      <c r="H1157" s="16">
        <v>20</v>
      </c>
      <c r="I1157" s="17">
        <v>20</v>
      </c>
      <c r="J1157" s="15">
        <v>41</v>
      </c>
      <c r="K1157" s="43">
        <f t="shared" ref="K1157" si="495">SUM(M1157:M1161)</f>
        <v>8</v>
      </c>
      <c r="L1157" s="28">
        <v>2</v>
      </c>
      <c r="M1157" s="33">
        <f t="shared" si="469"/>
        <v>2</v>
      </c>
      <c r="N1157" s="1">
        <v>3716521200</v>
      </c>
    </row>
    <row r="1158" spans="1:14" ht="18" customHeight="1" x14ac:dyDescent="0.45">
      <c r="A1158" s="13">
        <v>1152</v>
      </c>
      <c r="B1158" s="41" t="str">
        <f t="shared" ref="B1158:C1161" si="496">B1157</f>
        <v>西日本第一本部</v>
      </c>
      <c r="C1158" s="41" t="str">
        <f t="shared" si="496"/>
        <v>ラヴィーレ池田</v>
      </c>
      <c r="D1158" s="14" t="s">
        <v>4</v>
      </c>
      <c r="E1158" s="15">
        <v>1</v>
      </c>
      <c r="F1158" s="16">
        <v>22</v>
      </c>
      <c r="G1158" s="17">
        <v>22</v>
      </c>
      <c r="H1158" s="16">
        <v>19</v>
      </c>
      <c r="I1158" s="17">
        <v>19</v>
      </c>
      <c r="J1158" s="15">
        <v>41</v>
      </c>
      <c r="K1158" s="44">
        <f t="shared" si="478"/>
        <v>8</v>
      </c>
      <c r="L1158" s="28">
        <v>2</v>
      </c>
      <c r="M1158" s="33">
        <f t="shared" si="469"/>
        <v>2</v>
      </c>
      <c r="N1158" s="1">
        <v>3716521200</v>
      </c>
    </row>
    <row r="1159" spans="1:14" ht="18" customHeight="1" x14ac:dyDescent="0.45">
      <c r="A1159" s="13">
        <v>1153</v>
      </c>
      <c r="B1159" s="41" t="str">
        <f t="shared" si="496"/>
        <v>西日本第一本部</v>
      </c>
      <c r="C1159" s="41" t="str">
        <f t="shared" si="496"/>
        <v>ラヴィーレ池田</v>
      </c>
      <c r="D1159" s="14" t="s">
        <v>5</v>
      </c>
      <c r="E1159" s="15">
        <v>2</v>
      </c>
      <c r="F1159" s="16">
        <v>22</v>
      </c>
      <c r="G1159" s="17">
        <v>11</v>
      </c>
      <c r="H1159" s="16">
        <v>0</v>
      </c>
      <c r="I1159" s="17">
        <v>0</v>
      </c>
      <c r="J1159" s="15">
        <v>22</v>
      </c>
      <c r="K1159" s="44">
        <f t="shared" si="478"/>
        <v>8</v>
      </c>
      <c r="L1159" s="28">
        <v>2</v>
      </c>
      <c r="M1159" s="33">
        <f t="shared" si="469"/>
        <v>2</v>
      </c>
      <c r="N1159" s="1">
        <v>3716521200</v>
      </c>
    </row>
    <row r="1160" spans="1:14" ht="18" customHeight="1" x14ac:dyDescent="0.45">
      <c r="A1160" s="13">
        <v>1154</v>
      </c>
      <c r="B1160" s="41" t="str">
        <f t="shared" si="496"/>
        <v>西日本第一本部</v>
      </c>
      <c r="C1160" s="41" t="str">
        <f t="shared" si="496"/>
        <v>ラヴィーレ池田</v>
      </c>
      <c r="D1160" s="14" t="s">
        <v>6</v>
      </c>
      <c r="E1160" s="15">
        <v>4</v>
      </c>
      <c r="F1160" s="16">
        <v>31</v>
      </c>
      <c r="G1160" s="17">
        <v>7.8</v>
      </c>
      <c r="H1160" s="16">
        <v>0</v>
      </c>
      <c r="I1160" s="17">
        <v>0</v>
      </c>
      <c r="J1160" s="15">
        <v>31</v>
      </c>
      <c r="K1160" s="44">
        <f t="shared" si="478"/>
        <v>8</v>
      </c>
      <c r="L1160" s="28">
        <v>2</v>
      </c>
      <c r="M1160" s="33">
        <f t="shared" ref="M1160:M1223" si="497">L1160</f>
        <v>2</v>
      </c>
      <c r="N1160" s="1">
        <v>3716521200</v>
      </c>
    </row>
    <row r="1161" spans="1:14" ht="18" customHeight="1" x14ac:dyDescent="0.45">
      <c r="A1161" s="13">
        <v>1155</v>
      </c>
      <c r="B1161" s="42" t="str">
        <f t="shared" si="496"/>
        <v>西日本第一本部</v>
      </c>
      <c r="C1161" s="42" t="str">
        <f t="shared" si="496"/>
        <v>ラヴィーレ池田</v>
      </c>
      <c r="D1161" s="14" t="s">
        <v>2</v>
      </c>
      <c r="E1161" s="15">
        <v>1</v>
      </c>
      <c r="F1161" s="16">
        <v>0</v>
      </c>
      <c r="G1161" s="17">
        <v>0</v>
      </c>
      <c r="H1161" s="16">
        <v>0</v>
      </c>
      <c r="I1161" s="17">
        <v>0</v>
      </c>
      <c r="J1161" s="15">
        <v>0</v>
      </c>
      <c r="K1161" s="45">
        <f t="shared" si="478"/>
        <v>8</v>
      </c>
      <c r="L1161" s="28">
        <v>0</v>
      </c>
      <c r="M1161" s="33">
        <f t="shared" si="497"/>
        <v>0</v>
      </c>
      <c r="N1161" s="1">
        <v>3716521200</v>
      </c>
    </row>
    <row r="1162" spans="1:14" ht="18" customHeight="1" x14ac:dyDescent="0.45">
      <c r="A1162" s="8">
        <v>1156</v>
      </c>
      <c r="B1162" s="34" t="s">
        <v>85</v>
      </c>
      <c r="C1162" s="34" t="s">
        <v>121</v>
      </c>
      <c r="D1162" s="9" t="s">
        <v>3</v>
      </c>
      <c r="E1162" s="10">
        <v>1</v>
      </c>
      <c r="F1162" s="11">
        <v>20</v>
      </c>
      <c r="G1162" s="12">
        <v>20</v>
      </c>
      <c r="H1162" s="11">
        <v>7</v>
      </c>
      <c r="I1162" s="12">
        <v>7</v>
      </c>
      <c r="J1162" s="10">
        <v>27</v>
      </c>
      <c r="K1162" s="37">
        <f t="shared" ref="K1162" si="498">SUM(M1162:M1166)</f>
        <v>8</v>
      </c>
      <c r="L1162" s="28">
        <v>2</v>
      </c>
      <c r="M1162" s="33">
        <f t="shared" si="497"/>
        <v>2</v>
      </c>
      <c r="N1162" s="1">
        <v>3716551200</v>
      </c>
    </row>
    <row r="1163" spans="1:14" ht="18" customHeight="1" x14ac:dyDescent="0.45">
      <c r="A1163" s="8">
        <v>1157</v>
      </c>
      <c r="B1163" s="35" t="str">
        <f t="shared" ref="B1163:C1166" si="499">B1162</f>
        <v>西日本第一本部</v>
      </c>
      <c r="C1163" s="35" t="str">
        <f t="shared" si="499"/>
        <v>そんぽの家　万博公園</v>
      </c>
      <c r="D1163" s="9" t="s">
        <v>4</v>
      </c>
      <c r="E1163" s="10">
        <v>1</v>
      </c>
      <c r="F1163" s="11">
        <v>10</v>
      </c>
      <c r="G1163" s="12">
        <v>10</v>
      </c>
      <c r="H1163" s="11">
        <v>9</v>
      </c>
      <c r="I1163" s="12">
        <v>9</v>
      </c>
      <c r="J1163" s="10">
        <v>19</v>
      </c>
      <c r="K1163" s="38">
        <f t="shared" si="478"/>
        <v>8</v>
      </c>
      <c r="L1163" s="28">
        <v>2</v>
      </c>
      <c r="M1163" s="33">
        <f t="shared" si="497"/>
        <v>2</v>
      </c>
      <c r="N1163" s="1">
        <v>3716551200</v>
      </c>
    </row>
    <row r="1164" spans="1:14" ht="18" customHeight="1" x14ac:dyDescent="0.45">
      <c r="A1164" s="8">
        <v>1158</v>
      </c>
      <c r="B1164" s="35" t="str">
        <f t="shared" si="499"/>
        <v>西日本第一本部</v>
      </c>
      <c r="C1164" s="35" t="str">
        <f t="shared" si="499"/>
        <v>そんぽの家　万博公園</v>
      </c>
      <c r="D1164" s="9" t="s">
        <v>5</v>
      </c>
      <c r="E1164" s="10">
        <v>1</v>
      </c>
      <c r="F1164" s="11">
        <v>22</v>
      </c>
      <c r="G1164" s="12">
        <v>22</v>
      </c>
      <c r="H1164" s="11">
        <v>0</v>
      </c>
      <c r="I1164" s="12">
        <v>0</v>
      </c>
      <c r="J1164" s="10">
        <v>22</v>
      </c>
      <c r="K1164" s="38">
        <f t="shared" si="478"/>
        <v>8</v>
      </c>
      <c r="L1164" s="28">
        <v>2</v>
      </c>
      <c r="M1164" s="33">
        <f t="shared" si="497"/>
        <v>2</v>
      </c>
      <c r="N1164" s="1">
        <v>3716551200</v>
      </c>
    </row>
    <row r="1165" spans="1:14" ht="18" customHeight="1" x14ac:dyDescent="0.45">
      <c r="A1165" s="8">
        <v>1159</v>
      </c>
      <c r="B1165" s="35" t="str">
        <f t="shared" si="499"/>
        <v>西日本第一本部</v>
      </c>
      <c r="C1165" s="35" t="str">
        <f t="shared" si="499"/>
        <v>そんぽの家　万博公園</v>
      </c>
      <c r="D1165" s="9" t="s">
        <v>6</v>
      </c>
      <c r="E1165" s="10">
        <v>4</v>
      </c>
      <c r="F1165" s="11">
        <v>36</v>
      </c>
      <c r="G1165" s="12">
        <v>9</v>
      </c>
      <c r="H1165" s="11">
        <v>0</v>
      </c>
      <c r="I1165" s="12">
        <v>0</v>
      </c>
      <c r="J1165" s="10">
        <v>36</v>
      </c>
      <c r="K1165" s="38">
        <f t="shared" si="478"/>
        <v>8</v>
      </c>
      <c r="L1165" s="28">
        <v>2</v>
      </c>
      <c r="M1165" s="33">
        <f t="shared" si="497"/>
        <v>2</v>
      </c>
      <c r="N1165" s="1">
        <v>3716551200</v>
      </c>
    </row>
    <row r="1166" spans="1:14" ht="18" customHeight="1" x14ac:dyDescent="0.45">
      <c r="A1166" s="8">
        <v>1160</v>
      </c>
      <c r="B1166" s="36" t="str">
        <f t="shared" si="499"/>
        <v>西日本第一本部</v>
      </c>
      <c r="C1166" s="36" t="str">
        <f t="shared" si="499"/>
        <v>そんぽの家　万博公園</v>
      </c>
      <c r="D1166" s="9" t="s">
        <v>2</v>
      </c>
      <c r="E1166" s="10">
        <v>2</v>
      </c>
      <c r="F1166" s="11">
        <v>3</v>
      </c>
      <c r="G1166" s="12">
        <v>1.5</v>
      </c>
      <c r="H1166" s="11">
        <v>0</v>
      </c>
      <c r="I1166" s="12">
        <v>0</v>
      </c>
      <c r="J1166" s="10">
        <v>3</v>
      </c>
      <c r="K1166" s="39">
        <f t="shared" si="478"/>
        <v>8</v>
      </c>
      <c r="L1166" s="28">
        <v>0</v>
      </c>
      <c r="M1166" s="33">
        <f t="shared" si="497"/>
        <v>0</v>
      </c>
      <c r="N1166" s="1">
        <v>3716551200</v>
      </c>
    </row>
    <row r="1167" spans="1:14" ht="18" customHeight="1" x14ac:dyDescent="0.45">
      <c r="A1167" s="13">
        <v>1161</v>
      </c>
      <c r="B1167" s="40" t="s">
        <v>85</v>
      </c>
      <c r="C1167" s="40" t="s">
        <v>122</v>
      </c>
      <c r="D1167" s="14" t="s">
        <v>3</v>
      </c>
      <c r="E1167" s="15">
        <v>1</v>
      </c>
      <c r="F1167" s="16">
        <v>4</v>
      </c>
      <c r="G1167" s="17">
        <v>4</v>
      </c>
      <c r="H1167" s="16">
        <v>2</v>
      </c>
      <c r="I1167" s="17">
        <v>2</v>
      </c>
      <c r="J1167" s="15">
        <v>6</v>
      </c>
      <c r="K1167" s="43">
        <f t="shared" ref="K1167" si="500">SUM(M1167:M1171)</f>
        <v>7</v>
      </c>
      <c r="L1167" s="28">
        <v>1</v>
      </c>
      <c r="M1167" s="33">
        <f t="shared" si="497"/>
        <v>1</v>
      </c>
      <c r="N1167" s="1">
        <v>3716601200</v>
      </c>
    </row>
    <row r="1168" spans="1:14" ht="18" customHeight="1" x14ac:dyDescent="0.45">
      <c r="A1168" s="13">
        <v>1162</v>
      </c>
      <c r="B1168" s="41" t="str">
        <f t="shared" ref="B1168:C1171" si="501">B1167</f>
        <v>西日本第一本部</v>
      </c>
      <c r="C1168" s="41" t="str">
        <f t="shared" si="501"/>
        <v>そんぽの家　豊中庄本町</v>
      </c>
      <c r="D1168" s="14" t="s">
        <v>4</v>
      </c>
      <c r="E1168" s="15">
        <v>1</v>
      </c>
      <c r="F1168" s="16">
        <v>0</v>
      </c>
      <c r="G1168" s="17">
        <v>0</v>
      </c>
      <c r="H1168" s="16">
        <v>0</v>
      </c>
      <c r="I1168" s="17">
        <v>0</v>
      </c>
      <c r="J1168" s="15">
        <v>0</v>
      </c>
      <c r="K1168" s="44">
        <f t="shared" si="478"/>
        <v>7</v>
      </c>
      <c r="L1168" s="28">
        <v>0</v>
      </c>
      <c r="M1168" s="33">
        <f t="shared" si="497"/>
        <v>0</v>
      </c>
      <c r="N1168" s="1">
        <v>3716601200</v>
      </c>
    </row>
    <row r="1169" spans="1:14" ht="18" customHeight="1" x14ac:dyDescent="0.45">
      <c r="A1169" s="13">
        <v>1163</v>
      </c>
      <c r="B1169" s="41" t="str">
        <f t="shared" si="501"/>
        <v>西日本第一本部</v>
      </c>
      <c r="C1169" s="41" t="str">
        <f t="shared" si="501"/>
        <v>そんぽの家　豊中庄本町</v>
      </c>
      <c r="D1169" s="14" t="s">
        <v>5</v>
      </c>
      <c r="E1169" s="15">
        <v>1</v>
      </c>
      <c r="F1169" s="16">
        <v>12</v>
      </c>
      <c r="G1169" s="17">
        <v>12</v>
      </c>
      <c r="H1169" s="16">
        <v>0</v>
      </c>
      <c r="I1169" s="17">
        <v>0</v>
      </c>
      <c r="J1169" s="15">
        <v>12</v>
      </c>
      <c r="K1169" s="44">
        <f t="shared" si="478"/>
        <v>7</v>
      </c>
      <c r="L1169" s="28">
        <v>2</v>
      </c>
      <c r="M1169" s="33">
        <f t="shared" si="497"/>
        <v>2</v>
      </c>
      <c r="N1169" s="1">
        <v>3716601200</v>
      </c>
    </row>
    <row r="1170" spans="1:14" ht="18" customHeight="1" x14ac:dyDescent="0.45">
      <c r="A1170" s="13">
        <v>1164</v>
      </c>
      <c r="B1170" s="41" t="str">
        <f t="shared" si="501"/>
        <v>西日本第一本部</v>
      </c>
      <c r="C1170" s="41" t="str">
        <f t="shared" si="501"/>
        <v>そんぽの家　豊中庄本町</v>
      </c>
      <c r="D1170" s="14" t="s">
        <v>6</v>
      </c>
      <c r="E1170" s="15">
        <v>3</v>
      </c>
      <c r="F1170" s="16">
        <v>15</v>
      </c>
      <c r="G1170" s="17">
        <v>5</v>
      </c>
      <c r="H1170" s="16">
        <v>0</v>
      </c>
      <c r="I1170" s="17">
        <v>0</v>
      </c>
      <c r="J1170" s="15">
        <v>15</v>
      </c>
      <c r="K1170" s="44">
        <f t="shared" si="478"/>
        <v>7</v>
      </c>
      <c r="L1170" s="28">
        <v>2</v>
      </c>
      <c r="M1170" s="33">
        <f t="shared" si="497"/>
        <v>2</v>
      </c>
      <c r="N1170" s="1">
        <v>3716601200</v>
      </c>
    </row>
    <row r="1171" spans="1:14" ht="18" customHeight="1" x14ac:dyDescent="0.45">
      <c r="A1171" s="13">
        <v>1165</v>
      </c>
      <c r="B1171" s="42" t="str">
        <f t="shared" si="501"/>
        <v>西日本第一本部</v>
      </c>
      <c r="C1171" s="42" t="str">
        <f t="shared" si="501"/>
        <v>そんぽの家　豊中庄本町</v>
      </c>
      <c r="D1171" s="14" t="s">
        <v>2</v>
      </c>
      <c r="E1171" s="15">
        <v>2</v>
      </c>
      <c r="F1171" s="16">
        <v>30</v>
      </c>
      <c r="G1171" s="17">
        <v>15</v>
      </c>
      <c r="H1171" s="16">
        <v>0</v>
      </c>
      <c r="I1171" s="17">
        <v>0</v>
      </c>
      <c r="J1171" s="15">
        <v>30</v>
      </c>
      <c r="K1171" s="45">
        <f t="shared" si="478"/>
        <v>7</v>
      </c>
      <c r="L1171" s="28">
        <v>2</v>
      </c>
      <c r="M1171" s="33">
        <f t="shared" si="497"/>
        <v>2</v>
      </c>
      <c r="N1171" s="1">
        <v>3716601200</v>
      </c>
    </row>
    <row r="1172" spans="1:14" ht="18" customHeight="1" x14ac:dyDescent="0.45">
      <c r="A1172" s="8">
        <v>1166</v>
      </c>
      <c r="B1172" s="34" t="s">
        <v>85</v>
      </c>
      <c r="C1172" s="34" t="s">
        <v>123</v>
      </c>
      <c r="D1172" s="9" t="s">
        <v>3</v>
      </c>
      <c r="E1172" s="10">
        <v>1</v>
      </c>
      <c r="F1172" s="11">
        <v>3</v>
      </c>
      <c r="G1172" s="12">
        <v>3</v>
      </c>
      <c r="H1172" s="11">
        <v>2</v>
      </c>
      <c r="I1172" s="12">
        <v>2</v>
      </c>
      <c r="J1172" s="10">
        <v>5</v>
      </c>
      <c r="K1172" s="37">
        <f t="shared" ref="K1172" si="502">SUM(M1172:M1176)</f>
        <v>5</v>
      </c>
      <c r="L1172" s="28">
        <v>1</v>
      </c>
      <c r="M1172" s="33">
        <f t="shared" si="497"/>
        <v>1</v>
      </c>
      <c r="N1172" s="1">
        <v>3716631200</v>
      </c>
    </row>
    <row r="1173" spans="1:14" ht="18" customHeight="1" x14ac:dyDescent="0.45">
      <c r="A1173" s="8">
        <v>1167</v>
      </c>
      <c r="B1173" s="35" t="str">
        <f t="shared" ref="B1173:C1176" si="503">B1172</f>
        <v>西日本第一本部</v>
      </c>
      <c r="C1173" s="35" t="str">
        <f t="shared" si="503"/>
        <v>そんぽの家　豊中南曽根</v>
      </c>
      <c r="D1173" s="9" t="s">
        <v>4</v>
      </c>
      <c r="E1173" s="10">
        <v>1</v>
      </c>
      <c r="F1173" s="11">
        <v>1</v>
      </c>
      <c r="G1173" s="12">
        <v>1</v>
      </c>
      <c r="H1173" s="11">
        <v>1</v>
      </c>
      <c r="I1173" s="12">
        <v>1</v>
      </c>
      <c r="J1173" s="10">
        <v>2</v>
      </c>
      <c r="K1173" s="38">
        <f t="shared" si="478"/>
        <v>5</v>
      </c>
      <c r="L1173" s="28">
        <v>0</v>
      </c>
      <c r="M1173" s="33">
        <f t="shared" si="497"/>
        <v>0</v>
      </c>
      <c r="N1173" s="1">
        <v>3716631200</v>
      </c>
    </row>
    <row r="1174" spans="1:14" ht="18" customHeight="1" x14ac:dyDescent="0.45">
      <c r="A1174" s="8">
        <v>1168</v>
      </c>
      <c r="B1174" s="35" t="str">
        <f t="shared" si="503"/>
        <v>西日本第一本部</v>
      </c>
      <c r="C1174" s="35" t="str">
        <f t="shared" si="503"/>
        <v>そんぽの家　豊中南曽根</v>
      </c>
      <c r="D1174" s="9" t="s">
        <v>5</v>
      </c>
      <c r="E1174" s="10">
        <v>1</v>
      </c>
      <c r="F1174" s="11">
        <v>10</v>
      </c>
      <c r="G1174" s="12">
        <v>10</v>
      </c>
      <c r="H1174" s="11">
        <v>0</v>
      </c>
      <c r="I1174" s="12">
        <v>0</v>
      </c>
      <c r="J1174" s="10">
        <v>10</v>
      </c>
      <c r="K1174" s="38">
        <f t="shared" si="478"/>
        <v>5</v>
      </c>
      <c r="L1174" s="28">
        <v>2</v>
      </c>
      <c r="M1174" s="33">
        <f t="shared" si="497"/>
        <v>2</v>
      </c>
      <c r="N1174" s="1">
        <v>3716631200</v>
      </c>
    </row>
    <row r="1175" spans="1:14" ht="18" customHeight="1" x14ac:dyDescent="0.45">
      <c r="A1175" s="8">
        <v>1169</v>
      </c>
      <c r="B1175" s="35" t="str">
        <f t="shared" si="503"/>
        <v>西日本第一本部</v>
      </c>
      <c r="C1175" s="35" t="str">
        <f t="shared" si="503"/>
        <v>そんぽの家　豊中南曽根</v>
      </c>
      <c r="D1175" s="9" t="s">
        <v>6</v>
      </c>
      <c r="E1175" s="10">
        <v>2</v>
      </c>
      <c r="F1175" s="11">
        <v>35</v>
      </c>
      <c r="G1175" s="12">
        <v>17.5</v>
      </c>
      <c r="H1175" s="11">
        <v>0</v>
      </c>
      <c r="I1175" s="12">
        <v>0</v>
      </c>
      <c r="J1175" s="10">
        <v>35</v>
      </c>
      <c r="K1175" s="38">
        <f t="shared" si="478"/>
        <v>5</v>
      </c>
      <c r="L1175" s="28">
        <v>2</v>
      </c>
      <c r="M1175" s="33">
        <f t="shared" si="497"/>
        <v>2</v>
      </c>
      <c r="N1175" s="1">
        <v>3716631200</v>
      </c>
    </row>
    <row r="1176" spans="1:14" ht="18" customHeight="1" x14ac:dyDescent="0.45">
      <c r="A1176" s="8">
        <v>1170</v>
      </c>
      <c r="B1176" s="36" t="str">
        <f t="shared" si="503"/>
        <v>西日本第一本部</v>
      </c>
      <c r="C1176" s="36" t="str">
        <f t="shared" si="503"/>
        <v>そんぽの家　豊中南曽根</v>
      </c>
      <c r="D1176" s="9" t="s">
        <v>2</v>
      </c>
      <c r="E1176" s="10">
        <v>1</v>
      </c>
      <c r="F1176" s="11">
        <v>0</v>
      </c>
      <c r="G1176" s="12">
        <v>0</v>
      </c>
      <c r="H1176" s="11">
        <v>0</v>
      </c>
      <c r="I1176" s="12">
        <v>0</v>
      </c>
      <c r="J1176" s="10">
        <v>0</v>
      </c>
      <c r="K1176" s="39">
        <f t="shared" si="478"/>
        <v>5</v>
      </c>
      <c r="L1176" s="28">
        <v>0</v>
      </c>
      <c r="M1176" s="33">
        <f t="shared" si="497"/>
        <v>0</v>
      </c>
      <c r="N1176" s="1">
        <v>3716631200</v>
      </c>
    </row>
    <row r="1177" spans="1:14" ht="18" customHeight="1" x14ac:dyDescent="0.45">
      <c r="A1177" s="13">
        <v>1171</v>
      </c>
      <c r="B1177" s="40" t="s">
        <v>85</v>
      </c>
      <c r="C1177" s="40" t="s">
        <v>124</v>
      </c>
      <c r="D1177" s="14" t="s">
        <v>3</v>
      </c>
      <c r="E1177" s="15">
        <v>1</v>
      </c>
      <c r="F1177" s="16">
        <v>17</v>
      </c>
      <c r="G1177" s="17">
        <v>17</v>
      </c>
      <c r="H1177" s="16">
        <v>0</v>
      </c>
      <c r="I1177" s="17">
        <v>0</v>
      </c>
      <c r="J1177" s="15">
        <v>17</v>
      </c>
      <c r="K1177" s="43">
        <f t="shared" ref="K1177" si="504">SUM(M1177:M1181)</f>
        <v>6</v>
      </c>
      <c r="L1177" s="28">
        <v>2</v>
      </c>
      <c r="M1177" s="33">
        <f t="shared" si="497"/>
        <v>2</v>
      </c>
      <c r="N1177" s="1">
        <v>3716641200</v>
      </c>
    </row>
    <row r="1178" spans="1:14" ht="18" customHeight="1" x14ac:dyDescent="0.45">
      <c r="A1178" s="13">
        <v>1172</v>
      </c>
      <c r="B1178" s="41" t="str">
        <f t="shared" ref="B1178:C1181" si="505">B1177</f>
        <v>西日本第一本部</v>
      </c>
      <c r="C1178" s="41" t="str">
        <f t="shared" si="505"/>
        <v>そんぽの家　豊中野田</v>
      </c>
      <c r="D1178" s="14" t="s">
        <v>4</v>
      </c>
      <c r="E1178" s="15">
        <v>1</v>
      </c>
      <c r="F1178" s="16">
        <v>1</v>
      </c>
      <c r="G1178" s="17">
        <v>1</v>
      </c>
      <c r="H1178" s="16">
        <v>2</v>
      </c>
      <c r="I1178" s="17">
        <v>2</v>
      </c>
      <c r="J1178" s="15">
        <v>3</v>
      </c>
      <c r="K1178" s="44">
        <f t="shared" ref="K1178:K1241" si="506">K1177</f>
        <v>6</v>
      </c>
      <c r="L1178" s="28">
        <v>0</v>
      </c>
      <c r="M1178" s="33">
        <f t="shared" si="497"/>
        <v>0</v>
      </c>
      <c r="N1178" s="1">
        <v>3716641200</v>
      </c>
    </row>
    <row r="1179" spans="1:14" ht="18" customHeight="1" x14ac:dyDescent="0.45">
      <c r="A1179" s="13">
        <v>1173</v>
      </c>
      <c r="B1179" s="41" t="str">
        <f t="shared" si="505"/>
        <v>西日本第一本部</v>
      </c>
      <c r="C1179" s="41" t="str">
        <f t="shared" si="505"/>
        <v>そんぽの家　豊中野田</v>
      </c>
      <c r="D1179" s="14" t="s">
        <v>5</v>
      </c>
      <c r="E1179" s="15">
        <v>2</v>
      </c>
      <c r="F1179" s="16">
        <v>36</v>
      </c>
      <c r="G1179" s="17">
        <v>18</v>
      </c>
      <c r="H1179" s="16">
        <v>0</v>
      </c>
      <c r="I1179" s="17">
        <v>0</v>
      </c>
      <c r="J1179" s="15">
        <v>36</v>
      </c>
      <c r="K1179" s="44">
        <f t="shared" si="506"/>
        <v>6</v>
      </c>
      <c r="L1179" s="28">
        <v>2</v>
      </c>
      <c r="M1179" s="33">
        <f t="shared" si="497"/>
        <v>2</v>
      </c>
      <c r="N1179" s="1">
        <v>3716641200</v>
      </c>
    </row>
    <row r="1180" spans="1:14" ht="18" customHeight="1" x14ac:dyDescent="0.45">
      <c r="A1180" s="13">
        <v>1174</v>
      </c>
      <c r="B1180" s="41" t="str">
        <f t="shared" si="505"/>
        <v>西日本第一本部</v>
      </c>
      <c r="C1180" s="41" t="str">
        <f t="shared" si="505"/>
        <v>そんぽの家　豊中野田</v>
      </c>
      <c r="D1180" s="14" t="s">
        <v>6</v>
      </c>
      <c r="E1180" s="15">
        <v>3</v>
      </c>
      <c r="F1180" s="16">
        <v>2</v>
      </c>
      <c r="G1180" s="17">
        <v>0.7</v>
      </c>
      <c r="H1180" s="16">
        <v>0</v>
      </c>
      <c r="I1180" s="17">
        <v>0</v>
      </c>
      <c r="J1180" s="15">
        <v>2</v>
      </c>
      <c r="K1180" s="44">
        <f t="shared" si="506"/>
        <v>6</v>
      </c>
      <c r="L1180" s="28">
        <v>0</v>
      </c>
      <c r="M1180" s="33">
        <f t="shared" si="497"/>
        <v>0</v>
      </c>
      <c r="N1180" s="1">
        <v>3716641200</v>
      </c>
    </row>
    <row r="1181" spans="1:14" ht="18" customHeight="1" x14ac:dyDescent="0.45">
      <c r="A1181" s="13">
        <v>1175</v>
      </c>
      <c r="B1181" s="42" t="str">
        <f t="shared" si="505"/>
        <v>西日本第一本部</v>
      </c>
      <c r="C1181" s="42" t="str">
        <f t="shared" si="505"/>
        <v>そんぽの家　豊中野田</v>
      </c>
      <c r="D1181" s="14" t="s">
        <v>2</v>
      </c>
      <c r="E1181" s="15">
        <v>1</v>
      </c>
      <c r="F1181" s="16">
        <v>8</v>
      </c>
      <c r="G1181" s="17">
        <v>8</v>
      </c>
      <c r="H1181" s="16">
        <v>0</v>
      </c>
      <c r="I1181" s="17">
        <v>0</v>
      </c>
      <c r="J1181" s="15">
        <v>8</v>
      </c>
      <c r="K1181" s="45">
        <f t="shared" si="506"/>
        <v>6</v>
      </c>
      <c r="L1181" s="28">
        <v>2</v>
      </c>
      <c r="M1181" s="33">
        <f t="shared" si="497"/>
        <v>2</v>
      </c>
      <c r="N1181" s="1">
        <v>3716641200</v>
      </c>
    </row>
    <row r="1182" spans="1:14" ht="18" customHeight="1" x14ac:dyDescent="0.45">
      <c r="A1182" s="8">
        <v>1176</v>
      </c>
      <c r="B1182" s="34" t="s">
        <v>85</v>
      </c>
      <c r="C1182" s="34" t="s">
        <v>312</v>
      </c>
      <c r="D1182" s="9" t="s">
        <v>3</v>
      </c>
      <c r="E1182" s="10">
        <v>1</v>
      </c>
      <c r="F1182" s="11">
        <v>9</v>
      </c>
      <c r="G1182" s="12">
        <v>9</v>
      </c>
      <c r="H1182" s="11">
        <v>3</v>
      </c>
      <c r="I1182" s="12">
        <v>3</v>
      </c>
      <c r="J1182" s="10">
        <v>12</v>
      </c>
      <c r="K1182" s="37">
        <f t="shared" ref="K1182" si="507">SUM(M1182:M1186)</f>
        <v>6</v>
      </c>
      <c r="L1182" s="28">
        <v>2</v>
      </c>
      <c r="M1182" s="33">
        <f t="shared" si="497"/>
        <v>2</v>
      </c>
      <c r="N1182" s="1">
        <v>3716651200</v>
      </c>
    </row>
    <row r="1183" spans="1:14" ht="18" customHeight="1" x14ac:dyDescent="0.45">
      <c r="A1183" s="8">
        <v>1177</v>
      </c>
      <c r="B1183" s="35" t="str">
        <f t="shared" ref="B1183:C1186" si="508">B1182</f>
        <v>西日本第一本部</v>
      </c>
      <c r="C1183" s="35" t="str">
        <f t="shared" si="508"/>
        <v>ラヴィーレ豊中</v>
      </c>
      <c r="D1183" s="9" t="s">
        <v>4</v>
      </c>
      <c r="E1183" s="10">
        <v>1</v>
      </c>
      <c r="F1183" s="11">
        <v>1</v>
      </c>
      <c r="G1183" s="12">
        <v>1</v>
      </c>
      <c r="H1183" s="11">
        <v>0</v>
      </c>
      <c r="I1183" s="12">
        <v>0</v>
      </c>
      <c r="J1183" s="10">
        <v>1</v>
      </c>
      <c r="K1183" s="38">
        <f t="shared" si="506"/>
        <v>6</v>
      </c>
      <c r="L1183" s="28">
        <v>0</v>
      </c>
      <c r="M1183" s="33">
        <f t="shared" si="497"/>
        <v>0</v>
      </c>
      <c r="N1183" s="1">
        <v>3716651200</v>
      </c>
    </row>
    <row r="1184" spans="1:14" ht="18" customHeight="1" x14ac:dyDescent="0.45">
      <c r="A1184" s="8">
        <v>1178</v>
      </c>
      <c r="B1184" s="35" t="str">
        <f t="shared" si="508"/>
        <v>西日本第一本部</v>
      </c>
      <c r="C1184" s="35" t="str">
        <f t="shared" si="508"/>
        <v>ラヴィーレ豊中</v>
      </c>
      <c r="D1184" s="9" t="s">
        <v>5</v>
      </c>
      <c r="E1184" s="10">
        <v>1</v>
      </c>
      <c r="F1184" s="11">
        <v>16</v>
      </c>
      <c r="G1184" s="12">
        <v>16</v>
      </c>
      <c r="H1184" s="11">
        <v>0</v>
      </c>
      <c r="I1184" s="12">
        <v>0</v>
      </c>
      <c r="J1184" s="10">
        <v>16</v>
      </c>
      <c r="K1184" s="38">
        <f t="shared" si="506"/>
        <v>6</v>
      </c>
      <c r="L1184" s="28">
        <v>2</v>
      </c>
      <c r="M1184" s="33">
        <f t="shared" si="497"/>
        <v>2</v>
      </c>
      <c r="N1184" s="1">
        <v>3716651200</v>
      </c>
    </row>
    <row r="1185" spans="1:14" ht="18" customHeight="1" x14ac:dyDescent="0.45">
      <c r="A1185" s="8">
        <v>1179</v>
      </c>
      <c r="B1185" s="35" t="str">
        <f t="shared" si="508"/>
        <v>西日本第一本部</v>
      </c>
      <c r="C1185" s="35" t="str">
        <f t="shared" si="508"/>
        <v>ラヴィーレ豊中</v>
      </c>
      <c r="D1185" s="9" t="s">
        <v>6</v>
      </c>
      <c r="E1185" s="10">
        <v>3</v>
      </c>
      <c r="F1185" s="11">
        <v>7</v>
      </c>
      <c r="G1185" s="12">
        <v>2.2999999999999998</v>
      </c>
      <c r="H1185" s="11">
        <v>0</v>
      </c>
      <c r="I1185" s="12">
        <v>0</v>
      </c>
      <c r="J1185" s="10">
        <v>7</v>
      </c>
      <c r="K1185" s="38">
        <f t="shared" si="506"/>
        <v>6</v>
      </c>
      <c r="L1185" s="28">
        <v>1</v>
      </c>
      <c r="M1185" s="33">
        <f t="shared" si="497"/>
        <v>1</v>
      </c>
      <c r="N1185" s="1">
        <v>3716651200</v>
      </c>
    </row>
    <row r="1186" spans="1:14" ht="18" customHeight="1" x14ac:dyDescent="0.45">
      <c r="A1186" s="8">
        <v>1180</v>
      </c>
      <c r="B1186" s="36" t="str">
        <f t="shared" si="508"/>
        <v>西日本第一本部</v>
      </c>
      <c r="C1186" s="36" t="str">
        <f t="shared" si="508"/>
        <v>ラヴィーレ豊中</v>
      </c>
      <c r="D1186" s="9" t="s">
        <v>2</v>
      </c>
      <c r="E1186" s="10">
        <v>2</v>
      </c>
      <c r="F1186" s="11">
        <v>7</v>
      </c>
      <c r="G1186" s="12">
        <v>3.5</v>
      </c>
      <c r="H1186" s="11">
        <v>0</v>
      </c>
      <c r="I1186" s="12">
        <v>0</v>
      </c>
      <c r="J1186" s="10">
        <v>7</v>
      </c>
      <c r="K1186" s="39">
        <f t="shared" si="506"/>
        <v>6</v>
      </c>
      <c r="L1186" s="28">
        <v>1</v>
      </c>
      <c r="M1186" s="33">
        <f t="shared" si="497"/>
        <v>1</v>
      </c>
      <c r="N1186" s="1">
        <v>3716651200</v>
      </c>
    </row>
    <row r="1187" spans="1:14" ht="18" customHeight="1" x14ac:dyDescent="0.45">
      <c r="A1187" s="13">
        <v>1181</v>
      </c>
      <c r="B1187" s="40" t="s">
        <v>85</v>
      </c>
      <c r="C1187" s="40" t="s">
        <v>125</v>
      </c>
      <c r="D1187" s="14" t="s">
        <v>3</v>
      </c>
      <c r="E1187" s="15">
        <v>1</v>
      </c>
      <c r="F1187" s="16">
        <v>6</v>
      </c>
      <c r="G1187" s="17">
        <v>6</v>
      </c>
      <c r="H1187" s="16">
        <v>0</v>
      </c>
      <c r="I1187" s="17">
        <v>0</v>
      </c>
      <c r="J1187" s="15">
        <v>6</v>
      </c>
      <c r="K1187" s="43">
        <f t="shared" ref="K1187" si="509">SUM(M1187:M1191)</f>
        <v>7</v>
      </c>
      <c r="L1187" s="28">
        <v>1</v>
      </c>
      <c r="M1187" s="33">
        <f t="shared" si="497"/>
        <v>1</v>
      </c>
      <c r="N1187" s="1">
        <v>3716661200</v>
      </c>
    </row>
    <row r="1188" spans="1:14" ht="18" customHeight="1" x14ac:dyDescent="0.45">
      <c r="A1188" s="13">
        <v>1182</v>
      </c>
      <c r="B1188" s="41" t="str">
        <f t="shared" ref="B1188:C1191" si="510">B1187</f>
        <v>西日本第一本部</v>
      </c>
      <c r="C1188" s="41" t="str">
        <f t="shared" si="510"/>
        <v>そんぽの家　真田山</v>
      </c>
      <c r="D1188" s="14" t="s">
        <v>4</v>
      </c>
      <c r="E1188" s="15">
        <v>1</v>
      </c>
      <c r="F1188" s="16">
        <v>7</v>
      </c>
      <c r="G1188" s="17">
        <v>7</v>
      </c>
      <c r="H1188" s="16">
        <v>4</v>
      </c>
      <c r="I1188" s="17">
        <v>4</v>
      </c>
      <c r="J1188" s="15">
        <v>11</v>
      </c>
      <c r="K1188" s="44">
        <f t="shared" si="506"/>
        <v>7</v>
      </c>
      <c r="L1188" s="28">
        <v>2</v>
      </c>
      <c r="M1188" s="33">
        <f t="shared" si="497"/>
        <v>2</v>
      </c>
      <c r="N1188" s="1">
        <v>3716661200</v>
      </c>
    </row>
    <row r="1189" spans="1:14" ht="18" customHeight="1" x14ac:dyDescent="0.45">
      <c r="A1189" s="13">
        <v>1183</v>
      </c>
      <c r="B1189" s="41" t="str">
        <f t="shared" si="510"/>
        <v>西日本第一本部</v>
      </c>
      <c r="C1189" s="41" t="str">
        <f t="shared" si="510"/>
        <v>そんぽの家　真田山</v>
      </c>
      <c r="D1189" s="14" t="s">
        <v>5</v>
      </c>
      <c r="E1189" s="15">
        <v>1</v>
      </c>
      <c r="F1189" s="16">
        <v>19</v>
      </c>
      <c r="G1189" s="17">
        <v>19</v>
      </c>
      <c r="H1189" s="16">
        <v>0</v>
      </c>
      <c r="I1189" s="17">
        <v>0</v>
      </c>
      <c r="J1189" s="15">
        <v>19</v>
      </c>
      <c r="K1189" s="44">
        <f t="shared" si="506"/>
        <v>7</v>
      </c>
      <c r="L1189" s="28">
        <v>2</v>
      </c>
      <c r="M1189" s="33">
        <f t="shared" si="497"/>
        <v>2</v>
      </c>
      <c r="N1189" s="1">
        <v>3716661200</v>
      </c>
    </row>
    <row r="1190" spans="1:14" ht="18" customHeight="1" x14ac:dyDescent="0.45">
      <c r="A1190" s="13">
        <v>1184</v>
      </c>
      <c r="B1190" s="41" t="str">
        <f t="shared" si="510"/>
        <v>西日本第一本部</v>
      </c>
      <c r="C1190" s="41" t="str">
        <f t="shared" si="510"/>
        <v>そんぽの家　真田山</v>
      </c>
      <c r="D1190" s="14" t="s">
        <v>6</v>
      </c>
      <c r="E1190" s="15">
        <v>2</v>
      </c>
      <c r="F1190" s="16">
        <v>22</v>
      </c>
      <c r="G1190" s="17">
        <v>11</v>
      </c>
      <c r="H1190" s="16">
        <v>0</v>
      </c>
      <c r="I1190" s="17">
        <v>0</v>
      </c>
      <c r="J1190" s="15">
        <v>22</v>
      </c>
      <c r="K1190" s="44">
        <f t="shared" si="506"/>
        <v>7</v>
      </c>
      <c r="L1190" s="28">
        <v>2</v>
      </c>
      <c r="M1190" s="33">
        <f t="shared" si="497"/>
        <v>2</v>
      </c>
      <c r="N1190" s="1">
        <v>3716661200</v>
      </c>
    </row>
    <row r="1191" spans="1:14" ht="18" customHeight="1" x14ac:dyDescent="0.45">
      <c r="A1191" s="13">
        <v>1185</v>
      </c>
      <c r="B1191" s="42" t="str">
        <f t="shared" si="510"/>
        <v>西日本第一本部</v>
      </c>
      <c r="C1191" s="42" t="str">
        <f t="shared" si="510"/>
        <v>そんぽの家　真田山</v>
      </c>
      <c r="D1191" s="14" t="s">
        <v>2</v>
      </c>
      <c r="E1191" s="15">
        <v>2</v>
      </c>
      <c r="F1191" s="16">
        <v>2</v>
      </c>
      <c r="G1191" s="17">
        <v>1</v>
      </c>
      <c r="H1191" s="16">
        <v>0</v>
      </c>
      <c r="I1191" s="17">
        <v>0</v>
      </c>
      <c r="J1191" s="15">
        <v>2</v>
      </c>
      <c r="K1191" s="45">
        <f t="shared" si="506"/>
        <v>7</v>
      </c>
      <c r="L1191" s="28">
        <v>0</v>
      </c>
      <c r="M1191" s="33">
        <f t="shared" si="497"/>
        <v>0</v>
      </c>
      <c r="N1191" s="1">
        <v>3716661200</v>
      </c>
    </row>
    <row r="1192" spans="1:14" ht="18" customHeight="1" x14ac:dyDescent="0.45">
      <c r="A1192" s="8">
        <v>1186</v>
      </c>
      <c r="B1192" s="34" t="s">
        <v>85</v>
      </c>
      <c r="C1192" s="34" t="s">
        <v>126</v>
      </c>
      <c r="D1192" s="9" t="s">
        <v>3</v>
      </c>
      <c r="E1192" s="10">
        <v>1</v>
      </c>
      <c r="F1192" s="11">
        <v>8</v>
      </c>
      <c r="G1192" s="12">
        <v>8</v>
      </c>
      <c r="H1192" s="11">
        <v>1</v>
      </c>
      <c r="I1192" s="12">
        <v>1</v>
      </c>
      <c r="J1192" s="10">
        <v>9</v>
      </c>
      <c r="K1192" s="37">
        <f t="shared" ref="K1192" si="511">SUM(M1192:M1196)</f>
        <v>8</v>
      </c>
      <c r="L1192" s="28">
        <v>2</v>
      </c>
      <c r="M1192" s="33">
        <f t="shared" si="497"/>
        <v>2</v>
      </c>
      <c r="N1192" s="1">
        <v>3716681200</v>
      </c>
    </row>
    <row r="1193" spans="1:14" ht="18" customHeight="1" x14ac:dyDescent="0.45">
      <c r="A1193" s="8">
        <v>1187</v>
      </c>
      <c r="B1193" s="35" t="str">
        <f t="shared" ref="B1193:C1196" si="512">B1192</f>
        <v>西日本第一本部</v>
      </c>
      <c r="C1193" s="35" t="str">
        <f t="shared" si="512"/>
        <v>そんぽの家　西田辺駅前</v>
      </c>
      <c r="D1193" s="9" t="s">
        <v>4</v>
      </c>
      <c r="E1193" s="10">
        <v>1</v>
      </c>
      <c r="F1193" s="11">
        <v>4</v>
      </c>
      <c r="G1193" s="12">
        <v>4</v>
      </c>
      <c r="H1193" s="11">
        <v>0</v>
      </c>
      <c r="I1193" s="12">
        <v>0</v>
      </c>
      <c r="J1193" s="10">
        <v>4</v>
      </c>
      <c r="K1193" s="38">
        <f t="shared" si="506"/>
        <v>8</v>
      </c>
      <c r="L1193" s="28">
        <v>1</v>
      </c>
      <c r="M1193" s="33">
        <f t="shared" si="497"/>
        <v>1</v>
      </c>
      <c r="N1193" s="1">
        <v>3716681200</v>
      </c>
    </row>
    <row r="1194" spans="1:14" ht="18" customHeight="1" x14ac:dyDescent="0.45">
      <c r="A1194" s="8">
        <v>1188</v>
      </c>
      <c r="B1194" s="35" t="str">
        <f t="shared" si="512"/>
        <v>西日本第一本部</v>
      </c>
      <c r="C1194" s="35" t="str">
        <f t="shared" si="512"/>
        <v>そんぽの家　西田辺駅前</v>
      </c>
      <c r="D1194" s="9" t="s">
        <v>5</v>
      </c>
      <c r="E1194" s="10">
        <v>1</v>
      </c>
      <c r="F1194" s="11">
        <v>23</v>
      </c>
      <c r="G1194" s="12">
        <v>23</v>
      </c>
      <c r="H1194" s="11">
        <v>0</v>
      </c>
      <c r="I1194" s="12">
        <v>0</v>
      </c>
      <c r="J1194" s="10">
        <v>23</v>
      </c>
      <c r="K1194" s="38">
        <f t="shared" si="506"/>
        <v>8</v>
      </c>
      <c r="L1194" s="28">
        <v>2</v>
      </c>
      <c r="M1194" s="33">
        <f t="shared" si="497"/>
        <v>2</v>
      </c>
      <c r="N1194" s="1">
        <v>3716681200</v>
      </c>
    </row>
    <row r="1195" spans="1:14" ht="18" customHeight="1" x14ac:dyDescent="0.45">
      <c r="A1195" s="8">
        <v>1189</v>
      </c>
      <c r="B1195" s="35" t="str">
        <f t="shared" si="512"/>
        <v>西日本第一本部</v>
      </c>
      <c r="C1195" s="35" t="str">
        <f t="shared" si="512"/>
        <v>そんぽの家　西田辺駅前</v>
      </c>
      <c r="D1195" s="9" t="s">
        <v>6</v>
      </c>
      <c r="E1195" s="10">
        <v>3</v>
      </c>
      <c r="F1195" s="11">
        <v>5</v>
      </c>
      <c r="G1195" s="12">
        <v>1.7</v>
      </c>
      <c r="H1195" s="11">
        <v>0</v>
      </c>
      <c r="I1195" s="12">
        <v>0</v>
      </c>
      <c r="J1195" s="10">
        <v>5</v>
      </c>
      <c r="K1195" s="38">
        <f t="shared" si="506"/>
        <v>8</v>
      </c>
      <c r="L1195" s="28">
        <v>1</v>
      </c>
      <c r="M1195" s="33">
        <f t="shared" si="497"/>
        <v>1</v>
      </c>
      <c r="N1195" s="1">
        <v>3716681200</v>
      </c>
    </row>
    <row r="1196" spans="1:14" ht="18" customHeight="1" x14ac:dyDescent="0.45">
      <c r="A1196" s="8">
        <v>1190</v>
      </c>
      <c r="B1196" s="36" t="str">
        <f t="shared" si="512"/>
        <v>西日本第一本部</v>
      </c>
      <c r="C1196" s="36" t="str">
        <f t="shared" si="512"/>
        <v>そんぽの家　西田辺駅前</v>
      </c>
      <c r="D1196" s="9" t="s">
        <v>2</v>
      </c>
      <c r="E1196" s="10">
        <v>1</v>
      </c>
      <c r="F1196" s="11">
        <v>9</v>
      </c>
      <c r="G1196" s="12">
        <v>9</v>
      </c>
      <c r="H1196" s="11">
        <v>0</v>
      </c>
      <c r="I1196" s="12">
        <v>0</v>
      </c>
      <c r="J1196" s="10">
        <v>9</v>
      </c>
      <c r="K1196" s="39">
        <f t="shared" si="506"/>
        <v>8</v>
      </c>
      <c r="L1196" s="28">
        <v>2</v>
      </c>
      <c r="M1196" s="33">
        <f t="shared" si="497"/>
        <v>2</v>
      </c>
      <c r="N1196" s="1">
        <v>3716681200</v>
      </c>
    </row>
    <row r="1197" spans="1:14" ht="18" customHeight="1" x14ac:dyDescent="0.45">
      <c r="A1197" s="13">
        <v>1191</v>
      </c>
      <c r="B1197" s="40" t="s">
        <v>85</v>
      </c>
      <c r="C1197" s="40" t="s">
        <v>127</v>
      </c>
      <c r="D1197" s="14" t="s">
        <v>3</v>
      </c>
      <c r="E1197" s="15">
        <v>1</v>
      </c>
      <c r="F1197" s="16">
        <v>9</v>
      </c>
      <c r="G1197" s="17">
        <v>9</v>
      </c>
      <c r="H1197" s="16">
        <v>9</v>
      </c>
      <c r="I1197" s="17">
        <v>9</v>
      </c>
      <c r="J1197" s="15">
        <v>18</v>
      </c>
      <c r="K1197" s="43">
        <f t="shared" ref="K1197" si="513">SUM(M1197:M1201)</f>
        <v>8</v>
      </c>
      <c r="L1197" s="28">
        <v>2</v>
      </c>
      <c r="M1197" s="33">
        <f t="shared" si="497"/>
        <v>2</v>
      </c>
      <c r="N1197" s="1">
        <v>3716691200</v>
      </c>
    </row>
    <row r="1198" spans="1:14" ht="18" customHeight="1" x14ac:dyDescent="0.45">
      <c r="A1198" s="13">
        <v>1192</v>
      </c>
      <c r="B1198" s="41" t="str">
        <f t="shared" ref="B1198:C1201" si="514">B1197</f>
        <v>西日本第一本部</v>
      </c>
      <c r="C1198" s="41" t="str">
        <f t="shared" si="514"/>
        <v>そんぽの家　なんば</v>
      </c>
      <c r="D1198" s="14" t="s">
        <v>4</v>
      </c>
      <c r="E1198" s="15">
        <v>1</v>
      </c>
      <c r="F1198" s="16">
        <v>10</v>
      </c>
      <c r="G1198" s="17">
        <v>10</v>
      </c>
      <c r="H1198" s="16">
        <v>0</v>
      </c>
      <c r="I1198" s="17">
        <v>0</v>
      </c>
      <c r="J1198" s="15">
        <v>10</v>
      </c>
      <c r="K1198" s="44">
        <f t="shared" si="506"/>
        <v>8</v>
      </c>
      <c r="L1198" s="28">
        <v>2</v>
      </c>
      <c r="M1198" s="33">
        <f t="shared" si="497"/>
        <v>2</v>
      </c>
      <c r="N1198" s="1">
        <v>3716691200</v>
      </c>
    </row>
    <row r="1199" spans="1:14" ht="18" customHeight="1" x14ac:dyDescent="0.45">
      <c r="A1199" s="13">
        <v>1193</v>
      </c>
      <c r="B1199" s="41" t="str">
        <f t="shared" si="514"/>
        <v>西日本第一本部</v>
      </c>
      <c r="C1199" s="41" t="str">
        <f t="shared" si="514"/>
        <v>そんぽの家　なんば</v>
      </c>
      <c r="D1199" s="14" t="s">
        <v>5</v>
      </c>
      <c r="E1199" s="15">
        <v>1</v>
      </c>
      <c r="F1199" s="16">
        <v>24</v>
      </c>
      <c r="G1199" s="17">
        <v>24</v>
      </c>
      <c r="H1199" s="16">
        <v>0</v>
      </c>
      <c r="I1199" s="17">
        <v>0</v>
      </c>
      <c r="J1199" s="15">
        <v>24</v>
      </c>
      <c r="K1199" s="44">
        <f t="shared" si="506"/>
        <v>8</v>
      </c>
      <c r="L1199" s="28">
        <v>2</v>
      </c>
      <c r="M1199" s="33">
        <f t="shared" si="497"/>
        <v>2</v>
      </c>
      <c r="N1199" s="1">
        <v>3716691200</v>
      </c>
    </row>
    <row r="1200" spans="1:14" ht="18" customHeight="1" x14ac:dyDescent="0.45">
      <c r="A1200" s="13">
        <v>1194</v>
      </c>
      <c r="B1200" s="41" t="str">
        <f t="shared" si="514"/>
        <v>西日本第一本部</v>
      </c>
      <c r="C1200" s="41" t="str">
        <f t="shared" si="514"/>
        <v>そんぽの家　なんば</v>
      </c>
      <c r="D1200" s="14" t="s">
        <v>6</v>
      </c>
      <c r="E1200" s="15">
        <v>3</v>
      </c>
      <c r="F1200" s="16">
        <v>0</v>
      </c>
      <c r="G1200" s="17">
        <v>0</v>
      </c>
      <c r="H1200" s="16">
        <v>0</v>
      </c>
      <c r="I1200" s="17">
        <v>0</v>
      </c>
      <c r="J1200" s="15">
        <v>0</v>
      </c>
      <c r="K1200" s="44">
        <f t="shared" si="506"/>
        <v>8</v>
      </c>
      <c r="L1200" s="28">
        <v>0</v>
      </c>
      <c r="M1200" s="33">
        <f t="shared" si="497"/>
        <v>0</v>
      </c>
      <c r="N1200" s="1">
        <v>3716691200</v>
      </c>
    </row>
    <row r="1201" spans="1:14" ht="18" customHeight="1" x14ac:dyDescent="0.45">
      <c r="A1201" s="13">
        <v>1195</v>
      </c>
      <c r="B1201" s="42" t="str">
        <f t="shared" si="514"/>
        <v>西日本第一本部</v>
      </c>
      <c r="C1201" s="42" t="str">
        <f t="shared" si="514"/>
        <v>そんぽの家　なんば</v>
      </c>
      <c r="D1201" s="14" t="s">
        <v>2</v>
      </c>
      <c r="E1201" s="15">
        <v>1</v>
      </c>
      <c r="F1201" s="16">
        <v>58</v>
      </c>
      <c r="G1201" s="17">
        <v>58</v>
      </c>
      <c r="H1201" s="16">
        <v>0</v>
      </c>
      <c r="I1201" s="17">
        <v>0</v>
      </c>
      <c r="J1201" s="15">
        <v>58</v>
      </c>
      <c r="K1201" s="45">
        <f t="shared" si="506"/>
        <v>8</v>
      </c>
      <c r="L1201" s="28">
        <v>2</v>
      </c>
      <c r="M1201" s="33">
        <f t="shared" si="497"/>
        <v>2</v>
      </c>
      <c r="N1201" s="1">
        <v>3716691200</v>
      </c>
    </row>
    <row r="1202" spans="1:14" ht="18" customHeight="1" x14ac:dyDescent="0.45">
      <c r="A1202" s="8">
        <v>1196</v>
      </c>
      <c r="B1202" s="34" t="s">
        <v>85</v>
      </c>
      <c r="C1202" s="34" t="s">
        <v>128</v>
      </c>
      <c r="D1202" s="9" t="s">
        <v>3</v>
      </c>
      <c r="E1202" s="10">
        <v>1</v>
      </c>
      <c r="F1202" s="11">
        <v>9</v>
      </c>
      <c r="G1202" s="12">
        <v>9</v>
      </c>
      <c r="H1202" s="11">
        <v>7</v>
      </c>
      <c r="I1202" s="12">
        <v>7</v>
      </c>
      <c r="J1202" s="10">
        <v>16</v>
      </c>
      <c r="K1202" s="37">
        <f t="shared" ref="K1202" si="515">SUM(M1202:M1206)</f>
        <v>9</v>
      </c>
      <c r="L1202" s="28">
        <v>2</v>
      </c>
      <c r="M1202" s="33">
        <f t="shared" si="497"/>
        <v>2</v>
      </c>
      <c r="N1202" s="1">
        <v>3716701200</v>
      </c>
    </row>
    <row r="1203" spans="1:14" ht="18" customHeight="1" x14ac:dyDescent="0.45">
      <c r="A1203" s="8">
        <v>1197</v>
      </c>
      <c r="B1203" s="35" t="str">
        <f t="shared" ref="B1203:C1206" si="516">B1202</f>
        <v>西日本第一本部</v>
      </c>
      <c r="C1203" s="35" t="str">
        <f t="shared" si="516"/>
        <v>そんぽの家　鶴見緑地</v>
      </c>
      <c r="D1203" s="9" t="s">
        <v>4</v>
      </c>
      <c r="E1203" s="10">
        <v>2</v>
      </c>
      <c r="F1203" s="11">
        <v>17</v>
      </c>
      <c r="G1203" s="12">
        <v>8.5</v>
      </c>
      <c r="H1203" s="11">
        <v>16</v>
      </c>
      <c r="I1203" s="12">
        <v>8</v>
      </c>
      <c r="J1203" s="10">
        <v>33</v>
      </c>
      <c r="K1203" s="38">
        <f t="shared" si="506"/>
        <v>9</v>
      </c>
      <c r="L1203" s="28">
        <v>2</v>
      </c>
      <c r="M1203" s="33">
        <f t="shared" si="497"/>
        <v>2</v>
      </c>
      <c r="N1203" s="1">
        <v>3716701200</v>
      </c>
    </row>
    <row r="1204" spans="1:14" ht="18" customHeight="1" x14ac:dyDescent="0.45">
      <c r="A1204" s="8">
        <v>1198</v>
      </c>
      <c r="B1204" s="35" t="str">
        <f t="shared" si="516"/>
        <v>西日本第一本部</v>
      </c>
      <c r="C1204" s="35" t="str">
        <f t="shared" si="516"/>
        <v>そんぽの家　鶴見緑地</v>
      </c>
      <c r="D1204" s="9" t="s">
        <v>5</v>
      </c>
      <c r="E1204" s="10">
        <v>1</v>
      </c>
      <c r="F1204" s="11">
        <v>14</v>
      </c>
      <c r="G1204" s="12">
        <v>14</v>
      </c>
      <c r="H1204" s="11">
        <v>0</v>
      </c>
      <c r="I1204" s="12">
        <v>0</v>
      </c>
      <c r="J1204" s="10">
        <v>14</v>
      </c>
      <c r="K1204" s="38">
        <f t="shared" si="506"/>
        <v>9</v>
      </c>
      <c r="L1204" s="28">
        <v>2</v>
      </c>
      <c r="M1204" s="33">
        <f t="shared" si="497"/>
        <v>2</v>
      </c>
      <c r="N1204" s="1">
        <v>3716701200</v>
      </c>
    </row>
    <row r="1205" spans="1:14" ht="18" customHeight="1" x14ac:dyDescent="0.45">
      <c r="A1205" s="8">
        <v>1199</v>
      </c>
      <c r="B1205" s="35" t="str">
        <f t="shared" si="516"/>
        <v>西日本第一本部</v>
      </c>
      <c r="C1205" s="35" t="str">
        <f t="shared" si="516"/>
        <v>そんぽの家　鶴見緑地</v>
      </c>
      <c r="D1205" s="9" t="s">
        <v>6</v>
      </c>
      <c r="E1205" s="10">
        <v>3</v>
      </c>
      <c r="F1205" s="11">
        <v>11</v>
      </c>
      <c r="G1205" s="12">
        <v>3.7</v>
      </c>
      <c r="H1205" s="11">
        <v>0</v>
      </c>
      <c r="I1205" s="12">
        <v>0</v>
      </c>
      <c r="J1205" s="10">
        <v>11</v>
      </c>
      <c r="K1205" s="38">
        <f t="shared" si="506"/>
        <v>9</v>
      </c>
      <c r="L1205" s="28">
        <v>2</v>
      </c>
      <c r="M1205" s="33">
        <f t="shared" si="497"/>
        <v>2</v>
      </c>
      <c r="N1205" s="1">
        <v>3716701200</v>
      </c>
    </row>
    <row r="1206" spans="1:14" ht="18" customHeight="1" x14ac:dyDescent="0.45">
      <c r="A1206" s="8">
        <v>1200</v>
      </c>
      <c r="B1206" s="36" t="str">
        <f t="shared" si="516"/>
        <v>西日本第一本部</v>
      </c>
      <c r="C1206" s="36" t="str">
        <f t="shared" si="516"/>
        <v>そんぽの家　鶴見緑地</v>
      </c>
      <c r="D1206" s="9" t="s">
        <v>2</v>
      </c>
      <c r="E1206" s="10">
        <v>2</v>
      </c>
      <c r="F1206" s="11">
        <v>7</v>
      </c>
      <c r="G1206" s="12">
        <v>3.5</v>
      </c>
      <c r="H1206" s="11">
        <v>0</v>
      </c>
      <c r="I1206" s="12">
        <v>0</v>
      </c>
      <c r="J1206" s="10">
        <v>7</v>
      </c>
      <c r="K1206" s="39">
        <f t="shared" si="506"/>
        <v>9</v>
      </c>
      <c r="L1206" s="28">
        <v>1</v>
      </c>
      <c r="M1206" s="33">
        <f t="shared" si="497"/>
        <v>1</v>
      </c>
      <c r="N1206" s="1">
        <v>3716701200</v>
      </c>
    </row>
    <row r="1207" spans="1:14" ht="18" customHeight="1" x14ac:dyDescent="0.45">
      <c r="A1207" s="13">
        <v>1201</v>
      </c>
      <c r="B1207" s="40" t="s">
        <v>85</v>
      </c>
      <c r="C1207" s="40" t="s">
        <v>313</v>
      </c>
      <c r="D1207" s="14" t="s">
        <v>3</v>
      </c>
      <c r="E1207" s="15">
        <v>1</v>
      </c>
      <c r="F1207" s="16">
        <v>13</v>
      </c>
      <c r="G1207" s="17">
        <v>13</v>
      </c>
      <c r="H1207" s="16">
        <v>11</v>
      </c>
      <c r="I1207" s="17">
        <v>11</v>
      </c>
      <c r="J1207" s="15">
        <v>24</v>
      </c>
      <c r="K1207" s="43">
        <f t="shared" ref="K1207" si="517">SUM(M1207:M1211)</f>
        <v>10</v>
      </c>
      <c r="L1207" s="28">
        <v>2</v>
      </c>
      <c r="M1207" s="33">
        <f t="shared" si="497"/>
        <v>2</v>
      </c>
      <c r="N1207" s="1">
        <v>3716711100</v>
      </c>
    </row>
    <row r="1208" spans="1:14" ht="18" customHeight="1" x14ac:dyDescent="0.45">
      <c r="A1208" s="13">
        <v>1202</v>
      </c>
      <c r="B1208" s="41" t="str">
        <f t="shared" ref="B1208:C1211" si="518">B1207</f>
        <v>西日本第一本部</v>
      </c>
      <c r="C1208" s="41" t="str">
        <f t="shared" si="518"/>
        <v>ラヴィーレ南堀江</v>
      </c>
      <c r="D1208" s="14" t="s">
        <v>4</v>
      </c>
      <c r="E1208" s="15">
        <v>2</v>
      </c>
      <c r="F1208" s="16">
        <v>9</v>
      </c>
      <c r="G1208" s="17">
        <v>4.5</v>
      </c>
      <c r="H1208" s="16">
        <v>3</v>
      </c>
      <c r="I1208" s="17">
        <v>1.5</v>
      </c>
      <c r="J1208" s="15">
        <v>12</v>
      </c>
      <c r="K1208" s="44">
        <f t="shared" si="506"/>
        <v>10</v>
      </c>
      <c r="L1208" s="28">
        <v>2</v>
      </c>
      <c r="M1208" s="33">
        <f t="shared" si="497"/>
        <v>2</v>
      </c>
      <c r="N1208" s="1">
        <v>3716711100</v>
      </c>
    </row>
    <row r="1209" spans="1:14" ht="18" customHeight="1" x14ac:dyDescent="0.45">
      <c r="A1209" s="13">
        <v>1203</v>
      </c>
      <c r="B1209" s="41" t="str">
        <f t="shared" si="518"/>
        <v>西日本第一本部</v>
      </c>
      <c r="C1209" s="41" t="str">
        <f t="shared" si="518"/>
        <v>ラヴィーレ南堀江</v>
      </c>
      <c r="D1209" s="14" t="s">
        <v>5</v>
      </c>
      <c r="E1209" s="15">
        <v>3</v>
      </c>
      <c r="F1209" s="16">
        <v>36</v>
      </c>
      <c r="G1209" s="17">
        <v>12</v>
      </c>
      <c r="H1209" s="16">
        <v>0</v>
      </c>
      <c r="I1209" s="17">
        <v>0</v>
      </c>
      <c r="J1209" s="15">
        <v>36</v>
      </c>
      <c r="K1209" s="44">
        <f t="shared" si="506"/>
        <v>10</v>
      </c>
      <c r="L1209" s="28">
        <v>2</v>
      </c>
      <c r="M1209" s="33">
        <f t="shared" si="497"/>
        <v>2</v>
      </c>
      <c r="N1209" s="1">
        <v>3716711100</v>
      </c>
    </row>
    <row r="1210" spans="1:14" ht="18" customHeight="1" x14ac:dyDescent="0.45">
      <c r="A1210" s="13">
        <v>1204</v>
      </c>
      <c r="B1210" s="41" t="str">
        <f t="shared" si="518"/>
        <v>西日本第一本部</v>
      </c>
      <c r="C1210" s="41" t="str">
        <f t="shared" si="518"/>
        <v>ラヴィーレ南堀江</v>
      </c>
      <c r="D1210" s="14" t="s">
        <v>6</v>
      </c>
      <c r="E1210" s="15">
        <v>4</v>
      </c>
      <c r="F1210" s="16">
        <v>15</v>
      </c>
      <c r="G1210" s="17">
        <v>3.8</v>
      </c>
      <c r="H1210" s="16">
        <v>0</v>
      </c>
      <c r="I1210" s="17">
        <v>0</v>
      </c>
      <c r="J1210" s="15">
        <v>15</v>
      </c>
      <c r="K1210" s="44">
        <f t="shared" si="506"/>
        <v>10</v>
      </c>
      <c r="L1210" s="28">
        <v>2</v>
      </c>
      <c r="M1210" s="33">
        <f t="shared" si="497"/>
        <v>2</v>
      </c>
      <c r="N1210" s="1">
        <v>3716711100</v>
      </c>
    </row>
    <row r="1211" spans="1:14" ht="18" customHeight="1" x14ac:dyDescent="0.45">
      <c r="A1211" s="13">
        <v>1205</v>
      </c>
      <c r="B1211" s="42" t="str">
        <f t="shared" si="518"/>
        <v>西日本第一本部</v>
      </c>
      <c r="C1211" s="42" t="str">
        <f t="shared" si="518"/>
        <v>ラヴィーレ南堀江</v>
      </c>
      <c r="D1211" s="14" t="s">
        <v>2</v>
      </c>
      <c r="E1211" s="15">
        <v>2</v>
      </c>
      <c r="F1211" s="16">
        <v>130</v>
      </c>
      <c r="G1211" s="17">
        <v>65</v>
      </c>
      <c r="H1211" s="16">
        <v>0</v>
      </c>
      <c r="I1211" s="17">
        <v>0</v>
      </c>
      <c r="J1211" s="15">
        <v>130</v>
      </c>
      <c r="K1211" s="45">
        <f t="shared" si="506"/>
        <v>10</v>
      </c>
      <c r="L1211" s="28">
        <v>2</v>
      </c>
      <c r="M1211" s="33">
        <f t="shared" si="497"/>
        <v>2</v>
      </c>
      <c r="N1211" s="1">
        <v>3716711100</v>
      </c>
    </row>
    <row r="1212" spans="1:14" ht="18" customHeight="1" x14ac:dyDescent="0.45">
      <c r="A1212" s="8">
        <v>1206</v>
      </c>
      <c r="B1212" s="34" t="s">
        <v>85</v>
      </c>
      <c r="C1212" s="34" t="s">
        <v>129</v>
      </c>
      <c r="D1212" s="9" t="s">
        <v>3</v>
      </c>
      <c r="E1212" s="10">
        <v>1</v>
      </c>
      <c r="F1212" s="11">
        <v>15</v>
      </c>
      <c r="G1212" s="12">
        <v>15</v>
      </c>
      <c r="H1212" s="11">
        <v>14</v>
      </c>
      <c r="I1212" s="12">
        <v>14</v>
      </c>
      <c r="J1212" s="10">
        <v>29</v>
      </c>
      <c r="K1212" s="37">
        <f t="shared" ref="K1212" si="519">SUM(M1212:M1216)</f>
        <v>8</v>
      </c>
      <c r="L1212" s="28">
        <v>2</v>
      </c>
      <c r="M1212" s="33">
        <f t="shared" si="497"/>
        <v>2</v>
      </c>
      <c r="N1212" s="1">
        <v>3716721200</v>
      </c>
    </row>
    <row r="1213" spans="1:14" ht="18" customHeight="1" x14ac:dyDescent="0.45">
      <c r="A1213" s="8">
        <v>1207</v>
      </c>
      <c r="B1213" s="35" t="str">
        <f t="shared" ref="B1213:C1216" si="520">B1212</f>
        <v>西日本第一本部</v>
      </c>
      <c r="C1213" s="35" t="str">
        <f t="shared" si="520"/>
        <v>そんぽの家　弁天町</v>
      </c>
      <c r="D1213" s="9" t="s">
        <v>4</v>
      </c>
      <c r="E1213" s="10">
        <v>0</v>
      </c>
      <c r="F1213" s="11">
        <v>0</v>
      </c>
      <c r="G1213" s="12">
        <v>0</v>
      </c>
      <c r="H1213" s="11">
        <v>0</v>
      </c>
      <c r="I1213" s="12">
        <v>0</v>
      </c>
      <c r="J1213" s="10">
        <v>0</v>
      </c>
      <c r="K1213" s="38">
        <f t="shared" si="506"/>
        <v>8</v>
      </c>
      <c r="L1213" s="28">
        <v>0</v>
      </c>
      <c r="M1213" s="33">
        <f t="shared" si="497"/>
        <v>0</v>
      </c>
      <c r="N1213" s="1">
        <v>3716721200</v>
      </c>
    </row>
    <row r="1214" spans="1:14" ht="18" customHeight="1" x14ac:dyDescent="0.45">
      <c r="A1214" s="8">
        <v>1208</v>
      </c>
      <c r="B1214" s="35" t="str">
        <f t="shared" si="520"/>
        <v>西日本第一本部</v>
      </c>
      <c r="C1214" s="35" t="str">
        <f t="shared" si="520"/>
        <v>そんぽの家　弁天町</v>
      </c>
      <c r="D1214" s="9" t="s">
        <v>5</v>
      </c>
      <c r="E1214" s="10">
        <v>1</v>
      </c>
      <c r="F1214" s="11">
        <v>29</v>
      </c>
      <c r="G1214" s="12">
        <v>29</v>
      </c>
      <c r="H1214" s="11">
        <v>0</v>
      </c>
      <c r="I1214" s="12">
        <v>0</v>
      </c>
      <c r="J1214" s="10">
        <v>29</v>
      </c>
      <c r="K1214" s="38">
        <f t="shared" si="506"/>
        <v>8</v>
      </c>
      <c r="L1214" s="28">
        <v>2</v>
      </c>
      <c r="M1214" s="33">
        <f t="shared" si="497"/>
        <v>2</v>
      </c>
      <c r="N1214" s="1">
        <v>3716721200</v>
      </c>
    </row>
    <row r="1215" spans="1:14" ht="18" customHeight="1" x14ac:dyDescent="0.45">
      <c r="A1215" s="8">
        <v>1209</v>
      </c>
      <c r="B1215" s="35" t="str">
        <f t="shared" si="520"/>
        <v>西日本第一本部</v>
      </c>
      <c r="C1215" s="35" t="str">
        <f t="shared" si="520"/>
        <v>そんぽの家　弁天町</v>
      </c>
      <c r="D1215" s="9" t="s">
        <v>6</v>
      </c>
      <c r="E1215" s="10">
        <v>2</v>
      </c>
      <c r="F1215" s="11">
        <v>16</v>
      </c>
      <c r="G1215" s="12">
        <v>8</v>
      </c>
      <c r="H1215" s="11">
        <v>0</v>
      </c>
      <c r="I1215" s="12">
        <v>0</v>
      </c>
      <c r="J1215" s="10">
        <v>16</v>
      </c>
      <c r="K1215" s="38">
        <f t="shared" si="506"/>
        <v>8</v>
      </c>
      <c r="L1215" s="28">
        <v>2</v>
      </c>
      <c r="M1215" s="33">
        <f t="shared" si="497"/>
        <v>2</v>
      </c>
      <c r="N1215" s="1">
        <v>3716721200</v>
      </c>
    </row>
    <row r="1216" spans="1:14" ht="18" customHeight="1" x14ac:dyDescent="0.45">
      <c r="A1216" s="8">
        <v>1210</v>
      </c>
      <c r="B1216" s="36" t="str">
        <f t="shared" si="520"/>
        <v>西日本第一本部</v>
      </c>
      <c r="C1216" s="36" t="str">
        <f t="shared" si="520"/>
        <v>そんぽの家　弁天町</v>
      </c>
      <c r="D1216" s="9" t="s">
        <v>2</v>
      </c>
      <c r="E1216" s="10">
        <v>2</v>
      </c>
      <c r="F1216" s="11">
        <v>25</v>
      </c>
      <c r="G1216" s="12">
        <v>12.5</v>
      </c>
      <c r="H1216" s="11">
        <v>0</v>
      </c>
      <c r="I1216" s="12">
        <v>0</v>
      </c>
      <c r="J1216" s="10">
        <v>25</v>
      </c>
      <c r="K1216" s="39">
        <f t="shared" si="506"/>
        <v>8</v>
      </c>
      <c r="L1216" s="28">
        <v>2</v>
      </c>
      <c r="M1216" s="33">
        <f t="shared" si="497"/>
        <v>2</v>
      </c>
      <c r="N1216" s="1">
        <v>3716721200</v>
      </c>
    </row>
    <row r="1217" spans="1:14" ht="18" customHeight="1" x14ac:dyDescent="0.45">
      <c r="A1217" s="13">
        <v>1211</v>
      </c>
      <c r="B1217" s="40" t="s">
        <v>85</v>
      </c>
      <c r="C1217" s="40" t="s">
        <v>314</v>
      </c>
      <c r="D1217" s="14" t="s">
        <v>3</v>
      </c>
      <c r="E1217" s="15">
        <v>1</v>
      </c>
      <c r="F1217" s="16">
        <v>16</v>
      </c>
      <c r="G1217" s="17">
        <v>16</v>
      </c>
      <c r="H1217" s="16">
        <v>2</v>
      </c>
      <c r="I1217" s="17">
        <v>2</v>
      </c>
      <c r="J1217" s="15">
        <v>18</v>
      </c>
      <c r="K1217" s="43">
        <f t="shared" ref="K1217" si="521">SUM(M1217:M1221)</f>
        <v>8</v>
      </c>
      <c r="L1217" s="28">
        <v>2</v>
      </c>
      <c r="M1217" s="33">
        <f t="shared" si="497"/>
        <v>2</v>
      </c>
      <c r="N1217" s="1">
        <v>3716731100</v>
      </c>
    </row>
    <row r="1218" spans="1:14" ht="18" customHeight="1" x14ac:dyDescent="0.45">
      <c r="A1218" s="13">
        <v>1212</v>
      </c>
      <c r="B1218" s="41" t="str">
        <f t="shared" ref="B1218:C1221" si="522">B1217</f>
        <v>西日本第一本部</v>
      </c>
      <c r="C1218" s="41" t="str">
        <f t="shared" si="522"/>
        <v>ラヴィーレ弁天町</v>
      </c>
      <c r="D1218" s="14" t="s">
        <v>4</v>
      </c>
      <c r="E1218" s="15">
        <v>2</v>
      </c>
      <c r="F1218" s="16">
        <v>15</v>
      </c>
      <c r="G1218" s="17">
        <v>7.5</v>
      </c>
      <c r="H1218" s="16">
        <v>1</v>
      </c>
      <c r="I1218" s="17">
        <v>0.5</v>
      </c>
      <c r="J1218" s="15">
        <v>16</v>
      </c>
      <c r="K1218" s="44">
        <f t="shared" si="506"/>
        <v>8</v>
      </c>
      <c r="L1218" s="28">
        <v>2</v>
      </c>
      <c r="M1218" s="33">
        <f t="shared" si="497"/>
        <v>2</v>
      </c>
      <c r="N1218" s="1">
        <v>3716731100</v>
      </c>
    </row>
    <row r="1219" spans="1:14" ht="18" customHeight="1" x14ac:dyDescent="0.45">
      <c r="A1219" s="13">
        <v>1213</v>
      </c>
      <c r="B1219" s="41" t="str">
        <f t="shared" si="522"/>
        <v>西日本第一本部</v>
      </c>
      <c r="C1219" s="41" t="str">
        <f t="shared" si="522"/>
        <v>ラヴィーレ弁天町</v>
      </c>
      <c r="D1219" s="14" t="s">
        <v>5</v>
      </c>
      <c r="E1219" s="15">
        <v>2</v>
      </c>
      <c r="F1219" s="16">
        <v>23</v>
      </c>
      <c r="G1219" s="17">
        <v>11.5</v>
      </c>
      <c r="H1219" s="16">
        <v>0</v>
      </c>
      <c r="I1219" s="17">
        <v>0</v>
      </c>
      <c r="J1219" s="15">
        <v>23</v>
      </c>
      <c r="K1219" s="44">
        <f t="shared" si="506"/>
        <v>8</v>
      </c>
      <c r="L1219" s="28">
        <v>2</v>
      </c>
      <c r="M1219" s="33">
        <f t="shared" si="497"/>
        <v>2</v>
      </c>
      <c r="N1219" s="1">
        <v>3716731100</v>
      </c>
    </row>
    <row r="1220" spans="1:14" ht="18" customHeight="1" x14ac:dyDescent="0.45">
      <c r="A1220" s="13">
        <v>1214</v>
      </c>
      <c r="B1220" s="41" t="str">
        <f t="shared" si="522"/>
        <v>西日本第一本部</v>
      </c>
      <c r="C1220" s="41" t="str">
        <f t="shared" si="522"/>
        <v>ラヴィーレ弁天町</v>
      </c>
      <c r="D1220" s="14" t="s">
        <v>6</v>
      </c>
      <c r="E1220" s="15">
        <v>7</v>
      </c>
      <c r="F1220" s="16">
        <v>0</v>
      </c>
      <c r="G1220" s="17">
        <v>0</v>
      </c>
      <c r="H1220" s="16">
        <v>0</v>
      </c>
      <c r="I1220" s="17">
        <v>0</v>
      </c>
      <c r="J1220" s="15">
        <v>0</v>
      </c>
      <c r="K1220" s="44">
        <f t="shared" si="506"/>
        <v>8</v>
      </c>
      <c r="L1220" s="28">
        <v>0</v>
      </c>
      <c r="M1220" s="33">
        <f t="shared" si="497"/>
        <v>0</v>
      </c>
      <c r="N1220" s="1">
        <v>3716731100</v>
      </c>
    </row>
    <row r="1221" spans="1:14" ht="18" customHeight="1" x14ac:dyDescent="0.45">
      <c r="A1221" s="13">
        <v>1215</v>
      </c>
      <c r="B1221" s="42" t="str">
        <f t="shared" si="522"/>
        <v>西日本第一本部</v>
      </c>
      <c r="C1221" s="42" t="str">
        <f t="shared" si="522"/>
        <v>ラヴィーレ弁天町</v>
      </c>
      <c r="D1221" s="14" t="s">
        <v>2</v>
      </c>
      <c r="E1221" s="15">
        <v>3</v>
      </c>
      <c r="F1221" s="16">
        <v>65</v>
      </c>
      <c r="G1221" s="17">
        <v>21.7</v>
      </c>
      <c r="H1221" s="16">
        <v>0</v>
      </c>
      <c r="I1221" s="17">
        <v>0</v>
      </c>
      <c r="J1221" s="15">
        <v>65</v>
      </c>
      <c r="K1221" s="45">
        <f t="shared" si="506"/>
        <v>8</v>
      </c>
      <c r="L1221" s="28">
        <v>2</v>
      </c>
      <c r="M1221" s="33">
        <f t="shared" si="497"/>
        <v>2</v>
      </c>
      <c r="N1221" s="1">
        <v>3716731100</v>
      </c>
    </row>
    <row r="1222" spans="1:14" ht="18" customHeight="1" x14ac:dyDescent="0.45">
      <c r="A1222" s="8">
        <v>1216</v>
      </c>
      <c r="B1222" s="34" t="s">
        <v>85</v>
      </c>
      <c r="C1222" s="34" t="s">
        <v>130</v>
      </c>
      <c r="D1222" s="9" t="s">
        <v>3</v>
      </c>
      <c r="E1222" s="10">
        <v>1</v>
      </c>
      <c r="F1222" s="11">
        <v>4</v>
      </c>
      <c r="G1222" s="12">
        <v>4</v>
      </c>
      <c r="H1222" s="11">
        <v>4</v>
      </c>
      <c r="I1222" s="12">
        <v>4</v>
      </c>
      <c r="J1222" s="10">
        <v>8</v>
      </c>
      <c r="K1222" s="37">
        <f t="shared" ref="K1222" si="523">SUM(M1222:M1226)</f>
        <v>8</v>
      </c>
      <c r="L1222" s="28">
        <v>2</v>
      </c>
      <c r="M1222" s="33">
        <f t="shared" si="497"/>
        <v>2</v>
      </c>
      <c r="N1222" s="1">
        <v>3716771200</v>
      </c>
    </row>
    <row r="1223" spans="1:14" ht="18" customHeight="1" x14ac:dyDescent="0.45">
      <c r="A1223" s="8">
        <v>1217</v>
      </c>
      <c r="B1223" s="35" t="str">
        <f t="shared" ref="B1223:C1226" si="524">B1222</f>
        <v>西日本第一本部</v>
      </c>
      <c r="C1223" s="35" t="str">
        <f t="shared" si="524"/>
        <v>そんぽの家　住道</v>
      </c>
      <c r="D1223" s="9" t="s">
        <v>4</v>
      </c>
      <c r="E1223" s="10">
        <v>1</v>
      </c>
      <c r="F1223" s="11">
        <v>8</v>
      </c>
      <c r="G1223" s="12">
        <v>8</v>
      </c>
      <c r="H1223" s="11">
        <v>7</v>
      </c>
      <c r="I1223" s="12">
        <v>7</v>
      </c>
      <c r="J1223" s="10">
        <v>15</v>
      </c>
      <c r="K1223" s="38">
        <f t="shared" si="506"/>
        <v>8</v>
      </c>
      <c r="L1223" s="28">
        <v>2</v>
      </c>
      <c r="M1223" s="33">
        <f t="shared" si="497"/>
        <v>2</v>
      </c>
      <c r="N1223" s="1">
        <v>3716771200</v>
      </c>
    </row>
    <row r="1224" spans="1:14" ht="18" customHeight="1" x14ac:dyDescent="0.45">
      <c r="A1224" s="8">
        <v>1218</v>
      </c>
      <c r="B1224" s="35" t="str">
        <f t="shared" si="524"/>
        <v>西日本第一本部</v>
      </c>
      <c r="C1224" s="35" t="str">
        <f t="shared" si="524"/>
        <v>そんぽの家　住道</v>
      </c>
      <c r="D1224" s="9" t="s">
        <v>5</v>
      </c>
      <c r="E1224" s="10">
        <v>2</v>
      </c>
      <c r="F1224" s="11">
        <v>25</v>
      </c>
      <c r="G1224" s="12">
        <v>12.5</v>
      </c>
      <c r="H1224" s="11">
        <v>0</v>
      </c>
      <c r="I1224" s="12">
        <v>0</v>
      </c>
      <c r="J1224" s="10">
        <v>25</v>
      </c>
      <c r="K1224" s="38">
        <f t="shared" si="506"/>
        <v>8</v>
      </c>
      <c r="L1224" s="28">
        <v>2</v>
      </c>
      <c r="M1224" s="33">
        <f t="shared" ref="M1224:M1287" si="525">L1224</f>
        <v>2</v>
      </c>
      <c r="N1224" s="1">
        <v>3716771200</v>
      </c>
    </row>
    <row r="1225" spans="1:14" ht="18" customHeight="1" x14ac:dyDescent="0.45">
      <c r="A1225" s="8">
        <v>1219</v>
      </c>
      <c r="B1225" s="35" t="str">
        <f t="shared" si="524"/>
        <v>西日本第一本部</v>
      </c>
      <c r="C1225" s="35" t="str">
        <f t="shared" si="524"/>
        <v>そんぽの家　住道</v>
      </c>
      <c r="D1225" s="9" t="s">
        <v>6</v>
      </c>
      <c r="E1225" s="10">
        <v>3</v>
      </c>
      <c r="F1225" s="11">
        <v>0</v>
      </c>
      <c r="G1225" s="12">
        <v>0</v>
      </c>
      <c r="H1225" s="11">
        <v>0</v>
      </c>
      <c r="I1225" s="12">
        <v>0</v>
      </c>
      <c r="J1225" s="10">
        <v>0</v>
      </c>
      <c r="K1225" s="38">
        <f t="shared" si="506"/>
        <v>8</v>
      </c>
      <c r="L1225" s="28">
        <v>0</v>
      </c>
      <c r="M1225" s="33">
        <f t="shared" si="525"/>
        <v>0</v>
      </c>
      <c r="N1225" s="1">
        <v>3716771200</v>
      </c>
    </row>
    <row r="1226" spans="1:14" ht="18" customHeight="1" x14ac:dyDescent="0.45">
      <c r="A1226" s="8">
        <v>1220</v>
      </c>
      <c r="B1226" s="36" t="str">
        <f t="shared" si="524"/>
        <v>西日本第一本部</v>
      </c>
      <c r="C1226" s="36" t="str">
        <f t="shared" si="524"/>
        <v>そんぽの家　住道</v>
      </c>
      <c r="D1226" s="9" t="s">
        <v>2</v>
      </c>
      <c r="E1226" s="10">
        <v>1</v>
      </c>
      <c r="F1226" s="11">
        <v>24</v>
      </c>
      <c r="G1226" s="12">
        <v>24</v>
      </c>
      <c r="H1226" s="11">
        <v>0</v>
      </c>
      <c r="I1226" s="12">
        <v>0</v>
      </c>
      <c r="J1226" s="10">
        <v>24</v>
      </c>
      <c r="K1226" s="39">
        <f t="shared" si="506"/>
        <v>8</v>
      </c>
      <c r="L1226" s="28">
        <v>2</v>
      </c>
      <c r="M1226" s="33">
        <f t="shared" si="525"/>
        <v>2</v>
      </c>
      <c r="N1226" s="1">
        <v>3716771200</v>
      </c>
    </row>
    <row r="1227" spans="1:14" ht="18" customHeight="1" x14ac:dyDescent="0.45">
      <c r="A1227" s="13">
        <v>1221</v>
      </c>
      <c r="B1227" s="40" t="s">
        <v>85</v>
      </c>
      <c r="C1227" s="40" t="s">
        <v>131</v>
      </c>
      <c r="D1227" s="14" t="s">
        <v>3</v>
      </c>
      <c r="E1227" s="15">
        <v>1</v>
      </c>
      <c r="F1227" s="16">
        <v>7</v>
      </c>
      <c r="G1227" s="17">
        <v>7</v>
      </c>
      <c r="H1227" s="16">
        <v>5</v>
      </c>
      <c r="I1227" s="17">
        <v>5</v>
      </c>
      <c r="J1227" s="15">
        <v>12</v>
      </c>
      <c r="K1227" s="43">
        <f t="shared" ref="K1227" si="526">SUM(M1227:M1231)</f>
        <v>8</v>
      </c>
      <c r="L1227" s="28">
        <v>2</v>
      </c>
      <c r="M1227" s="33">
        <f t="shared" si="525"/>
        <v>2</v>
      </c>
      <c r="N1227" s="1">
        <v>3716791200</v>
      </c>
    </row>
    <row r="1228" spans="1:14" ht="18" customHeight="1" x14ac:dyDescent="0.45">
      <c r="A1228" s="13">
        <v>1222</v>
      </c>
      <c r="B1228" s="41" t="str">
        <f t="shared" ref="B1228:C1231" si="527">B1227</f>
        <v>西日本第一本部</v>
      </c>
      <c r="C1228" s="41" t="str">
        <f t="shared" si="527"/>
        <v>そんぽの家　天下茶屋駅前</v>
      </c>
      <c r="D1228" s="14" t="s">
        <v>4</v>
      </c>
      <c r="E1228" s="15">
        <v>1</v>
      </c>
      <c r="F1228" s="16">
        <v>12</v>
      </c>
      <c r="G1228" s="17">
        <v>12</v>
      </c>
      <c r="H1228" s="16">
        <v>12</v>
      </c>
      <c r="I1228" s="17">
        <v>12</v>
      </c>
      <c r="J1228" s="15">
        <v>24</v>
      </c>
      <c r="K1228" s="44">
        <f t="shared" si="506"/>
        <v>8</v>
      </c>
      <c r="L1228" s="28">
        <v>2</v>
      </c>
      <c r="M1228" s="33">
        <f t="shared" si="525"/>
        <v>2</v>
      </c>
      <c r="N1228" s="1">
        <v>3716791200</v>
      </c>
    </row>
    <row r="1229" spans="1:14" ht="18" customHeight="1" x14ac:dyDescent="0.45">
      <c r="A1229" s="13">
        <v>1223</v>
      </c>
      <c r="B1229" s="41" t="str">
        <f t="shared" si="527"/>
        <v>西日本第一本部</v>
      </c>
      <c r="C1229" s="41" t="str">
        <f t="shared" si="527"/>
        <v>そんぽの家　天下茶屋駅前</v>
      </c>
      <c r="D1229" s="14" t="s">
        <v>5</v>
      </c>
      <c r="E1229" s="15">
        <v>2</v>
      </c>
      <c r="F1229" s="16">
        <v>27</v>
      </c>
      <c r="G1229" s="17">
        <v>13.5</v>
      </c>
      <c r="H1229" s="16">
        <v>0</v>
      </c>
      <c r="I1229" s="17">
        <v>0</v>
      </c>
      <c r="J1229" s="15">
        <v>27</v>
      </c>
      <c r="K1229" s="44">
        <f t="shared" si="506"/>
        <v>8</v>
      </c>
      <c r="L1229" s="28">
        <v>2</v>
      </c>
      <c r="M1229" s="33">
        <f t="shared" si="525"/>
        <v>2</v>
      </c>
      <c r="N1229" s="1">
        <v>3716791200</v>
      </c>
    </row>
    <row r="1230" spans="1:14" ht="18" customHeight="1" x14ac:dyDescent="0.45">
      <c r="A1230" s="13">
        <v>1224</v>
      </c>
      <c r="B1230" s="41" t="str">
        <f t="shared" si="527"/>
        <v>西日本第一本部</v>
      </c>
      <c r="C1230" s="41" t="str">
        <f t="shared" si="527"/>
        <v>そんぽの家　天下茶屋駅前</v>
      </c>
      <c r="D1230" s="14" t="s">
        <v>6</v>
      </c>
      <c r="E1230" s="15">
        <v>3</v>
      </c>
      <c r="F1230" s="16">
        <v>0</v>
      </c>
      <c r="G1230" s="17">
        <v>0</v>
      </c>
      <c r="H1230" s="16">
        <v>0</v>
      </c>
      <c r="I1230" s="17">
        <v>0</v>
      </c>
      <c r="J1230" s="15">
        <v>0</v>
      </c>
      <c r="K1230" s="44">
        <f t="shared" si="506"/>
        <v>8</v>
      </c>
      <c r="L1230" s="28">
        <v>0</v>
      </c>
      <c r="M1230" s="33">
        <f t="shared" si="525"/>
        <v>0</v>
      </c>
      <c r="N1230" s="1">
        <v>3716791200</v>
      </c>
    </row>
    <row r="1231" spans="1:14" ht="18" customHeight="1" x14ac:dyDescent="0.45">
      <c r="A1231" s="13">
        <v>1225</v>
      </c>
      <c r="B1231" s="42" t="str">
        <f t="shared" si="527"/>
        <v>西日本第一本部</v>
      </c>
      <c r="C1231" s="42" t="str">
        <f t="shared" si="527"/>
        <v>そんぽの家　天下茶屋駅前</v>
      </c>
      <c r="D1231" s="14" t="s">
        <v>2</v>
      </c>
      <c r="E1231" s="15">
        <v>1</v>
      </c>
      <c r="F1231" s="16">
        <v>67</v>
      </c>
      <c r="G1231" s="17">
        <v>67</v>
      </c>
      <c r="H1231" s="16">
        <v>0</v>
      </c>
      <c r="I1231" s="17">
        <v>0</v>
      </c>
      <c r="J1231" s="15">
        <v>67</v>
      </c>
      <c r="K1231" s="45">
        <f t="shared" si="506"/>
        <v>8</v>
      </c>
      <c r="L1231" s="28">
        <v>2</v>
      </c>
      <c r="M1231" s="33">
        <f t="shared" si="525"/>
        <v>2</v>
      </c>
      <c r="N1231" s="1">
        <v>3716791200</v>
      </c>
    </row>
    <row r="1232" spans="1:14" ht="18" customHeight="1" x14ac:dyDescent="0.45">
      <c r="A1232" s="8">
        <v>1226</v>
      </c>
      <c r="B1232" s="34" t="s">
        <v>85</v>
      </c>
      <c r="C1232" s="34" t="s">
        <v>132</v>
      </c>
      <c r="D1232" s="9" t="s">
        <v>3</v>
      </c>
      <c r="E1232" s="10">
        <v>1</v>
      </c>
      <c r="F1232" s="11">
        <v>0</v>
      </c>
      <c r="G1232" s="12">
        <v>0</v>
      </c>
      <c r="H1232" s="11">
        <v>0</v>
      </c>
      <c r="I1232" s="12">
        <v>0</v>
      </c>
      <c r="J1232" s="10">
        <v>0</v>
      </c>
      <c r="K1232" s="37">
        <f t="shared" ref="K1232" si="528">SUM(M1232:M1236)</f>
        <v>3</v>
      </c>
      <c r="L1232" s="28">
        <v>0</v>
      </c>
      <c r="M1232" s="33">
        <f t="shared" si="525"/>
        <v>0</v>
      </c>
      <c r="N1232" s="1">
        <v>3716801200</v>
      </c>
    </row>
    <row r="1233" spans="1:14" ht="18" customHeight="1" x14ac:dyDescent="0.45">
      <c r="A1233" s="8">
        <v>1227</v>
      </c>
      <c r="B1233" s="35" t="str">
        <f t="shared" ref="B1233:C1236" si="529">B1232</f>
        <v>西日本第一本部</v>
      </c>
      <c r="C1233" s="35" t="str">
        <f t="shared" si="529"/>
        <v>そんぽの家　岸里</v>
      </c>
      <c r="D1233" s="9" t="s">
        <v>4</v>
      </c>
      <c r="E1233" s="10">
        <v>1</v>
      </c>
      <c r="F1233" s="11">
        <v>1</v>
      </c>
      <c r="G1233" s="12">
        <v>1</v>
      </c>
      <c r="H1233" s="11">
        <v>1</v>
      </c>
      <c r="I1233" s="12">
        <v>1</v>
      </c>
      <c r="J1233" s="10">
        <v>2</v>
      </c>
      <c r="K1233" s="38">
        <f t="shared" si="506"/>
        <v>3</v>
      </c>
      <c r="L1233" s="28">
        <v>0</v>
      </c>
      <c r="M1233" s="33">
        <f t="shared" si="525"/>
        <v>0</v>
      </c>
      <c r="N1233" s="1">
        <v>3716801200</v>
      </c>
    </row>
    <row r="1234" spans="1:14" ht="18" customHeight="1" x14ac:dyDescent="0.45">
      <c r="A1234" s="8">
        <v>1228</v>
      </c>
      <c r="B1234" s="35" t="str">
        <f t="shared" si="529"/>
        <v>西日本第一本部</v>
      </c>
      <c r="C1234" s="35" t="str">
        <f t="shared" si="529"/>
        <v>そんぽの家　岸里</v>
      </c>
      <c r="D1234" s="9" t="s">
        <v>5</v>
      </c>
      <c r="E1234" s="10">
        <v>1</v>
      </c>
      <c r="F1234" s="11">
        <v>4</v>
      </c>
      <c r="G1234" s="12">
        <v>4</v>
      </c>
      <c r="H1234" s="11">
        <v>0</v>
      </c>
      <c r="I1234" s="12">
        <v>0</v>
      </c>
      <c r="J1234" s="10">
        <v>4</v>
      </c>
      <c r="K1234" s="38">
        <f t="shared" si="506"/>
        <v>3</v>
      </c>
      <c r="L1234" s="28">
        <v>1</v>
      </c>
      <c r="M1234" s="33">
        <f t="shared" si="525"/>
        <v>1</v>
      </c>
      <c r="N1234" s="1">
        <v>3716801200</v>
      </c>
    </row>
    <row r="1235" spans="1:14" ht="18" customHeight="1" x14ac:dyDescent="0.45">
      <c r="A1235" s="8">
        <v>1229</v>
      </c>
      <c r="B1235" s="35" t="str">
        <f t="shared" si="529"/>
        <v>西日本第一本部</v>
      </c>
      <c r="C1235" s="35" t="str">
        <f t="shared" si="529"/>
        <v>そんぽの家　岸里</v>
      </c>
      <c r="D1235" s="9" t="s">
        <v>6</v>
      </c>
      <c r="E1235" s="10">
        <v>3</v>
      </c>
      <c r="F1235" s="11">
        <v>0</v>
      </c>
      <c r="G1235" s="12">
        <v>0</v>
      </c>
      <c r="H1235" s="11">
        <v>0</v>
      </c>
      <c r="I1235" s="12">
        <v>0</v>
      </c>
      <c r="J1235" s="10">
        <v>0</v>
      </c>
      <c r="K1235" s="38">
        <f t="shared" si="506"/>
        <v>3</v>
      </c>
      <c r="L1235" s="28">
        <v>0</v>
      </c>
      <c r="M1235" s="33">
        <f t="shared" si="525"/>
        <v>0</v>
      </c>
      <c r="N1235" s="1">
        <v>3716801200</v>
      </c>
    </row>
    <row r="1236" spans="1:14" ht="18" customHeight="1" x14ac:dyDescent="0.45">
      <c r="A1236" s="8">
        <v>1230</v>
      </c>
      <c r="B1236" s="36" t="str">
        <f t="shared" si="529"/>
        <v>西日本第一本部</v>
      </c>
      <c r="C1236" s="36" t="str">
        <f t="shared" si="529"/>
        <v>そんぽの家　岸里</v>
      </c>
      <c r="D1236" s="9" t="s">
        <v>2</v>
      </c>
      <c r="E1236" s="10">
        <v>2</v>
      </c>
      <c r="F1236" s="11">
        <v>31</v>
      </c>
      <c r="G1236" s="12">
        <v>15.5</v>
      </c>
      <c r="H1236" s="11">
        <v>0</v>
      </c>
      <c r="I1236" s="12">
        <v>0</v>
      </c>
      <c r="J1236" s="10">
        <v>31</v>
      </c>
      <c r="K1236" s="39">
        <f t="shared" si="506"/>
        <v>3</v>
      </c>
      <c r="L1236" s="28">
        <v>2</v>
      </c>
      <c r="M1236" s="33">
        <f t="shared" si="525"/>
        <v>2</v>
      </c>
      <c r="N1236" s="1">
        <v>3716801200</v>
      </c>
    </row>
    <row r="1237" spans="1:14" ht="18" customHeight="1" x14ac:dyDescent="0.45">
      <c r="A1237" s="13">
        <v>1231</v>
      </c>
      <c r="B1237" s="40" t="s">
        <v>85</v>
      </c>
      <c r="C1237" s="40" t="s">
        <v>133</v>
      </c>
      <c r="D1237" s="14" t="s">
        <v>3</v>
      </c>
      <c r="E1237" s="15">
        <v>1</v>
      </c>
      <c r="F1237" s="16">
        <v>1</v>
      </c>
      <c r="G1237" s="17">
        <v>1</v>
      </c>
      <c r="H1237" s="16">
        <v>0</v>
      </c>
      <c r="I1237" s="17">
        <v>0</v>
      </c>
      <c r="J1237" s="15">
        <v>1</v>
      </c>
      <c r="K1237" s="43">
        <f t="shared" ref="K1237" si="530">SUM(M1237:M1241)</f>
        <v>6</v>
      </c>
      <c r="L1237" s="28">
        <v>0</v>
      </c>
      <c r="M1237" s="33">
        <f t="shared" si="525"/>
        <v>0</v>
      </c>
      <c r="N1237" s="1">
        <v>3716811200</v>
      </c>
    </row>
    <row r="1238" spans="1:14" ht="18" customHeight="1" x14ac:dyDescent="0.45">
      <c r="A1238" s="13">
        <v>1232</v>
      </c>
      <c r="B1238" s="41" t="str">
        <f t="shared" ref="B1238:C1241" si="531">B1237</f>
        <v>西日本第一本部</v>
      </c>
      <c r="C1238" s="41" t="str">
        <f t="shared" si="531"/>
        <v>そんぽの家　加島駅前</v>
      </c>
      <c r="D1238" s="14" t="s">
        <v>4</v>
      </c>
      <c r="E1238" s="15">
        <v>1</v>
      </c>
      <c r="F1238" s="16">
        <v>20</v>
      </c>
      <c r="G1238" s="17">
        <v>20</v>
      </c>
      <c r="H1238" s="16">
        <v>12</v>
      </c>
      <c r="I1238" s="17">
        <v>12</v>
      </c>
      <c r="J1238" s="15">
        <v>32</v>
      </c>
      <c r="K1238" s="44">
        <f t="shared" si="506"/>
        <v>6</v>
      </c>
      <c r="L1238" s="28">
        <v>2</v>
      </c>
      <c r="M1238" s="33">
        <f t="shared" si="525"/>
        <v>2</v>
      </c>
      <c r="N1238" s="1">
        <v>3716811200</v>
      </c>
    </row>
    <row r="1239" spans="1:14" ht="18" customHeight="1" x14ac:dyDescent="0.45">
      <c r="A1239" s="13">
        <v>1233</v>
      </c>
      <c r="B1239" s="41" t="str">
        <f t="shared" si="531"/>
        <v>西日本第一本部</v>
      </c>
      <c r="C1239" s="41" t="str">
        <f t="shared" si="531"/>
        <v>そんぽの家　加島駅前</v>
      </c>
      <c r="D1239" s="14" t="s">
        <v>5</v>
      </c>
      <c r="E1239" s="15">
        <v>1</v>
      </c>
      <c r="F1239" s="16">
        <v>16</v>
      </c>
      <c r="G1239" s="17">
        <v>16</v>
      </c>
      <c r="H1239" s="16">
        <v>0</v>
      </c>
      <c r="I1239" s="17">
        <v>0</v>
      </c>
      <c r="J1239" s="15">
        <v>16</v>
      </c>
      <c r="K1239" s="44">
        <f t="shared" si="506"/>
        <v>6</v>
      </c>
      <c r="L1239" s="28">
        <v>2</v>
      </c>
      <c r="M1239" s="33">
        <f t="shared" si="525"/>
        <v>2</v>
      </c>
      <c r="N1239" s="1">
        <v>3716811200</v>
      </c>
    </row>
    <row r="1240" spans="1:14" ht="18" customHeight="1" x14ac:dyDescent="0.45">
      <c r="A1240" s="13">
        <v>1234</v>
      </c>
      <c r="B1240" s="41" t="str">
        <f t="shared" si="531"/>
        <v>西日本第一本部</v>
      </c>
      <c r="C1240" s="41" t="str">
        <f t="shared" si="531"/>
        <v>そんぽの家　加島駅前</v>
      </c>
      <c r="D1240" s="14" t="s">
        <v>6</v>
      </c>
      <c r="E1240" s="15">
        <v>5</v>
      </c>
      <c r="F1240" s="16">
        <v>1</v>
      </c>
      <c r="G1240" s="17">
        <v>0.2</v>
      </c>
      <c r="H1240" s="16">
        <v>0</v>
      </c>
      <c r="I1240" s="17">
        <v>0</v>
      </c>
      <c r="J1240" s="15">
        <v>1</v>
      </c>
      <c r="K1240" s="44">
        <f t="shared" si="506"/>
        <v>6</v>
      </c>
      <c r="L1240" s="28">
        <v>0</v>
      </c>
      <c r="M1240" s="33">
        <f t="shared" si="525"/>
        <v>0</v>
      </c>
      <c r="N1240" s="1">
        <v>3716811200</v>
      </c>
    </row>
    <row r="1241" spans="1:14" ht="18" customHeight="1" x14ac:dyDescent="0.45">
      <c r="A1241" s="13">
        <v>1235</v>
      </c>
      <c r="B1241" s="42" t="str">
        <f t="shared" si="531"/>
        <v>西日本第一本部</v>
      </c>
      <c r="C1241" s="42" t="str">
        <f t="shared" si="531"/>
        <v>そんぽの家　加島駅前</v>
      </c>
      <c r="D1241" s="14" t="s">
        <v>2</v>
      </c>
      <c r="E1241" s="15">
        <v>1</v>
      </c>
      <c r="F1241" s="16">
        <v>24</v>
      </c>
      <c r="G1241" s="17">
        <v>24</v>
      </c>
      <c r="H1241" s="16">
        <v>0</v>
      </c>
      <c r="I1241" s="17">
        <v>0</v>
      </c>
      <c r="J1241" s="15">
        <v>24</v>
      </c>
      <c r="K1241" s="45">
        <f t="shared" si="506"/>
        <v>6</v>
      </c>
      <c r="L1241" s="28">
        <v>2</v>
      </c>
      <c r="M1241" s="33">
        <f t="shared" si="525"/>
        <v>2</v>
      </c>
      <c r="N1241" s="1">
        <v>3716811200</v>
      </c>
    </row>
    <row r="1242" spans="1:14" ht="18" customHeight="1" x14ac:dyDescent="0.45">
      <c r="A1242" s="8">
        <v>1236</v>
      </c>
      <c r="B1242" s="34" t="s">
        <v>85</v>
      </c>
      <c r="C1242" s="34" t="s">
        <v>134</v>
      </c>
      <c r="D1242" s="9" t="s">
        <v>3</v>
      </c>
      <c r="E1242" s="10">
        <v>1</v>
      </c>
      <c r="F1242" s="11">
        <v>7</v>
      </c>
      <c r="G1242" s="12">
        <v>7</v>
      </c>
      <c r="H1242" s="11">
        <v>4</v>
      </c>
      <c r="I1242" s="12">
        <v>4</v>
      </c>
      <c r="J1242" s="10">
        <v>11</v>
      </c>
      <c r="K1242" s="37">
        <f t="shared" ref="K1242" si="532">SUM(M1242:M1246)</f>
        <v>7</v>
      </c>
      <c r="L1242" s="28">
        <v>2</v>
      </c>
      <c r="M1242" s="33">
        <f t="shared" si="525"/>
        <v>2</v>
      </c>
      <c r="N1242" s="1">
        <v>3716841200</v>
      </c>
    </row>
    <row r="1243" spans="1:14" ht="18" customHeight="1" x14ac:dyDescent="0.45">
      <c r="A1243" s="8">
        <v>1237</v>
      </c>
      <c r="B1243" s="35" t="str">
        <f t="shared" ref="B1243:C1246" si="533">B1242</f>
        <v>西日本第一本部</v>
      </c>
      <c r="C1243" s="35" t="str">
        <f t="shared" si="533"/>
        <v>そんぽの家　城北</v>
      </c>
      <c r="D1243" s="9" t="s">
        <v>4</v>
      </c>
      <c r="E1243" s="10">
        <v>1</v>
      </c>
      <c r="F1243" s="11">
        <v>18</v>
      </c>
      <c r="G1243" s="12">
        <v>18</v>
      </c>
      <c r="H1243" s="11">
        <v>10</v>
      </c>
      <c r="I1243" s="12">
        <v>10</v>
      </c>
      <c r="J1243" s="10">
        <v>28</v>
      </c>
      <c r="K1243" s="38">
        <f t="shared" ref="K1243:K1306" si="534">K1242</f>
        <v>7</v>
      </c>
      <c r="L1243" s="28">
        <v>2</v>
      </c>
      <c r="M1243" s="33">
        <f t="shared" si="525"/>
        <v>2</v>
      </c>
      <c r="N1243" s="1">
        <v>3716841200</v>
      </c>
    </row>
    <row r="1244" spans="1:14" ht="18" customHeight="1" x14ac:dyDescent="0.45">
      <c r="A1244" s="8">
        <v>1238</v>
      </c>
      <c r="B1244" s="35" t="str">
        <f t="shared" si="533"/>
        <v>西日本第一本部</v>
      </c>
      <c r="C1244" s="35" t="str">
        <f t="shared" si="533"/>
        <v>そんぽの家　城北</v>
      </c>
      <c r="D1244" s="9" t="s">
        <v>5</v>
      </c>
      <c r="E1244" s="10">
        <v>1</v>
      </c>
      <c r="F1244" s="11">
        <v>11</v>
      </c>
      <c r="G1244" s="12">
        <v>11</v>
      </c>
      <c r="H1244" s="11">
        <v>0</v>
      </c>
      <c r="I1244" s="12">
        <v>0</v>
      </c>
      <c r="J1244" s="10">
        <v>11</v>
      </c>
      <c r="K1244" s="38">
        <f t="shared" si="534"/>
        <v>7</v>
      </c>
      <c r="L1244" s="28">
        <v>2</v>
      </c>
      <c r="M1244" s="33">
        <f t="shared" si="525"/>
        <v>2</v>
      </c>
      <c r="N1244" s="1">
        <v>3716841200</v>
      </c>
    </row>
    <row r="1245" spans="1:14" ht="18" customHeight="1" x14ac:dyDescent="0.45">
      <c r="A1245" s="8">
        <v>1239</v>
      </c>
      <c r="B1245" s="35" t="str">
        <f t="shared" si="533"/>
        <v>西日本第一本部</v>
      </c>
      <c r="C1245" s="35" t="str">
        <f t="shared" si="533"/>
        <v>そんぽの家　城北</v>
      </c>
      <c r="D1245" s="9" t="s">
        <v>6</v>
      </c>
      <c r="E1245" s="10">
        <v>3</v>
      </c>
      <c r="F1245" s="11">
        <v>1</v>
      </c>
      <c r="G1245" s="12">
        <v>0.3</v>
      </c>
      <c r="H1245" s="11">
        <v>0</v>
      </c>
      <c r="I1245" s="12">
        <v>0</v>
      </c>
      <c r="J1245" s="10">
        <v>1</v>
      </c>
      <c r="K1245" s="38">
        <f t="shared" si="534"/>
        <v>7</v>
      </c>
      <c r="L1245" s="28">
        <v>0</v>
      </c>
      <c r="M1245" s="33">
        <f t="shared" si="525"/>
        <v>0</v>
      </c>
      <c r="N1245" s="1">
        <v>3716841200</v>
      </c>
    </row>
    <row r="1246" spans="1:14" ht="18" customHeight="1" x14ac:dyDescent="0.45">
      <c r="A1246" s="8">
        <v>1240</v>
      </c>
      <c r="B1246" s="36" t="str">
        <f t="shared" si="533"/>
        <v>西日本第一本部</v>
      </c>
      <c r="C1246" s="36" t="str">
        <f t="shared" si="533"/>
        <v>そんぽの家　城北</v>
      </c>
      <c r="D1246" s="9" t="s">
        <v>2</v>
      </c>
      <c r="E1246" s="10">
        <v>1</v>
      </c>
      <c r="F1246" s="11">
        <v>5</v>
      </c>
      <c r="G1246" s="12">
        <v>5</v>
      </c>
      <c r="H1246" s="11">
        <v>0</v>
      </c>
      <c r="I1246" s="12">
        <v>0</v>
      </c>
      <c r="J1246" s="10">
        <v>5</v>
      </c>
      <c r="K1246" s="39">
        <f t="shared" si="534"/>
        <v>7</v>
      </c>
      <c r="L1246" s="28">
        <v>1</v>
      </c>
      <c r="M1246" s="33">
        <f t="shared" si="525"/>
        <v>1</v>
      </c>
      <c r="N1246" s="1">
        <v>3716841200</v>
      </c>
    </row>
    <row r="1247" spans="1:14" ht="18" customHeight="1" x14ac:dyDescent="0.45">
      <c r="A1247" s="13">
        <v>1241</v>
      </c>
      <c r="B1247" s="40" t="s">
        <v>85</v>
      </c>
      <c r="C1247" s="40" t="s">
        <v>135</v>
      </c>
      <c r="D1247" s="14" t="s">
        <v>3</v>
      </c>
      <c r="E1247" s="15">
        <v>1</v>
      </c>
      <c r="F1247" s="16">
        <v>10</v>
      </c>
      <c r="G1247" s="17">
        <v>10</v>
      </c>
      <c r="H1247" s="16">
        <v>7</v>
      </c>
      <c r="I1247" s="17">
        <v>7</v>
      </c>
      <c r="J1247" s="15">
        <v>17</v>
      </c>
      <c r="K1247" s="43">
        <f t="shared" ref="K1247" si="535">SUM(M1247:M1251)</f>
        <v>7</v>
      </c>
      <c r="L1247" s="28">
        <v>2</v>
      </c>
      <c r="M1247" s="33">
        <f t="shared" si="525"/>
        <v>2</v>
      </c>
      <c r="N1247" s="1">
        <v>3716851200</v>
      </c>
    </row>
    <row r="1248" spans="1:14" ht="18" customHeight="1" x14ac:dyDescent="0.45">
      <c r="A1248" s="13">
        <v>1242</v>
      </c>
      <c r="B1248" s="41" t="str">
        <f t="shared" ref="B1248:C1251" si="536">B1247</f>
        <v>西日本第一本部</v>
      </c>
      <c r="C1248" s="41" t="str">
        <f t="shared" si="536"/>
        <v>そんぽの家　姫島駅前</v>
      </c>
      <c r="D1248" s="14" t="s">
        <v>4</v>
      </c>
      <c r="E1248" s="15">
        <v>1</v>
      </c>
      <c r="F1248" s="16">
        <v>3</v>
      </c>
      <c r="G1248" s="17">
        <v>3</v>
      </c>
      <c r="H1248" s="16">
        <v>3</v>
      </c>
      <c r="I1248" s="17">
        <v>3</v>
      </c>
      <c r="J1248" s="15">
        <v>6</v>
      </c>
      <c r="K1248" s="44">
        <f t="shared" si="534"/>
        <v>7</v>
      </c>
      <c r="L1248" s="28">
        <v>1</v>
      </c>
      <c r="M1248" s="33">
        <f t="shared" si="525"/>
        <v>1</v>
      </c>
      <c r="N1248" s="1">
        <v>3716851200</v>
      </c>
    </row>
    <row r="1249" spans="1:14" ht="18" customHeight="1" x14ac:dyDescent="0.45">
      <c r="A1249" s="13">
        <v>1243</v>
      </c>
      <c r="B1249" s="41" t="str">
        <f t="shared" si="536"/>
        <v>西日本第一本部</v>
      </c>
      <c r="C1249" s="41" t="str">
        <f t="shared" si="536"/>
        <v>そんぽの家　姫島駅前</v>
      </c>
      <c r="D1249" s="14" t="s">
        <v>5</v>
      </c>
      <c r="E1249" s="15">
        <v>1</v>
      </c>
      <c r="F1249" s="16">
        <v>28</v>
      </c>
      <c r="G1249" s="17">
        <v>28</v>
      </c>
      <c r="H1249" s="16">
        <v>0</v>
      </c>
      <c r="I1249" s="17">
        <v>0</v>
      </c>
      <c r="J1249" s="15">
        <v>28</v>
      </c>
      <c r="K1249" s="44">
        <f t="shared" si="534"/>
        <v>7</v>
      </c>
      <c r="L1249" s="28">
        <v>2</v>
      </c>
      <c r="M1249" s="33">
        <f t="shared" si="525"/>
        <v>2</v>
      </c>
      <c r="N1249" s="1">
        <v>3716851200</v>
      </c>
    </row>
    <row r="1250" spans="1:14" ht="18" customHeight="1" x14ac:dyDescent="0.45">
      <c r="A1250" s="13">
        <v>1244</v>
      </c>
      <c r="B1250" s="41" t="str">
        <f t="shared" si="536"/>
        <v>西日本第一本部</v>
      </c>
      <c r="C1250" s="41" t="str">
        <f t="shared" si="536"/>
        <v>そんぽの家　姫島駅前</v>
      </c>
      <c r="D1250" s="14" t="s">
        <v>6</v>
      </c>
      <c r="E1250" s="15">
        <v>3</v>
      </c>
      <c r="F1250" s="16">
        <v>1</v>
      </c>
      <c r="G1250" s="17">
        <v>0.3</v>
      </c>
      <c r="H1250" s="16">
        <v>0</v>
      </c>
      <c r="I1250" s="17">
        <v>0</v>
      </c>
      <c r="J1250" s="15">
        <v>1</v>
      </c>
      <c r="K1250" s="44">
        <f t="shared" si="534"/>
        <v>7</v>
      </c>
      <c r="L1250" s="28">
        <v>0</v>
      </c>
      <c r="M1250" s="33">
        <f t="shared" si="525"/>
        <v>0</v>
      </c>
      <c r="N1250" s="1">
        <v>3716851200</v>
      </c>
    </row>
    <row r="1251" spans="1:14" ht="18" customHeight="1" x14ac:dyDescent="0.45">
      <c r="A1251" s="13">
        <v>1245</v>
      </c>
      <c r="B1251" s="42" t="str">
        <f t="shared" si="536"/>
        <v>西日本第一本部</v>
      </c>
      <c r="C1251" s="42" t="str">
        <f t="shared" si="536"/>
        <v>そんぽの家　姫島駅前</v>
      </c>
      <c r="D1251" s="14" t="s">
        <v>2</v>
      </c>
      <c r="E1251" s="15">
        <v>1</v>
      </c>
      <c r="F1251" s="16">
        <v>27</v>
      </c>
      <c r="G1251" s="17">
        <v>27</v>
      </c>
      <c r="H1251" s="16">
        <v>0</v>
      </c>
      <c r="I1251" s="17">
        <v>0</v>
      </c>
      <c r="J1251" s="15">
        <v>27</v>
      </c>
      <c r="K1251" s="45">
        <f t="shared" si="534"/>
        <v>7</v>
      </c>
      <c r="L1251" s="28">
        <v>2</v>
      </c>
      <c r="M1251" s="33">
        <f t="shared" si="525"/>
        <v>2</v>
      </c>
      <c r="N1251" s="1">
        <v>3716851200</v>
      </c>
    </row>
    <row r="1252" spans="1:14" ht="18" customHeight="1" x14ac:dyDescent="0.45">
      <c r="A1252" s="8">
        <v>1246</v>
      </c>
      <c r="B1252" s="34" t="s">
        <v>85</v>
      </c>
      <c r="C1252" s="34" t="s">
        <v>136</v>
      </c>
      <c r="D1252" s="9" t="s">
        <v>3</v>
      </c>
      <c r="E1252" s="10">
        <v>1</v>
      </c>
      <c r="F1252" s="11">
        <v>15</v>
      </c>
      <c r="G1252" s="12">
        <v>15</v>
      </c>
      <c r="H1252" s="11">
        <v>8</v>
      </c>
      <c r="I1252" s="12">
        <v>8</v>
      </c>
      <c r="J1252" s="10">
        <v>23</v>
      </c>
      <c r="K1252" s="37">
        <f t="shared" ref="K1252" si="537">SUM(M1252:M1256)</f>
        <v>10</v>
      </c>
      <c r="L1252" s="28">
        <v>2</v>
      </c>
      <c r="M1252" s="33">
        <f t="shared" si="525"/>
        <v>2</v>
      </c>
      <c r="N1252" s="1">
        <v>3716881200</v>
      </c>
    </row>
    <row r="1253" spans="1:14" ht="18" customHeight="1" x14ac:dyDescent="0.45">
      <c r="A1253" s="8">
        <v>1247</v>
      </c>
      <c r="B1253" s="35" t="str">
        <f t="shared" ref="B1253:C1256" si="538">B1252</f>
        <v>西日本第一本部</v>
      </c>
      <c r="C1253" s="35" t="str">
        <f t="shared" si="538"/>
        <v>そんぽの家　住吉遠里小野</v>
      </c>
      <c r="D1253" s="9" t="s">
        <v>4</v>
      </c>
      <c r="E1253" s="10">
        <v>1</v>
      </c>
      <c r="F1253" s="11">
        <v>9</v>
      </c>
      <c r="G1253" s="12">
        <v>9</v>
      </c>
      <c r="H1253" s="11">
        <v>8</v>
      </c>
      <c r="I1253" s="12">
        <v>8</v>
      </c>
      <c r="J1253" s="10">
        <v>17</v>
      </c>
      <c r="K1253" s="38">
        <f t="shared" si="534"/>
        <v>10</v>
      </c>
      <c r="L1253" s="28">
        <v>2</v>
      </c>
      <c r="M1253" s="33">
        <f t="shared" si="525"/>
        <v>2</v>
      </c>
      <c r="N1253" s="1">
        <v>3716881200</v>
      </c>
    </row>
    <row r="1254" spans="1:14" ht="18" customHeight="1" x14ac:dyDescent="0.45">
      <c r="A1254" s="8">
        <v>1248</v>
      </c>
      <c r="B1254" s="35" t="str">
        <f t="shared" si="538"/>
        <v>西日本第一本部</v>
      </c>
      <c r="C1254" s="35" t="str">
        <f t="shared" si="538"/>
        <v>そんぽの家　住吉遠里小野</v>
      </c>
      <c r="D1254" s="9" t="s">
        <v>5</v>
      </c>
      <c r="E1254" s="10">
        <v>1</v>
      </c>
      <c r="F1254" s="11">
        <v>12</v>
      </c>
      <c r="G1254" s="12">
        <v>12</v>
      </c>
      <c r="H1254" s="11">
        <v>0</v>
      </c>
      <c r="I1254" s="12">
        <v>0</v>
      </c>
      <c r="J1254" s="10">
        <v>12</v>
      </c>
      <c r="K1254" s="38">
        <f t="shared" si="534"/>
        <v>10</v>
      </c>
      <c r="L1254" s="28">
        <v>2</v>
      </c>
      <c r="M1254" s="33">
        <f t="shared" si="525"/>
        <v>2</v>
      </c>
      <c r="N1254" s="1">
        <v>3716881200</v>
      </c>
    </row>
    <row r="1255" spans="1:14" ht="18" customHeight="1" x14ac:dyDescent="0.45">
      <c r="A1255" s="8">
        <v>1249</v>
      </c>
      <c r="B1255" s="35" t="str">
        <f t="shared" si="538"/>
        <v>西日本第一本部</v>
      </c>
      <c r="C1255" s="35" t="str">
        <f t="shared" si="538"/>
        <v>そんぽの家　住吉遠里小野</v>
      </c>
      <c r="D1255" s="9" t="s">
        <v>6</v>
      </c>
      <c r="E1255" s="10">
        <v>3</v>
      </c>
      <c r="F1255" s="11">
        <v>28</v>
      </c>
      <c r="G1255" s="12">
        <v>9.3000000000000007</v>
      </c>
      <c r="H1255" s="11">
        <v>0</v>
      </c>
      <c r="I1255" s="12">
        <v>0</v>
      </c>
      <c r="J1255" s="10">
        <v>28</v>
      </c>
      <c r="K1255" s="38">
        <f t="shared" si="534"/>
        <v>10</v>
      </c>
      <c r="L1255" s="28">
        <v>2</v>
      </c>
      <c r="M1255" s="33">
        <f t="shared" si="525"/>
        <v>2</v>
      </c>
      <c r="N1255" s="1">
        <v>3716881200</v>
      </c>
    </row>
    <row r="1256" spans="1:14" ht="18" customHeight="1" x14ac:dyDescent="0.45">
      <c r="A1256" s="8">
        <v>1250</v>
      </c>
      <c r="B1256" s="36" t="str">
        <f t="shared" si="538"/>
        <v>西日本第一本部</v>
      </c>
      <c r="C1256" s="36" t="str">
        <f t="shared" si="538"/>
        <v>そんぽの家　住吉遠里小野</v>
      </c>
      <c r="D1256" s="9" t="s">
        <v>2</v>
      </c>
      <c r="E1256" s="10">
        <v>2</v>
      </c>
      <c r="F1256" s="11">
        <v>24</v>
      </c>
      <c r="G1256" s="12">
        <v>12</v>
      </c>
      <c r="H1256" s="11">
        <v>0</v>
      </c>
      <c r="I1256" s="12">
        <v>0</v>
      </c>
      <c r="J1256" s="10">
        <v>24</v>
      </c>
      <c r="K1256" s="39">
        <f t="shared" si="534"/>
        <v>10</v>
      </c>
      <c r="L1256" s="28">
        <v>2</v>
      </c>
      <c r="M1256" s="33">
        <f t="shared" si="525"/>
        <v>2</v>
      </c>
      <c r="N1256" s="1">
        <v>3716881200</v>
      </c>
    </row>
    <row r="1257" spans="1:14" ht="18" customHeight="1" x14ac:dyDescent="0.45">
      <c r="A1257" s="13">
        <v>1251</v>
      </c>
      <c r="B1257" s="40" t="s">
        <v>85</v>
      </c>
      <c r="C1257" s="40" t="s">
        <v>137</v>
      </c>
      <c r="D1257" s="14" t="s">
        <v>3</v>
      </c>
      <c r="E1257" s="15">
        <v>1</v>
      </c>
      <c r="F1257" s="16">
        <v>20</v>
      </c>
      <c r="G1257" s="17">
        <v>20</v>
      </c>
      <c r="H1257" s="16">
        <v>20</v>
      </c>
      <c r="I1257" s="17">
        <v>20</v>
      </c>
      <c r="J1257" s="15">
        <v>40</v>
      </c>
      <c r="K1257" s="43">
        <f t="shared" ref="K1257" si="539">SUM(M1257:M1261)</f>
        <v>6</v>
      </c>
      <c r="L1257" s="28">
        <v>2</v>
      </c>
      <c r="M1257" s="33">
        <f t="shared" si="525"/>
        <v>2</v>
      </c>
      <c r="N1257" s="1">
        <v>3716891200</v>
      </c>
    </row>
    <row r="1258" spans="1:14" ht="18" customHeight="1" x14ac:dyDescent="0.45">
      <c r="A1258" s="13">
        <v>1252</v>
      </c>
      <c r="B1258" s="41" t="str">
        <f t="shared" ref="B1258:C1261" si="540">B1257</f>
        <v>西日本第一本部</v>
      </c>
      <c r="C1258" s="41" t="str">
        <f t="shared" si="540"/>
        <v>そんぽの家　北加賀屋</v>
      </c>
      <c r="D1258" s="14" t="s">
        <v>4</v>
      </c>
      <c r="E1258" s="15">
        <v>0</v>
      </c>
      <c r="F1258" s="16">
        <v>0</v>
      </c>
      <c r="G1258" s="17">
        <v>0</v>
      </c>
      <c r="H1258" s="16">
        <v>0</v>
      </c>
      <c r="I1258" s="17">
        <v>0</v>
      </c>
      <c r="J1258" s="15">
        <v>0</v>
      </c>
      <c r="K1258" s="44">
        <f t="shared" si="534"/>
        <v>6</v>
      </c>
      <c r="L1258" s="28">
        <v>0</v>
      </c>
      <c r="M1258" s="33">
        <f t="shared" si="525"/>
        <v>0</v>
      </c>
      <c r="N1258" s="1">
        <v>3716891200</v>
      </c>
    </row>
    <row r="1259" spans="1:14" ht="18" customHeight="1" x14ac:dyDescent="0.45">
      <c r="A1259" s="13">
        <v>1253</v>
      </c>
      <c r="B1259" s="41" t="str">
        <f t="shared" si="540"/>
        <v>西日本第一本部</v>
      </c>
      <c r="C1259" s="41" t="str">
        <f t="shared" si="540"/>
        <v>そんぽの家　北加賀屋</v>
      </c>
      <c r="D1259" s="14" t="s">
        <v>5</v>
      </c>
      <c r="E1259" s="15">
        <v>1</v>
      </c>
      <c r="F1259" s="16">
        <v>3</v>
      </c>
      <c r="G1259" s="17">
        <v>3</v>
      </c>
      <c r="H1259" s="16">
        <v>0</v>
      </c>
      <c r="I1259" s="17">
        <v>0</v>
      </c>
      <c r="J1259" s="15">
        <v>3</v>
      </c>
      <c r="K1259" s="44">
        <f t="shared" si="534"/>
        <v>6</v>
      </c>
      <c r="L1259" s="28">
        <v>0</v>
      </c>
      <c r="M1259" s="33">
        <f t="shared" si="525"/>
        <v>0</v>
      </c>
      <c r="N1259" s="1">
        <v>3716891200</v>
      </c>
    </row>
    <row r="1260" spans="1:14" ht="18" customHeight="1" x14ac:dyDescent="0.45">
      <c r="A1260" s="13">
        <v>1254</v>
      </c>
      <c r="B1260" s="41" t="str">
        <f t="shared" si="540"/>
        <v>西日本第一本部</v>
      </c>
      <c r="C1260" s="41" t="str">
        <f t="shared" si="540"/>
        <v>そんぽの家　北加賀屋</v>
      </c>
      <c r="D1260" s="14" t="s">
        <v>6</v>
      </c>
      <c r="E1260" s="15">
        <v>3</v>
      </c>
      <c r="F1260" s="16">
        <v>19</v>
      </c>
      <c r="G1260" s="17">
        <v>6.3</v>
      </c>
      <c r="H1260" s="16">
        <v>0</v>
      </c>
      <c r="I1260" s="17">
        <v>0</v>
      </c>
      <c r="J1260" s="15">
        <v>19</v>
      </c>
      <c r="K1260" s="44">
        <f t="shared" si="534"/>
        <v>6</v>
      </c>
      <c r="L1260" s="28">
        <v>2</v>
      </c>
      <c r="M1260" s="33">
        <f t="shared" si="525"/>
        <v>2</v>
      </c>
      <c r="N1260" s="1">
        <v>3716891200</v>
      </c>
    </row>
    <row r="1261" spans="1:14" ht="18" customHeight="1" x14ac:dyDescent="0.45">
      <c r="A1261" s="13">
        <v>1255</v>
      </c>
      <c r="B1261" s="42" t="str">
        <f t="shared" si="540"/>
        <v>西日本第一本部</v>
      </c>
      <c r="C1261" s="42" t="str">
        <f t="shared" si="540"/>
        <v>そんぽの家　北加賀屋</v>
      </c>
      <c r="D1261" s="14" t="s">
        <v>2</v>
      </c>
      <c r="E1261" s="15">
        <v>2</v>
      </c>
      <c r="F1261" s="16">
        <v>22</v>
      </c>
      <c r="G1261" s="17">
        <v>11</v>
      </c>
      <c r="H1261" s="16">
        <v>0</v>
      </c>
      <c r="I1261" s="17">
        <v>0</v>
      </c>
      <c r="J1261" s="15">
        <v>22</v>
      </c>
      <c r="K1261" s="45">
        <f t="shared" si="534"/>
        <v>6</v>
      </c>
      <c r="L1261" s="28">
        <v>2</v>
      </c>
      <c r="M1261" s="33">
        <f t="shared" si="525"/>
        <v>2</v>
      </c>
      <c r="N1261" s="1">
        <v>3716891200</v>
      </c>
    </row>
    <row r="1262" spans="1:14" ht="18" customHeight="1" x14ac:dyDescent="0.45">
      <c r="A1262" s="8">
        <v>1256</v>
      </c>
      <c r="B1262" s="34" t="s">
        <v>85</v>
      </c>
      <c r="C1262" s="34" t="s">
        <v>138</v>
      </c>
      <c r="D1262" s="9" t="s">
        <v>3</v>
      </c>
      <c r="E1262" s="10">
        <v>1</v>
      </c>
      <c r="F1262" s="11">
        <v>10</v>
      </c>
      <c r="G1262" s="12">
        <v>10</v>
      </c>
      <c r="H1262" s="11">
        <v>7</v>
      </c>
      <c r="I1262" s="12">
        <v>7</v>
      </c>
      <c r="J1262" s="10">
        <v>17</v>
      </c>
      <c r="K1262" s="37">
        <f t="shared" ref="K1262" si="541">SUM(M1262:M1266)</f>
        <v>10</v>
      </c>
      <c r="L1262" s="28">
        <v>2</v>
      </c>
      <c r="M1262" s="33">
        <f t="shared" si="525"/>
        <v>2</v>
      </c>
      <c r="N1262" s="1">
        <v>3716901200</v>
      </c>
    </row>
    <row r="1263" spans="1:14" ht="18" customHeight="1" x14ac:dyDescent="0.45">
      <c r="A1263" s="8">
        <v>1257</v>
      </c>
      <c r="B1263" s="35" t="str">
        <f t="shared" ref="B1263:C1266" si="542">B1262</f>
        <v>西日本第一本部</v>
      </c>
      <c r="C1263" s="35" t="str">
        <f t="shared" si="542"/>
        <v>そんぽの家　生野巽中</v>
      </c>
      <c r="D1263" s="9" t="s">
        <v>4</v>
      </c>
      <c r="E1263" s="10">
        <v>1</v>
      </c>
      <c r="F1263" s="11">
        <v>10</v>
      </c>
      <c r="G1263" s="12">
        <v>10</v>
      </c>
      <c r="H1263" s="11">
        <v>3</v>
      </c>
      <c r="I1263" s="12">
        <v>3</v>
      </c>
      <c r="J1263" s="10">
        <v>13</v>
      </c>
      <c r="K1263" s="38">
        <f t="shared" si="534"/>
        <v>10</v>
      </c>
      <c r="L1263" s="28">
        <v>2</v>
      </c>
      <c r="M1263" s="33">
        <f t="shared" si="525"/>
        <v>2</v>
      </c>
      <c r="N1263" s="1">
        <v>3716901200</v>
      </c>
    </row>
    <row r="1264" spans="1:14" ht="18" customHeight="1" x14ac:dyDescent="0.45">
      <c r="A1264" s="8">
        <v>1258</v>
      </c>
      <c r="B1264" s="35" t="str">
        <f t="shared" si="542"/>
        <v>西日本第一本部</v>
      </c>
      <c r="C1264" s="35" t="str">
        <f t="shared" si="542"/>
        <v>そんぽの家　生野巽中</v>
      </c>
      <c r="D1264" s="9" t="s">
        <v>5</v>
      </c>
      <c r="E1264" s="10">
        <v>1</v>
      </c>
      <c r="F1264" s="11">
        <v>20</v>
      </c>
      <c r="G1264" s="12">
        <v>20</v>
      </c>
      <c r="H1264" s="11">
        <v>0</v>
      </c>
      <c r="I1264" s="12">
        <v>0</v>
      </c>
      <c r="J1264" s="10">
        <v>20</v>
      </c>
      <c r="K1264" s="38">
        <f t="shared" si="534"/>
        <v>10</v>
      </c>
      <c r="L1264" s="28">
        <v>2</v>
      </c>
      <c r="M1264" s="33">
        <f t="shared" si="525"/>
        <v>2</v>
      </c>
      <c r="N1264" s="1">
        <v>3716901200</v>
      </c>
    </row>
    <row r="1265" spans="1:14" ht="18" customHeight="1" x14ac:dyDescent="0.45">
      <c r="A1265" s="8">
        <v>1259</v>
      </c>
      <c r="B1265" s="35" t="str">
        <f t="shared" si="542"/>
        <v>西日本第一本部</v>
      </c>
      <c r="C1265" s="35" t="str">
        <f t="shared" si="542"/>
        <v>そんぽの家　生野巽中</v>
      </c>
      <c r="D1265" s="9" t="s">
        <v>6</v>
      </c>
      <c r="E1265" s="10">
        <v>3</v>
      </c>
      <c r="F1265" s="11">
        <v>24</v>
      </c>
      <c r="G1265" s="12">
        <v>8</v>
      </c>
      <c r="H1265" s="11">
        <v>0</v>
      </c>
      <c r="I1265" s="12">
        <v>0</v>
      </c>
      <c r="J1265" s="10">
        <v>24</v>
      </c>
      <c r="K1265" s="38">
        <f t="shared" si="534"/>
        <v>10</v>
      </c>
      <c r="L1265" s="28">
        <v>2</v>
      </c>
      <c r="M1265" s="33">
        <f t="shared" si="525"/>
        <v>2</v>
      </c>
      <c r="N1265" s="1">
        <v>3716901200</v>
      </c>
    </row>
    <row r="1266" spans="1:14" ht="18" customHeight="1" x14ac:dyDescent="0.45">
      <c r="A1266" s="8">
        <v>1260</v>
      </c>
      <c r="B1266" s="36" t="str">
        <f t="shared" si="542"/>
        <v>西日本第一本部</v>
      </c>
      <c r="C1266" s="36" t="str">
        <f t="shared" si="542"/>
        <v>そんぽの家　生野巽中</v>
      </c>
      <c r="D1266" s="9" t="s">
        <v>2</v>
      </c>
      <c r="E1266" s="10">
        <v>1</v>
      </c>
      <c r="F1266" s="11">
        <v>87</v>
      </c>
      <c r="G1266" s="12">
        <v>87</v>
      </c>
      <c r="H1266" s="11">
        <v>0</v>
      </c>
      <c r="I1266" s="12">
        <v>0</v>
      </c>
      <c r="J1266" s="10">
        <v>87</v>
      </c>
      <c r="K1266" s="39">
        <f t="shared" si="534"/>
        <v>10</v>
      </c>
      <c r="L1266" s="28">
        <v>2</v>
      </c>
      <c r="M1266" s="33">
        <f t="shared" si="525"/>
        <v>2</v>
      </c>
      <c r="N1266" s="1">
        <v>3716901200</v>
      </c>
    </row>
    <row r="1267" spans="1:14" ht="18" customHeight="1" x14ac:dyDescent="0.45">
      <c r="A1267" s="13">
        <v>1261</v>
      </c>
      <c r="B1267" s="40" t="s">
        <v>85</v>
      </c>
      <c r="C1267" s="40" t="s">
        <v>139</v>
      </c>
      <c r="D1267" s="14" t="s">
        <v>3</v>
      </c>
      <c r="E1267" s="15">
        <v>1</v>
      </c>
      <c r="F1267" s="16">
        <v>7</v>
      </c>
      <c r="G1267" s="17">
        <v>7</v>
      </c>
      <c r="H1267" s="16">
        <v>7</v>
      </c>
      <c r="I1267" s="17">
        <v>7</v>
      </c>
      <c r="J1267" s="15">
        <v>14</v>
      </c>
      <c r="K1267" s="43">
        <f t="shared" ref="K1267" si="543">SUM(M1267:M1271)</f>
        <v>8</v>
      </c>
      <c r="L1267" s="28">
        <v>2</v>
      </c>
      <c r="M1267" s="33">
        <f t="shared" si="525"/>
        <v>2</v>
      </c>
      <c r="N1267" s="1">
        <v>3716911200</v>
      </c>
    </row>
    <row r="1268" spans="1:14" ht="18" customHeight="1" x14ac:dyDescent="0.45">
      <c r="A1268" s="13">
        <v>1262</v>
      </c>
      <c r="B1268" s="41" t="str">
        <f t="shared" ref="B1268:C1271" si="544">B1267</f>
        <v>西日本第一本部</v>
      </c>
      <c r="C1268" s="41" t="str">
        <f t="shared" si="544"/>
        <v>そんぽの家　生野林寺</v>
      </c>
      <c r="D1268" s="14" t="s">
        <v>4</v>
      </c>
      <c r="E1268" s="15">
        <v>1</v>
      </c>
      <c r="F1268" s="16">
        <v>24</v>
      </c>
      <c r="G1268" s="17">
        <v>24</v>
      </c>
      <c r="H1268" s="16">
        <v>23</v>
      </c>
      <c r="I1268" s="17">
        <v>23</v>
      </c>
      <c r="J1268" s="15">
        <v>47</v>
      </c>
      <c r="K1268" s="44">
        <f t="shared" si="534"/>
        <v>8</v>
      </c>
      <c r="L1268" s="28">
        <v>2</v>
      </c>
      <c r="M1268" s="33">
        <f t="shared" si="525"/>
        <v>2</v>
      </c>
      <c r="N1268" s="1">
        <v>3716911200</v>
      </c>
    </row>
    <row r="1269" spans="1:14" ht="18" customHeight="1" x14ac:dyDescent="0.45">
      <c r="A1269" s="13">
        <v>1263</v>
      </c>
      <c r="B1269" s="41" t="str">
        <f t="shared" si="544"/>
        <v>西日本第一本部</v>
      </c>
      <c r="C1269" s="41" t="str">
        <f t="shared" si="544"/>
        <v>そんぽの家　生野林寺</v>
      </c>
      <c r="D1269" s="14" t="s">
        <v>5</v>
      </c>
      <c r="E1269" s="15">
        <v>0</v>
      </c>
      <c r="F1269" s="16">
        <v>0</v>
      </c>
      <c r="G1269" s="17">
        <v>0</v>
      </c>
      <c r="H1269" s="16">
        <v>0</v>
      </c>
      <c r="I1269" s="17">
        <v>0</v>
      </c>
      <c r="J1269" s="15">
        <v>0</v>
      </c>
      <c r="K1269" s="44">
        <f t="shared" si="534"/>
        <v>8</v>
      </c>
      <c r="L1269" s="28">
        <v>0</v>
      </c>
      <c r="M1269" s="33">
        <f t="shared" si="525"/>
        <v>0</v>
      </c>
      <c r="N1269" s="1">
        <v>3716911200</v>
      </c>
    </row>
    <row r="1270" spans="1:14" ht="18" customHeight="1" x14ac:dyDescent="0.45">
      <c r="A1270" s="13">
        <v>1264</v>
      </c>
      <c r="B1270" s="41" t="str">
        <f t="shared" si="544"/>
        <v>西日本第一本部</v>
      </c>
      <c r="C1270" s="41" t="str">
        <f t="shared" si="544"/>
        <v>そんぽの家　生野林寺</v>
      </c>
      <c r="D1270" s="14" t="s">
        <v>6</v>
      </c>
      <c r="E1270" s="15">
        <v>4</v>
      </c>
      <c r="F1270" s="16">
        <v>9</v>
      </c>
      <c r="G1270" s="17">
        <v>2.2999999999999998</v>
      </c>
      <c r="H1270" s="16">
        <v>0</v>
      </c>
      <c r="I1270" s="17">
        <v>0</v>
      </c>
      <c r="J1270" s="15">
        <v>9</v>
      </c>
      <c r="K1270" s="44">
        <f t="shared" si="534"/>
        <v>8</v>
      </c>
      <c r="L1270" s="28">
        <v>2</v>
      </c>
      <c r="M1270" s="33">
        <f t="shared" si="525"/>
        <v>2</v>
      </c>
      <c r="N1270" s="1">
        <v>3716911200</v>
      </c>
    </row>
    <row r="1271" spans="1:14" ht="18" customHeight="1" x14ac:dyDescent="0.45">
      <c r="A1271" s="13">
        <v>1265</v>
      </c>
      <c r="B1271" s="42" t="str">
        <f t="shared" si="544"/>
        <v>西日本第一本部</v>
      </c>
      <c r="C1271" s="42" t="str">
        <f t="shared" si="544"/>
        <v>そんぽの家　生野林寺</v>
      </c>
      <c r="D1271" s="14" t="s">
        <v>2</v>
      </c>
      <c r="E1271" s="15">
        <v>2</v>
      </c>
      <c r="F1271" s="16">
        <v>9</v>
      </c>
      <c r="G1271" s="17">
        <v>4.5</v>
      </c>
      <c r="H1271" s="16">
        <v>0</v>
      </c>
      <c r="I1271" s="17">
        <v>0</v>
      </c>
      <c r="J1271" s="15">
        <v>9</v>
      </c>
      <c r="K1271" s="45">
        <f t="shared" si="534"/>
        <v>8</v>
      </c>
      <c r="L1271" s="28">
        <v>2</v>
      </c>
      <c r="M1271" s="33">
        <f t="shared" si="525"/>
        <v>2</v>
      </c>
      <c r="N1271" s="1">
        <v>3716911200</v>
      </c>
    </row>
    <row r="1272" spans="1:14" ht="18" customHeight="1" x14ac:dyDescent="0.45">
      <c r="A1272" s="8">
        <v>1266</v>
      </c>
      <c r="B1272" s="34" t="s">
        <v>85</v>
      </c>
      <c r="C1272" s="34" t="s">
        <v>140</v>
      </c>
      <c r="D1272" s="9" t="s">
        <v>3</v>
      </c>
      <c r="E1272" s="10">
        <v>1</v>
      </c>
      <c r="F1272" s="11">
        <v>14</v>
      </c>
      <c r="G1272" s="12">
        <v>14</v>
      </c>
      <c r="H1272" s="11">
        <v>10</v>
      </c>
      <c r="I1272" s="12">
        <v>10</v>
      </c>
      <c r="J1272" s="10">
        <v>24</v>
      </c>
      <c r="K1272" s="37">
        <f t="shared" ref="K1272" si="545">SUM(M1272:M1276)</f>
        <v>9</v>
      </c>
      <c r="L1272" s="28">
        <v>2</v>
      </c>
      <c r="M1272" s="33">
        <f t="shared" si="525"/>
        <v>2</v>
      </c>
      <c r="N1272" s="1">
        <v>3716931200</v>
      </c>
    </row>
    <row r="1273" spans="1:14" ht="18" customHeight="1" x14ac:dyDescent="0.45">
      <c r="A1273" s="8">
        <v>1267</v>
      </c>
      <c r="B1273" s="35" t="str">
        <f t="shared" ref="B1273:C1276" si="546">B1272</f>
        <v>西日本第一本部</v>
      </c>
      <c r="C1273" s="35" t="str">
        <f t="shared" si="546"/>
        <v>そんぽの家　天王寺</v>
      </c>
      <c r="D1273" s="9" t="s">
        <v>4</v>
      </c>
      <c r="E1273" s="10">
        <v>1</v>
      </c>
      <c r="F1273" s="11">
        <v>15</v>
      </c>
      <c r="G1273" s="12">
        <v>15</v>
      </c>
      <c r="H1273" s="11">
        <v>15</v>
      </c>
      <c r="I1273" s="12">
        <v>15</v>
      </c>
      <c r="J1273" s="10">
        <v>30</v>
      </c>
      <c r="K1273" s="38">
        <f t="shared" si="534"/>
        <v>9</v>
      </c>
      <c r="L1273" s="28">
        <v>2</v>
      </c>
      <c r="M1273" s="33">
        <f t="shared" si="525"/>
        <v>2</v>
      </c>
      <c r="N1273" s="1">
        <v>3716931200</v>
      </c>
    </row>
    <row r="1274" spans="1:14" ht="18" customHeight="1" x14ac:dyDescent="0.45">
      <c r="A1274" s="8">
        <v>1268</v>
      </c>
      <c r="B1274" s="35" t="str">
        <f t="shared" si="546"/>
        <v>西日本第一本部</v>
      </c>
      <c r="C1274" s="35" t="str">
        <f t="shared" si="546"/>
        <v>そんぽの家　天王寺</v>
      </c>
      <c r="D1274" s="9" t="s">
        <v>5</v>
      </c>
      <c r="E1274" s="10">
        <v>2</v>
      </c>
      <c r="F1274" s="11">
        <v>21</v>
      </c>
      <c r="G1274" s="12">
        <v>10.5</v>
      </c>
      <c r="H1274" s="11">
        <v>0</v>
      </c>
      <c r="I1274" s="12">
        <v>0</v>
      </c>
      <c r="J1274" s="10">
        <v>21</v>
      </c>
      <c r="K1274" s="38">
        <f t="shared" si="534"/>
        <v>9</v>
      </c>
      <c r="L1274" s="28">
        <v>2</v>
      </c>
      <c r="M1274" s="33">
        <f t="shared" si="525"/>
        <v>2</v>
      </c>
      <c r="N1274" s="1">
        <v>3716931200</v>
      </c>
    </row>
    <row r="1275" spans="1:14" ht="18" customHeight="1" x14ac:dyDescent="0.45">
      <c r="A1275" s="8">
        <v>1269</v>
      </c>
      <c r="B1275" s="35" t="str">
        <f t="shared" si="546"/>
        <v>西日本第一本部</v>
      </c>
      <c r="C1275" s="35" t="str">
        <f t="shared" si="546"/>
        <v>そんぽの家　天王寺</v>
      </c>
      <c r="D1275" s="9" t="s">
        <v>6</v>
      </c>
      <c r="E1275" s="10">
        <v>4</v>
      </c>
      <c r="F1275" s="11">
        <v>4</v>
      </c>
      <c r="G1275" s="12">
        <v>1</v>
      </c>
      <c r="H1275" s="11">
        <v>0</v>
      </c>
      <c r="I1275" s="12">
        <v>0</v>
      </c>
      <c r="J1275" s="10">
        <v>4</v>
      </c>
      <c r="K1275" s="38">
        <f t="shared" si="534"/>
        <v>9</v>
      </c>
      <c r="L1275" s="28">
        <v>1</v>
      </c>
      <c r="M1275" s="33">
        <f t="shared" si="525"/>
        <v>1</v>
      </c>
      <c r="N1275" s="1">
        <v>3716931200</v>
      </c>
    </row>
    <row r="1276" spans="1:14" ht="18" customHeight="1" x14ac:dyDescent="0.45">
      <c r="A1276" s="8">
        <v>1270</v>
      </c>
      <c r="B1276" s="36" t="str">
        <f t="shared" si="546"/>
        <v>西日本第一本部</v>
      </c>
      <c r="C1276" s="36" t="str">
        <f t="shared" si="546"/>
        <v>そんぽの家　天王寺</v>
      </c>
      <c r="D1276" s="9" t="s">
        <v>2</v>
      </c>
      <c r="E1276" s="10">
        <v>1</v>
      </c>
      <c r="F1276" s="11">
        <v>87</v>
      </c>
      <c r="G1276" s="12">
        <v>87</v>
      </c>
      <c r="H1276" s="11">
        <v>0</v>
      </c>
      <c r="I1276" s="12">
        <v>0</v>
      </c>
      <c r="J1276" s="10">
        <v>87</v>
      </c>
      <c r="K1276" s="39">
        <f t="shared" si="534"/>
        <v>9</v>
      </c>
      <c r="L1276" s="28">
        <v>2</v>
      </c>
      <c r="M1276" s="33">
        <f t="shared" si="525"/>
        <v>2</v>
      </c>
      <c r="N1276" s="1">
        <v>3716931200</v>
      </c>
    </row>
    <row r="1277" spans="1:14" ht="18" customHeight="1" x14ac:dyDescent="0.45">
      <c r="A1277" s="13">
        <v>1271</v>
      </c>
      <c r="B1277" s="40" t="s">
        <v>85</v>
      </c>
      <c r="C1277" s="40" t="s">
        <v>141</v>
      </c>
      <c r="D1277" s="14" t="s">
        <v>3</v>
      </c>
      <c r="E1277" s="15">
        <v>1</v>
      </c>
      <c r="F1277" s="16">
        <v>1</v>
      </c>
      <c r="G1277" s="17">
        <v>1</v>
      </c>
      <c r="H1277" s="16">
        <v>1</v>
      </c>
      <c r="I1277" s="17">
        <v>1</v>
      </c>
      <c r="J1277" s="15">
        <v>2</v>
      </c>
      <c r="K1277" s="43">
        <f t="shared" ref="K1277" si="547">SUM(M1277:M1281)</f>
        <v>7</v>
      </c>
      <c r="L1277" s="28">
        <v>0</v>
      </c>
      <c r="M1277" s="33">
        <f t="shared" si="525"/>
        <v>0</v>
      </c>
      <c r="N1277" s="1">
        <v>3716961200</v>
      </c>
    </row>
    <row r="1278" spans="1:14" ht="18" customHeight="1" x14ac:dyDescent="0.45">
      <c r="A1278" s="13">
        <v>1272</v>
      </c>
      <c r="B1278" s="41" t="str">
        <f t="shared" ref="B1278:C1281" si="548">B1277</f>
        <v>西日本第一本部</v>
      </c>
      <c r="C1278" s="41" t="str">
        <f t="shared" si="548"/>
        <v>そんぽの家　平野長吉</v>
      </c>
      <c r="D1278" s="14" t="s">
        <v>4</v>
      </c>
      <c r="E1278" s="15">
        <v>1</v>
      </c>
      <c r="F1278" s="16">
        <v>19</v>
      </c>
      <c r="G1278" s="17">
        <v>19</v>
      </c>
      <c r="H1278" s="16">
        <v>19</v>
      </c>
      <c r="I1278" s="17">
        <v>19</v>
      </c>
      <c r="J1278" s="15">
        <v>38</v>
      </c>
      <c r="K1278" s="44">
        <f t="shared" si="534"/>
        <v>7</v>
      </c>
      <c r="L1278" s="28">
        <v>2</v>
      </c>
      <c r="M1278" s="33">
        <f t="shared" si="525"/>
        <v>2</v>
      </c>
      <c r="N1278" s="1">
        <v>3716961200</v>
      </c>
    </row>
    <row r="1279" spans="1:14" ht="18" customHeight="1" x14ac:dyDescent="0.45">
      <c r="A1279" s="13">
        <v>1273</v>
      </c>
      <c r="B1279" s="41" t="str">
        <f t="shared" si="548"/>
        <v>西日本第一本部</v>
      </c>
      <c r="C1279" s="41" t="str">
        <f t="shared" si="548"/>
        <v>そんぽの家　平野長吉</v>
      </c>
      <c r="D1279" s="14" t="s">
        <v>5</v>
      </c>
      <c r="E1279" s="15">
        <v>1</v>
      </c>
      <c r="F1279" s="16">
        <v>32</v>
      </c>
      <c r="G1279" s="17">
        <v>32</v>
      </c>
      <c r="H1279" s="16">
        <v>0</v>
      </c>
      <c r="I1279" s="17">
        <v>0</v>
      </c>
      <c r="J1279" s="15">
        <v>32</v>
      </c>
      <c r="K1279" s="44">
        <f t="shared" si="534"/>
        <v>7</v>
      </c>
      <c r="L1279" s="28">
        <v>2</v>
      </c>
      <c r="M1279" s="33">
        <f t="shared" si="525"/>
        <v>2</v>
      </c>
      <c r="N1279" s="1">
        <v>3716961200</v>
      </c>
    </row>
    <row r="1280" spans="1:14" ht="18" customHeight="1" x14ac:dyDescent="0.45">
      <c r="A1280" s="13">
        <v>1274</v>
      </c>
      <c r="B1280" s="41" t="str">
        <f t="shared" si="548"/>
        <v>西日本第一本部</v>
      </c>
      <c r="C1280" s="41" t="str">
        <f t="shared" si="548"/>
        <v>そんぽの家　平野長吉</v>
      </c>
      <c r="D1280" s="14" t="s">
        <v>6</v>
      </c>
      <c r="E1280" s="15">
        <v>4</v>
      </c>
      <c r="F1280" s="16">
        <v>6</v>
      </c>
      <c r="G1280" s="17">
        <v>1.5</v>
      </c>
      <c r="H1280" s="16">
        <v>0</v>
      </c>
      <c r="I1280" s="17">
        <v>0</v>
      </c>
      <c r="J1280" s="15">
        <v>6</v>
      </c>
      <c r="K1280" s="44">
        <f t="shared" si="534"/>
        <v>7</v>
      </c>
      <c r="L1280" s="28">
        <v>1</v>
      </c>
      <c r="M1280" s="33">
        <f t="shared" si="525"/>
        <v>1</v>
      </c>
      <c r="N1280" s="1">
        <v>3716961200</v>
      </c>
    </row>
    <row r="1281" spans="1:14" ht="18" customHeight="1" x14ac:dyDescent="0.45">
      <c r="A1281" s="13">
        <v>1275</v>
      </c>
      <c r="B1281" s="42" t="str">
        <f t="shared" si="548"/>
        <v>西日本第一本部</v>
      </c>
      <c r="C1281" s="42" t="str">
        <f t="shared" si="548"/>
        <v>そんぽの家　平野長吉</v>
      </c>
      <c r="D1281" s="14" t="s">
        <v>2</v>
      </c>
      <c r="E1281" s="15">
        <v>1</v>
      </c>
      <c r="F1281" s="16">
        <v>26</v>
      </c>
      <c r="G1281" s="17">
        <v>26</v>
      </c>
      <c r="H1281" s="16">
        <v>0</v>
      </c>
      <c r="I1281" s="17">
        <v>0</v>
      </c>
      <c r="J1281" s="15">
        <v>26</v>
      </c>
      <c r="K1281" s="45">
        <f t="shared" si="534"/>
        <v>7</v>
      </c>
      <c r="L1281" s="28">
        <v>2</v>
      </c>
      <c r="M1281" s="33">
        <f t="shared" si="525"/>
        <v>2</v>
      </c>
      <c r="N1281" s="1">
        <v>3716961200</v>
      </c>
    </row>
    <row r="1282" spans="1:14" ht="18" customHeight="1" x14ac:dyDescent="0.45">
      <c r="A1282" s="8">
        <v>1276</v>
      </c>
      <c r="B1282" s="34" t="s">
        <v>85</v>
      </c>
      <c r="C1282" s="34" t="s">
        <v>142</v>
      </c>
      <c r="D1282" s="9" t="s">
        <v>3</v>
      </c>
      <c r="E1282" s="10">
        <v>1</v>
      </c>
      <c r="F1282" s="11">
        <v>2</v>
      </c>
      <c r="G1282" s="12">
        <v>2</v>
      </c>
      <c r="H1282" s="11">
        <v>0</v>
      </c>
      <c r="I1282" s="12">
        <v>0</v>
      </c>
      <c r="J1282" s="10">
        <v>2</v>
      </c>
      <c r="K1282" s="37">
        <f t="shared" ref="K1282" si="549">SUM(M1282:M1286)</f>
        <v>8</v>
      </c>
      <c r="L1282" s="28">
        <v>0</v>
      </c>
      <c r="M1282" s="33">
        <f t="shared" si="525"/>
        <v>0</v>
      </c>
      <c r="N1282" s="1">
        <v>3716991200</v>
      </c>
    </row>
    <row r="1283" spans="1:14" ht="18" customHeight="1" x14ac:dyDescent="0.45">
      <c r="A1283" s="8">
        <v>1277</v>
      </c>
      <c r="B1283" s="35" t="str">
        <f t="shared" ref="B1283:C1286" si="550">B1282</f>
        <v>西日本第一本部</v>
      </c>
      <c r="C1283" s="35" t="str">
        <f t="shared" si="550"/>
        <v>そんぽの家　鶴見徳庵</v>
      </c>
      <c r="D1283" s="9" t="s">
        <v>4</v>
      </c>
      <c r="E1283" s="10">
        <v>1</v>
      </c>
      <c r="F1283" s="11">
        <v>7</v>
      </c>
      <c r="G1283" s="12">
        <v>7</v>
      </c>
      <c r="H1283" s="11">
        <v>7</v>
      </c>
      <c r="I1283" s="12">
        <v>7</v>
      </c>
      <c r="J1283" s="10">
        <v>14</v>
      </c>
      <c r="K1283" s="38">
        <f t="shared" si="534"/>
        <v>8</v>
      </c>
      <c r="L1283" s="28">
        <v>2</v>
      </c>
      <c r="M1283" s="33">
        <f t="shared" si="525"/>
        <v>2</v>
      </c>
      <c r="N1283" s="1">
        <v>3716991200</v>
      </c>
    </row>
    <row r="1284" spans="1:14" ht="18" customHeight="1" x14ac:dyDescent="0.45">
      <c r="A1284" s="8">
        <v>1278</v>
      </c>
      <c r="B1284" s="35" t="str">
        <f t="shared" si="550"/>
        <v>西日本第一本部</v>
      </c>
      <c r="C1284" s="35" t="str">
        <f t="shared" si="550"/>
        <v>そんぽの家　鶴見徳庵</v>
      </c>
      <c r="D1284" s="9" t="s">
        <v>5</v>
      </c>
      <c r="E1284" s="10">
        <v>1</v>
      </c>
      <c r="F1284" s="11">
        <v>18</v>
      </c>
      <c r="G1284" s="12">
        <v>18</v>
      </c>
      <c r="H1284" s="11">
        <v>0</v>
      </c>
      <c r="I1284" s="12">
        <v>0</v>
      </c>
      <c r="J1284" s="10">
        <v>18</v>
      </c>
      <c r="K1284" s="38">
        <f t="shared" si="534"/>
        <v>8</v>
      </c>
      <c r="L1284" s="28">
        <v>2</v>
      </c>
      <c r="M1284" s="33">
        <f t="shared" si="525"/>
        <v>2</v>
      </c>
      <c r="N1284" s="1">
        <v>3716991200</v>
      </c>
    </row>
    <row r="1285" spans="1:14" ht="18" customHeight="1" x14ac:dyDescent="0.45">
      <c r="A1285" s="8">
        <v>1279</v>
      </c>
      <c r="B1285" s="35" t="str">
        <f t="shared" si="550"/>
        <v>西日本第一本部</v>
      </c>
      <c r="C1285" s="35" t="str">
        <f t="shared" si="550"/>
        <v>そんぽの家　鶴見徳庵</v>
      </c>
      <c r="D1285" s="9" t="s">
        <v>6</v>
      </c>
      <c r="E1285" s="10">
        <v>2</v>
      </c>
      <c r="F1285" s="11">
        <v>23</v>
      </c>
      <c r="G1285" s="12">
        <v>11.5</v>
      </c>
      <c r="H1285" s="11">
        <v>0</v>
      </c>
      <c r="I1285" s="12">
        <v>0</v>
      </c>
      <c r="J1285" s="10">
        <v>23</v>
      </c>
      <c r="K1285" s="38">
        <f t="shared" si="534"/>
        <v>8</v>
      </c>
      <c r="L1285" s="28">
        <v>2</v>
      </c>
      <c r="M1285" s="33">
        <f t="shared" si="525"/>
        <v>2</v>
      </c>
      <c r="N1285" s="1">
        <v>3716991200</v>
      </c>
    </row>
    <row r="1286" spans="1:14" ht="18" customHeight="1" x14ac:dyDescent="0.45">
      <c r="A1286" s="8">
        <v>1280</v>
      </c>
      <c r="B1286" s="36" t="str">
        <f t="shared" si="550"/>
        <v>西日本第一本部</v>
      </c>
      <c r="C1286" s="36" t="str">
        <f t="shared" si="550"/>
        <v>そんぽの家　鶴見徳庵</v>
      </c>
      <c r="D1286" s="9" t="s">
        <v>2</v>
      </c>
      <c r="E1286" s="10">
        <v>1</v>
      </c>
      <c r="F1286" s="11">
        <v>16</v>
      </c>
      <c r="G1286" s="12">
        <v>16</v>
      </c>
      <c r="H1286" s="11">
        <v>0</v>
      </c>
      <c r="I1286" s="12">
        <v>0</v>
      </c>
      <c r="J1286" s="10">
        <v>16</v>
      </c>
      <c r="K1286" s="39">
        <f t="shared" si="534"/>
        <v>8</v>
      </c>
      <c r="L1286" s="28">
        <v>2</v>
      </c>
      <c r="M1286" s="33">
        <f t="shared" si="525"/>
        <v>2</v>
      </c>
      <c r="N1286" s="1">
        <v>3716991200</v>
      </c>
    </row>
    <row r="1287" spans="1:14" ht="18" customHeight="1" x14ac:dyDescent="0.45">
      <c r="A1287" s="13">
        <v>1281</v>
      </c>
      <c r="B1287" s="40" t="s">
        <v>85</v>
      </c>
      <c r="C1287" s="40" t="s">
        <v>143</v>
      </c>
      <c r="D1287" s="14" t="s">
        <v>3</v>
      </c>
      <c r="E1287" s="15">
        <v>1</v>
      </c>
      <c r="F1287" s="16">
        <v>2</v>
      </c>
      <c r="G1287" s="17">
        <v>2</v>
      </c>
      <c r="H1287" s="16">
        <v>2</v>
      </c>
      <c r="I1287" s="17">
        <v>2</v>
      </c>
      <c r="J1287" s="15">
        <v>4</v>
      </c>
      <c r="K1287" s="43">
        <f t="shared" ref="K1287" si="551">SUM(M1287:M1291)</f>
        <v>7</v>
      </c>
      <c r="L1287" s="28">
        <v>1</v>
      </c>
      <c r="M1287" s="33">
        <f t="shared" si="525"/>
        <v>1</v>
      </c>
      <c r="N1287" s="1">
        <v>3717021200</v>
      </c>
    </row>
    <row r="1288" spans="1:14" ht="18" customHeight="1" x14ac:dyDescent="0.45">
      <c r="A1288" s="13">
        <v>1282</v>
      </c>
      <c r="B1288" s="41" t="str">
        <f t="shared" ref="B1288:C1291" si="552">B1287</f>
        <v>西日本第一本部</v>
      </c>
      <c r="C1288" s="41" t="str">
        <f t="shared" si="552"/>
        <v>そんぽの家　東大阪日下</v>
      </c>
      <c r="D1288" s="14" t="s">
        <v>4</v>
      </c>
      <c r="E1288" s="15">
        <v>1</v>
      </c>
      <c r="F1288" s="16">
        <v>26</v>
      </c>
      <c r="G1288" s="17">
        <v>26</v>
      </c>
      <c r="H1288" s="16">
        <v>19</v>
      </c>
      <c r="I1288" s="17">
        <v>19</v>
      </c>
      <c r="J1288" s="15">
        <v>45</v>
      </c>
      <c r="K1288" s="44">
        <f t="shared" si="534"/>
        <v>7</v>
      </c>
      <c r="L1288" s="28">
        <v>2</v>
      </c>
      <c r="M1288" s="33">
        <f t="shared" ref="M1288:M1351" si="553">L1288</f>
        <v>2</v>
      </c>
      <c r="N1288" s="1">
        <v>3717021200</v>
      </c>
    </row>
    <row r="1289" spans="1:14" ht="18" customHeight="1" x14ac:dyDescent="0.45">
      <c r="A1289" s="13">
        <v>1283</v>
      </c>
      <c r="B1289" s="41" t="str">
        <f t="shared" si="552"/>
        <v>西日本第一本部</v>
      </c>
      <c r="C1289" s="41" t="str">
        <f t="shared" si="552"/>
        <v>そんぽの家　東大阪日下</v>
      </c>
      <c r="D1289" s="14" t="s">
        <v>5</v>
      </c>
      <c r="E1289" s="15">
        <v>1</v>
      </c>
      <c r="F1289" s="16">
        <v>25</v>
      </c>
      <c r="G1289" s="17">
        <v>25</v>
      </c>
      <c r="H1289" s="16">
        <v>0</v>
      </c>
      <c r="I1289" s="17">
        <v>0</v>
      </c>
      <c r="J1289" s="15">
        <v>25</v>
      </c>
      <c r="K1289" s="44">
        <f t="shared" si="534"/>
        <v>7</v>
      </c>
      <c r="L1289" s="28">
        <v>2</v>
      </c>
      <c r="M1289" s="33">
        <f t="shared" si="553"/>
        <v>2</v>
      </c>
      <c r="N1289" s="1">
        <v>3717021200</v>
      </c>
    </row>
    <row r="1290" spans="1:14" ht="18" customHeight="1" x14ac:dyDescent="0.45">
      <c r="A1290" s="13">
        <v>1284</v>
      </c>
      <c r="B1290" s="41" t="str">
        <f t="shared" si="552"/>
        <v>西日本第一本部</v>
      </c>
      <c r="C1290" s="41" t="str">
        <f t="shared" si="552"/>
        <v>そんぽの家　東大阪日下</v>
      </c>
      <c r="D1290" s="14" t="s">
        <v>6</v>
      </c>
      <c r="E1290" s="15">
        <v>3</v>
      </c>
      <c r="F1290" s="16">
        <v>1</v>
      </c>
      <c r="G1290" s="17">
        <v>0.3</v>
      </c>
      <c r="H1290" s="16">
        <v>0</v>
      </c>
      <c r="I1290" s="17">
        <v>0</v>
      </c>
      <c r="J1290" s="15">
        <v>1</v>
      </c>
      <c r="K1290" s="44">
        <f t="shared" si="534"/>
        <v>7</v>
      </c>
      <c r="L1290" s="28">
        <v>0</v>
      </c>
      <c r="M1290" s="33">
        <f t="shared" si="553"/>
        <v>0</v>
      </c>
      <c r="N1290" s="1">
        <v>3717021200</v>
      </c>
    </row>
    <row r="1291" spans="1:14" ht="18" customHeight="1" x14ac:dyDescent="0.45">
      <c r="A1291" s="13">
        <v>1285</v>
      </c>
      <c r="B1291" s="42" t="str">
        <f t="shared" si="552"/>
        <v>西日本第一本部</v>
      </c>
      <c r="C1291" s="42" t="str">
        <f t="shared" si="552"/>
        <v>そんぽの家　東大阪日下</v>
      </c>
      <c r="D1291" s="14" t="s">
        <v>2</v>
      </c>
      <c r="E1291" s="15">
        <v>1</v>
      </c>
      <c r="F1291" s="16">
        <v>15</v>
      </c>
      <c r="G1291" s="17">
        <v>15</v>
      </c>
      <c r="H1291" s="16">
        <v>0</v>
      </c>
      <c r="I1291" s="17">
        <v>0</v>
      </c>
      <c r="J1291" s="15">
        <v>15</v>
      </c>
      <c r="K1291" s="45">
        <f t="shared" si="534"/>
        <v>7</v>
      </c>
      <c r="L1291" s="28">
        <v>2</v>
      </c>
      <c r="M1291" s="33">
        <f t="shared" si="553"/>
        <v>2</v>
      </c>
      <c r="N1291" s="1">
        <v>3717021200</v>
      </c>
    </row>
    <row r="1292" spans="1:14" ht="18" customHeight="1" x14ac:dyDescent="0.45">
      <c r="A1292" s="8">
        <v>1286</v>
      </c>
      <c r="B1292" s="34" t="s">
        <v>85</v>
      </c>
      <c r="C1292" s="34" t="s">
        <v>144</v>
      </c>
      <c r="D1292" s="9" t="s">
        <v>3</v>
      </c>
      <c r="E1292" s="10">
        <v>1</v>
      </c>
      <c r="F1292" s="11">
        <v>8</v>
      </c>
      <c r="G1292" s="12">
        <v>8</v>
      </c>
      <c r="H1292" s="11">
        <v>0</v>
      </c>
      <c r="I1292" s="12">
        <v>0</v>
      </c>
      <c r="J1292" s="10">
        <v>8</v>
      </c>
      <c r="K1292" s="37">
        <f t="shared" ref="K1292" si="554">SUM(M1292:M1296)</f>
        <v>8</v>
      </c>
      <c r="L1292" s="28">
        <v>2</v>
      </c>
      <c r="M1292" s="33">
        <f t="shared" si="553"/>
        <v>2</v>
      </c>
      <c r="N1292" s="1">
        <v>3717031200</v>
      </c>
    </row>
    <row r="1293" spans="1:14" ht="18" customHeight="1" x14ac:dyDescent="0.45">
      <c r="A1293" s="8">
        <v>1287</v>
      </c>
      <c r="B1293" s="35" t="str">
        <f t="shared" ref="B1293:C1296" si="555">B1292</f>
        <v>西日本第一本部</v>
      </c>
      <c r="C1293" s="35" t="str">
        <f t="shared" si="555"/>
        <v>そんぽの家　新石切</v>
      </c>
      <c r="D1293" s="9" t="s">
        <v>4</v>
      </c>
      <c r="E1293" s="10">
        <v>1</v>
      </c>
      <c r="F1293" s="11">
        <v>3</v>
      </c>
      <c r="G1293" s="12">
        <v>3</v>
      </c>
      <c r="H1293" s="11">
        <v>0</v>
      </c>
      <c r="I1293" s="12">
        <v>0</v>
      </c>
      <c r="J1293" s="10">
        <v>3</v>
      </c>
      <c r="K1293" s="38">
        <f t="shared" si="534"/>
        <v>8</v>
      </c>
      <c r="L1293" s="28">
        <v>0</v>
      </c>
      <c r="M1293" s="33">
        <f t="shared" si="553"/>
        <v>0</v>
      </c>
      <c r="N1293" s="1">
        <v>3717031200</v>
      </c>
    </row>
    <row r="1294" spans="1:14" ht="18" customHeight="1" x14ac:dyDescent="0.45">
      <c r="A1294" s="8">
        <v>1288</v>
      </c>
      <c r="B1294" s="35" t="str">
        <f t="shared" si="555"/>
        <v>西日本第一本部</v>
      </c>
      <c r="C1294" s="35" t="str">
        <f t="shared" si="555"/>
        <v>そんぽの家　新石切</v>
      </c>
      <c r="D1294" s="9" t="s">
        <v>5</v>
      </c>
      <c r="E1294" s="10">
        <v>1</v>
      </c>
      <c r="F1294" s="11">
        <v>23</v>
      </c>
      <c r="G1294" s="12">
        <v>23</v>
      </c>
      <c r="H1294" s="11">
        <v>0</v>
      </c>
      <c r="I1294" s="12">
        <v>0</v>
      </c>
      <c r="J1294" s="10">
        <v>23</v>
      </c>
      <c r="K1294" s="38">
        <f t="shared" si="534"/>
        <v>8</v>
      </c>
      <c r="L1294" s="28">
        <v>2</v>
      </c>
      <c r="M1294" s="33">
        <f t="shared" si="553"/>
        <v>2</v>
      </c>
      <c r="N1294" s="1">
        <v>3717031200</v>
      </c>
    </row>
    <row r="1295" spans="1:14" ht="18" customHeight="1" x14ac:dyDescent="0.45">
      <c r="A1295" s="8">
        <v>1289</v>
      </c>
      <c r="B1295" s="35" t="str">
        <f t="shared" si="555"/>
        <v>西日本第一本部</v>
      </c>
      <c r="C1295" s="35" t="str">
        <f t="shared" si="555"/>
        <v>そんぽの家　新石切</v>
      </c>
      <c r="D1295" s="9" t="s">
        <v>6</v>
      </c>
      <c r="E1295" s="10">
        <v>3</v>
      </c>
      <c r="F1295" s="11">
        <v>10</v>
      </c>
      <c r="G1295" s="12">
        <v>3.3</v>
      </c>
      <c r="H1295" s="11">
        <v>0</v>
      </c>
      <c r="I1295" s="12">
        <v>0</v>
      </c>
      <c r="J1295" s="10">
        <v>10</v>
      </c>
      <c r="K1295" s="38">
        <f t="shared" si="534"/>
        <v>8</v>
      </c>
      <c r="L1295" s="28">
        <v>2</v>
      </c>
      <c r="M1295" s="33">
        <f t="shared" si="553"/>
        <v>2</v>
      </c>
      <c r="N1295" s="1">
        <v>3717031200</v>
      </c>
    </row>
    <row r="1296" spans="1:14" ht="18" customHeight="1" x14ac:dyDescent="0.45">
      <c r="A1296" s="8">
        <v>1290</v>
      </c>
      <c r="B1296" s="36" t="str">
        <f t="shared" si="555"/>
        <v>西日本第一本部</v>
      </c>
      <c r="C1296" s="36" t="str">
        <f t="shared" si="555"/>
        <v>そんぽの家　新石切</v>
      </c>
      <c r="D1296" s="9" t="s">
        <v>2</v>
      </c>
      <c r="E1296" s="10">
        <v>3</v>
      </c>
      <c r="F1296" s="11">
        <v>13</v>
      </c>
      <c r="G1296" s="12">
        <v>4.3</v>
      </c>
      <c r="H1296" s="11">
        <v>0</v>
      </c>
      <c r="I1296" s="12">
        <v>0</v>
      </c>
      <c r="J1296" s="10">
        <v>13</v>
      </c>
      <c r="K1296" s="39">
        <f t="shared" si="534"/>
        <v>8</v>
      </c>
      <c r="L1296" s="28">
        <v>2</v>
      </c>
      <c r="M1296" s="33">
        <f t="shared" si="553"/>
        <v>2</v>
      </c>
      <c r="N1296" s="1">
        <v>3717031200</v>
      </c>
    </row>
    <row r="1297" spans="1:14" ht="18" customHeight="1" x14ac:dyDescent="0.45">
      <c r="A1297" s="13">
        <v>1291</v>
      </c>
      <c r="B1297" s="40" t="s">
        <v>85</v>
      </c>
      <c r="C1297" s="40" t="s">
        <v>145</v>
      </c>
      <c r="D1297" s="14" t="s">
        <v>3</v>
      </c>
      <c r="E1297" s="15">
        <v>1</v>
      </c>
      <c r="F1297" s="16">
        <v>3</v>
      </c>
      <c r="G1297" s="17">
        <v>3</v>
      </c>
      <c r="H1297" s="16">
        <v>3</v>
      </c>
      <c r="I1297" s="17">
        <v>3</v>
      </c>
      <c r="J1297" s="15">
        <v>6</v>
      </c>
      <c r="K1297" s="43">
        <f t="shared" ref="K1297" si="556">SUM(M1297:M1301)</f>
        <v>4</v>
      </c>
      <c r="L1297" s="28">
        <v>1</v>
      </c>
      <c r="M1297" s="33">
        <f t="shared" si="553"/>
        <v>1</v>
      </c>
      <c r="N1297" s="1">
        <v>3717051200</v>
      </c>
    </row>
    <row r="1298" spans="1:14" ht="18" customHeight="1" x14ac:dyDescent="0.45">
      <c r="A1298" s="13">
        <v>1292</v>
      </c>
      <c r="B1298" s="41" t="str">
        <f t="shared" ref="B1298:C1301" si="557">B1297</f>
        <v>西日本第一本部</v>
      </c>
      <c r="C1298" s="41" t="str">
        <f t="shared" si="557"/>
        <v>そんぽの家　泉北</v>
      </c>
      <c r="D1298" s="14" t="s">
        <v>4</v>
      </c>
      <c r="E1298" s="15">
        <v>1</v>
      </c>
      <c r="F1298" s="16">
        <v>2</v>
      </c>
      <c r="G1298" s="17">
        <v>2</v>
      </c>
      <c r="H1298" s="16">
        <v>1</v>
      </c>
      <c r="I1298" s="17">
        <v>1</v>
      </c>
      <c r="J1298" s="15">
        <v>3</v>
      </c>
      <c r="K1298" s="44">
        <f t="shared" si="534"/>
        <v>4</v>
      </c>
      <c r="L1298" s="28">
        <v>0</v>
      </c>
      <c r="M1298" s="33">
        <f t="shared" si="553"/>
        <v>0</v>
      </c>
      <c r="N1298" s="1">
        <v>3717051200</v>
      </c>
    </row>
    <row r="1299" spans="1:14" ht="18" customHeight="1" x14ac:dyDescent="0.45">
      <c r="A1299" s="13">
        <v>1293</v>
      </c>
      <c r="B1299" s="41" t="str">
        <f t="shared" si="557"/>
        <v>西日本第一本部</v>
      </c>
      <c r="C1299" s="41" t="str">
        <f t="shared" si="557"/>
        <v>そんぽの家　泉北</v>
      </c>
      <c r="D1299" s="14" t="s">
        <v>5</v>
      </c>
      <c r="E1299" s="15">
        <v>1</v>
      </c>
      <c r="F1299" s="16">
        <v>31</v>
      </c>
      <c r="G1299" s="17">
        <v>31</v>
      </c>
      <c r="H1299" s="16">
        <v>0</v>
      </c>
      <c r="I1299" s="17">
        <v>0</v>
      </c>
      <c r="J1299" s="15">
        <v>31</v>
      </c>
      <c r="K1299" s="44">
        <f t="shared" si="534"/>
        <v>4</v>
      </c>
      <c r="L1299" s="28">
        <v>2</v>
      </c>
      <c r="M1299" s="33">
        <f t="shared" si="553"/>
        <v>2</v>
      </c>
      <c r="N1299" s="1">
        <v>3717051200</v>
      </c>
    </row>
    <row r="1300" spans="1:14" ht="18" customHeight="1" x14ac:dyDescent="0.45">
      <c r="A1300" s="13">
        <v>1294</v>
      </c>
      <c r="B1300" s="41" t="str">
        <f t="shared" si="557"/>
        <v>西日本第一本部</v>
      </c>
      <c r="C1300" s="41" t="str">
        <f t="shared" si="557"/>
        <v>そんぽの家　泉北</v>
      </c>
      <c r="D1300" s="14" t="s">
        <v>6</v>
      </c>
      <c r="E1300" s="15">
        <v>3</v>
      </c>
      <c r="F1300" s="16">
        <v>1</v>
      </c>
      <c r="G1300" s="17">
        <v>0.3</v>
      </c>
      <c r="H1300" s="16">
        <v>0</v>
      </c>
      <c r="I1300" s="17">
        <v>0</v>
      </c>
      <c r="J1300" s="15">
        <v>1</v>
      </c>
      <c r="K1300" s="44">
        <f t="shared" si="534"/>
        <v>4</v>
      </c>
      <c r="L1300" s="28">
        <v>0</v>
      </c>
      <c r="M1300" s="33">
        <f t="shared" si="553"/>
        <v>0</v>
      </c>
      <c r="N1300" s="1">
        <v>3717051200</v>
      </c>
    </row>
    <row r="1301" spans="1:14" ht="18" customHeight="1" x14ac:dyDescent="0.45">
      <c r="A1301" s="13">
        <v>1295</v>
      </c>
      <c r="B1301" s="42" t="str">
        <f t="shared" si="557"/>
        <v>西日本第一本部</v>
      </c>
      <c r="C1301" s="42" t="str">
        <f t="shared" si="557"/>
        <v>そんぽの家　泉北</v>
      </c>
      <c r="D1301" s="14" t="s">
        <v>2</v>
      </c>
      <c r="E1301" s="15">
        <v>2</v>
      </c>
      <c r="F1301" s="16">
        <v>6</v>
      </c>
      <c r="G1301" s="17">
        <v>3</v>
      </c>
      <c r="H1301" s="16">
        <v>0</v>
      </c>
      <c r="I1301" s="17">
        <v>0</v>
      </c>
      <c r="J1301" s="15">
        <v>6</v>
      </c>
      <c r="K1301" s="45">
        <f t="shared" si="534"/>
        <v>4</v>
      </c>
      <c r="L1301" s="28">
        <v>1</v>
      </c>
      <c r="M1301" s="33">
        <f t="shared" si="553"/>
        <v>1</v>
      </c>
      <c r="N1301" s="1">
        <v>3717051200</v>
      </c>
    </row>
    <row r="1302" spans="1:14" ht="18" customHeight="1" x14ac:dyDescent="0.45">
      <c r="A1302" s="8">
        <v>1296</v>
      </c>
      <c r="B1302" s="34" t="s">
        <v>85</v>
      </c>
      <c r="C1302" s="34" t="s">
        <v>146</v>
      </c>
      <c r="D1302" s="9" t="s">
        <v>3</v>
      </c>
      <c r="E1302" s="10">
        <v>1</v>
      </c>
      <c r="F1302" s="11">
        <v>16</v>
      </c>
      <c r="G1302" s="12">
        <v>16</v>
      </c>
      <c r="H1302" s="11">
        <v>16</v>
      </c>
      <c r="I1302" s="12">
        <v>16</v>
      </c>
      <c r="J1302" s="10">
        <v>32</v>
      </c>
      <c r="K1302" s="37">
        <f t="shared" ref="K1302" si="558">SUM(M1302:M1306)</f>
        <v>10</v>
      </c>
      <c r="L1302" s="28">
        <v>2</v>
      </c>
      <c r="M1302" s="33">
        <f t="shared" si="553"/>
        <v>2</v>
      </c>
      <c r="N1302" s="1">
        <v>3717061200</v>
      </c>
    </row>
    <row r="1303" spans="1:14" ht="18" customHeight="1" x14ac:dyDescent="0.45">
      <c r="A1303" s="8">
        <v>1297</v>
      </c>
      <c r="B1303" s="35" t="str">
        <f t="shared" ref="B1303:C1306" si="559">B1302</f>
        <v>西日本第一本部</v>
      </c>
      <c r="C1303" s="35" t="str">
        <f t="shared" si="559"/>
        <v>そんぽの家　堺浜寺</v>
      </c>
      <c r="D1303" s="9" t="s">
        <v>4</v>
      </c>
      <c r="E1303" s="10">
        <v>1</v>
      </c>
      <c r="F1303" s="11">
        <v>4</v>
      </c>
      <c r="G1303" s="12">
        <v>4</v>
      </c>
      <c r="H1303" s="11">
        <v>4</v>
      </c>
      <c r="I1303" s="12">
        <v>4</v>
      </c>
      <c r="J1303" s="10">
        <v>8</v>
      </c>
      <c r="K1303" s="38">
        <f t="shared" si="534"/>
        <v>10</v>
      </c>
      <c r="L1303" s="28">
        <v>2</v>
      </c>
      <c r="M1303" s="33">
        <f t="shared" si="553"/>
        <v>2</v>
      </c>
      <c r="N1303" s="1">
        <v>3717061200</v>
      </c>
    </row>
    <row r="1304" spans="1:14" ht="18" customHeight="1" x14ac:dyDescent="0.45">
      <c r="A1304" s="8">
        <v>1298</v>
      </c>
      <c r="B1304" s="35" t="str">
        <f t="shared" si="559"/>
        <v>西日本第一本部</v>
      </c>
      <c r="C1304" s="35" t="str">
        <f t="shared" si="559"/>
        <v>そんぽの家　堺浜寺</v>
      </c>
      <c r="D1304" s="9" t="s">
        <v>5</v>
      </c>
      <c r="E1304" s="10">
        <v>1</v>
      </c>
      <c r="F1304" s="11">
        <v>48</v>
      </c>
      <c r="G1304" s="12">
        <v>48</v>
      </c>
      <c r="H1304" s="11">
        <v>0</v>
      </c>
      <c r="I1304" s="12">
        <v>0</v>
      </c>
      <c r="J1304" s="10">
        <v>48</v>
      </c>
      <c r="K1304" s="38">
        <f t="shared" si="534"/>
        <v>10</v>
      </c>
      <c r="L1304" s="28">
        <v>2</v>
      </c>
      <c r="M1304" s="33">
        <f t="shared" si="553"/>
        <v>2</v>
      </c>
      <c r="N1304" s="1">
        <v>3717061200</v>
      </c>
    </row>
    <row r="1305" spans="1:14" ht="18" customHeight="1" x14ac:dyDescent="0.45">
      <c r="A1305" s="8">
        <v>1299</v>
      </c>
      <c r="B1305" s="35" t="str">
        <f t="shared" si="559"/>
        <v>西日本第一本部</v>
      </c>
      <c r="C1305" s="35" t="str">
        <f t="shared" si="559"/>
        <v>そんぽの家　堺浜寺</v>
      </c>
      <c r="D1305" s="9" t="s">
        <v>6</v>
      </c>
      <c r="E1305" s="10">
        <v>3</v>
      </c>
      <c r="F1305" s="11">
        <v>10</v>
      </c>
      <c r="G1305" s="12">
        <v>3.3</v>
      </c>
      <c r="H1305" s="11">
        <v>0</v>
      </c>
      <c r="I1305" s="12">
        <v>0</v>
      </c>
      <c r="J1305" s="10">
        <v>10</v>
      </c>
      <c r="K1305" s="38">
        <f t="shared" si="534"/>
        <v>10</v>
      </c>
      <c r="L1305" s="28">
        <v>2</v>
      </c>
      <c r="M1305" s="33">
        <f t="shared" si="553"/>
        <v>2</v>
      </c>
      <c r="N1305" s="1">
        <v>3717061200</v>
      </c>
    </row>
    <row r="1306" spans="1:14" ht="18" customHeight="1" x14ac:dyDescent="0.45">
      <c r="A1306" s="8">
        <v>1300</v>
      </c>
      <c r="B1306" s="36" t="str">
        <f t="shared" si="559"/>
        <v>西日本第一本部</v>
      </c>
      <c r="C1306" s="36" t="str">
        <f t="shared" si="559"/>
        <v>そんぽの家　堺浜寺</v>
      </c>
      <c r="D1306" s="9" t="s">
        <v>2</v>
      </c>
      <c r="E1306" s="10">
        <v>2</v>
      </c>
      <c r="F1306" s="11">
        <v>16</v>
      </c>
      <c r="G1306" s="12">
        <v>8</v>
      </c>
      <c r="H1306" s="11">
        <v>0</v>
      </c>
      <c r="I1306" s="12">
        <v>0</v>
      </c>
      <c r="J1306" s="10">
        <v>16</v>
      </c>
      <c r="K1306" s="39">
        <f t="shared" si="534"/>
        <v>10</v>
      </c>
      <c r="L1306" s="28">
        <v>2</v>
      </c>
      <c r="M1306" s="33">
        <f t="shared" si="553"/>
        <v>2</v>
      </c>
      <c r="N1306" s="1">
        <v>3717061200</v>
      </c>
    </row>
    <row r="1307" spans="1:14" ht="18" customHeight="1" x14ac:dyDescent="0.45">
      <c r="A1307" s="13">
        <v>1301</v>
      </c>
      <c r="B1307" s="40" t="s">
        <v>85</v>
      </c>
      <c r="C1307" s="40" t="s">
        <v>147</v>
      </c>
      <c r="D1307" s="14" t="s">
        <v>3</v>
      </c>
      <c r="E1307" s="15">
        <v>1</v>
      </c>
      <c r="F1307" s="16">
        <v>3</v>
      </c>
      <c r="G1307" s="17">
        <v>3</v>
      </c>
      <c r="H1307" s="16">
        <v>2</v>
      </c>
      <c r="I1307" s="17">
        <v>2</v>
      </c>
      <c r="J1307" s="15">
        <v>5</v>
      </c>
      <c r="K1307" s="43">
        <f t="shared" ref="K1307" si="560">SUM(M1307:M1311)</f>
        <v>4</v>
      </c>
      <c r="L1307" s="28">
        <v>1</v>
      </c>
      <c r="M1307" s="33">
        <f t="shared" si="553"/>
        <v>1</v>
      </c>
      <c r="N1307" s="1">
        <v>3717081200</v>
      </c>
    </row>
    <row r="1308" spans="1:14" ht="18" customHeight="1" x14ac:dyDescent="0.45">
      <c r="A1308" s="13">
        <v>1302</v>
      </c>
      <c r="B1308" s="41" t="str">
        <f t="shared" ref="B1308:C1311" si="561">B1307</f>
        <v>西日本第一本部</v>
      </c>
      <c r="C1308" s="41" t="str">
        <f t="shared" si="561"/>
        <v>そんぽの家　狭山</v>
      </c>
      <c r="D1308" s="14" t="s">
        <v>4</v>
      </c>
      <c r="E1308" s="15">
        <v>0</v>
      </c>
      <c r="F1308" s="16">
        <v>0</v>
      </c>
      <c r="G1308" s="17">
        <v>0</v>
      </c>
      <c r="H1308" s="16">
        <v>0</v>
      </c>
      <c r="I1308" s="17">
        <v>0</v>
      </c>
      <c r="J1308" s="15">
        <v>0</v>
      </c>
      <c r="K1308" s="44">
        <f t="shared" ref="K1308:K1371" si="562">K1307</f>
        <v>4</v>
      </c>
      <c r="L1308" s="28">
        <v>0</v>
      </c>
      <c r="M1308" s="33">
        <f t="shared" si="553"/>
        <v>0</v>
      </c>
      <c r="N1308" s="1">
        <v>3717081200</v>
      </c>
    </row>
    <row r="1309" spans="1:14" ht="18" customHeight="1" x14ac:dyDescent="0.45">
      <c r="A1309" s="13">
        <v>1303</v>
      </c>
      <c r="B1309" s="41" t="str">
        <f t="shared" si="561"/>
        <v>西日本第一本部</v>
      </c>
      <c r="C1309" s="41" t="str">
        <f t="shared" si="561"/>
        <v>そんぽの家　狭山</v>
      </c>
      <c r="D1309" s="14" t="s">
        <v>5</v>
      </c>
      <c r="E1309" s="15">
        <v>1</v>
      </c>
      <c r="F1309" s="16">
        <v>36</v>
      </c>
      <c r="G1309" s="17">
        <v>36</v>
      </c>
      <c r="H1309" s="16">
        <v>0</v>
      </c>
      <c r="I1309" s="17">
        <v>0</v>
      </c>
      <c r="J1309" s="15">
        <v>36</v>
      </c>
      <c r="K1309" s="44">
        <f t="shared" si="562"/>
        <v>4</v>
      </c>
      <c r="L1309" s="28">
        <v>2</v>
      </c>
      <c r="M1309" s="33">
        <f t="shared" si="553"/>
        <v>2</v>
      </c>
      <c r="N1309" s="1">
        <v>3717081200</v>
      </c>
    </row>
    <row r="1310" spans="1:14" ht="18" customHeight="1" x14ac:dyDescent="0.45">
      <c r="A1310" s="13">
        <v>1304</v>
      </c>
      <c r="B1310" s="41" t="str">
        <f t="shared" si="561"/>
        <v>西日本第一本部</v>
      </c>
      <c r="C1310" s="41" t="str">
        <f t="shared" si="561"/>
        <v>そんぽの家　狭山</v>
      </c>
      <c r="D1310" s="14" t="s">
        <v>6</v>
      </c>
      <c r="E1310" s="15">
        <v>3</v>
      </c>
      <c r="F1310" s="16">
        <v>4</v>
      </c>
      <c r="G1310" s="17">
        <v>1.3</v>
      </c>
      <c r="H1310" s="16">
        <v>0</v>
      </c>
      <c r="I1310" s="17">
        <v>0</v>
      </c>
      <c r="J1310" s="15">
        <v>4</v>
      </c>
      <c r="K1310" s="44">
        <f t="shared" si="562"/>
        <v>4</v>
      </c>
      <c r="L1310" s="28">
        <v>1</v>
      </c>
      <c r="M1310" s="33">
        <f t="shared" si="553"/>
        <v>1</v>
      </c>
      <c r="N1310" s="1">
        <v>3717081200</v>
      </c>
    </row>
    <row r="1311" spans="1:14" ht="18" customHeight="1" x14ac:dyDescent="0.45">
      <c r="A1311" s="13">
        <v>1305</v>
      </c>
      <c r="B1311" s="42" t="str">
        <f t="shared" si="561"/>
        <v>西日本第一本部</v>
      </c>
      <c r="C1311" s="42" t="str">
        <f t="shared" si="561"/>
        <v>そんぽの家　狭山</v>
      </c>
      <c r="D1311" s="14" t="s">
        <v>2</v>
      </c>
      <c r="E1311" s="15">
        <v>1</v>
      </c>
      <c r="F1311" s="16">
        <v>0</v>
      </c>
      <c r="G1311" s="17">
        <v>0</v>
      </c>
      <c r="H1311" s="16">
        <v>0</v>
      </c>
      <c r="I1311" s="17">
        <v>0</v>
      </c>
      <c r="J1311" s="15">
        <v>0</v>
      </c>
      <c r="K1311" s="45">
        <f t="shared" si="562"/>
        <v>4</v>
      </c>
      <c r="L1311" s="28">
        <v>0</v>
      </c>
      <c r="M1311" s="33">
        <f t="shared" si="553"/>
        <v>0</v>
      </c>
      <c r="N1311" s="1">
        <v>3717081200</v>
      </c>
    </row>
    <row r="1312" spans="1:14" ht="18" customHeight="1" x14ac:dyDescent="0.45">
      <c r="A1312" s="8">
        <v>1306</v>
      </c>
      <c r="B1312" s="34" t="s">
        <v>85</v>
      </c>
      <c r="C1312" s="34" t="s">
        <v>148</v>
      </c>
      <c r="D1312" s="9" t="s">
        <v>3</v>
      </c>
      <c r="E1312" s="10">
        <v>1</v>
      </c>
      <c r="F1312" s="11">
        <v>11</v>
      </c>
      <c r="G1312" s="12">
        <v>11</v>
      </c>
      <c r="H1312" s="11">
        <v>10</v>
      </c>
      <c r="I1312" s="12">
        <v>10</v>
      </c>
      <c r="J1312" s="10">
        <v>21</v>
      </c>
      <c r="K1312" s="37">
        <f t="shared" ref="K1312" si="563">SUM(M1312:M1316)</f>
        <v>8</v>
      </c>
      <c r="L1312" s="28">
        <v>2</v>
      </c>
      <c r="M1312" s="33">
        <f t="shared" si="553"/>
        <v>2</v>
      </c>
      <c r="N1312" s="1">
        <v>3717611200</v>
      </c>
    </row>
    <row r="1313" spans="1:14" ht="18" customHeight="1" x14ac:dyDescent="0.45">
      <c r="A1313" s="8">
        <v>1307</v>
      </c>
      <c r="B1313" s="35" t="str">
        <f t="shared" ref="B1313:C1316" si="564">B1312</f>
        <v>西日本第一本部</v>
      </c>
      <c r="C1313" s="35" t="str">
        <f t="shared" si="564"/>
        <v>そんぽの家　我孫子東</v>
      </c>
      <c r="D1313" s="9" t="s">
        <v>4</v>
      </c>
      <c r="E1313" s="10">
        <v>1</v>
      </c>
      <c r="F1313" s="11">
        <v>25</v>
      </c>
      <c r="G1313" s="12">
        <v>25</v>
      </c>
      <c r="H1313" s="11">
        <v>18</v>
      </c>
      <c r="I1313" s="12">
        <v>18</v>
      </c>
      <c r="J1313" s="10">
        <v>43</v>
      </c>
      <c r="K1313" s="38">
        <f t="shared" si="562"/>
        <v>8</v>
      </c>
      <c r="L1313" s="28">
        <v>2</v>
      </c>
      <c r="M1313" s="33">
        <f t="shared" si="553"/>
        <v>2</v>
      </c>
      <c r="N1313" s="1">
        <v>3717611200</v>
      </c>
    </row>
    <row r="1314" spans="1:14" ht="18" customHeight="1" x14ac:dyDescent="0.45">
      <c r="A1314" s="8">
        <v>1308</v>
      </c>
      <c r="B1314" s="35" t="str">
        <f t="shared" si="564"/>
        <v>西日本第一本部</v>
      </c>
      <c r="C1314" s="35" t="str">
        <f t="shared" si="564"/>
        <v>そんぽの家　我孫子東</v>
      </c>
      <c r="D1314" s="9" t="s">
        <v>5</v>
      </c>
      <c r="E1314" s="10">
        <v>1</v>
      </c>
      <c r="F1314" s="11">
        <v>19</v>
      </c>
      <c r="G1314" s="12">
        <v>19</v>
      </c>
      <c r="H1314" s="11">
        <v>0</v>
      </c>
      <c r="I1314" s="12">
        <v>0</v>
      </c>
      <c r="J1314" s="10">
        <v>19</v>
      </c>
      <c r="K1314" s="38">
        <f t="shared" si="562"/>
        <v>8</v>
      </c>
      <c r="L1314" s="28">
        <v>2</v>
      </c>
      <c r="M1314" s="33">
        <f t="shared" si="553"/>
        <v>2</v>
      </c>
      <c r="N1314" s="1">
        <v>3717611200</v>
      </c>
    </row>
    <row r="1315" spans="1:14" ht="18" customHeight="1" x14ac:dyDescent="0.45">
      <c r="A1315" s="8">
        <v>1309</v>
      </c>
      <c r="B1315" s="35" t="str">
        <f t="shared" si="564"/>
        <v>西日本第一本部</v>
      </c>
      <c r="C1315" s="35" t="str">
        <f t="shared" si="564"/>
        <v>そんぽの家　我孫子東</v>
      </c>
      <c r="D1315" s="9" t="s">
        <v>6</v>
      </c>
      <c r="E1315" s="10">
        <v>3</v>
      </c>
      <c r="F1315" s="11">
        <v>0</v>
      </c>
      <c r="G1315" s="12">
        <v>0</v>
      </c>
      <c r="H1315" s="11">
        <v>0</v>
      </c>
      <c r="I1315" s="12">
        <v>0</v>
      </c>
      <c r="J1315" s="10">
        <v>0</v>
      </c>
      <c r="K1315" s="38">
        <f t="shared" si="562"/>
        <v>8</v>
      </c>
      <c r="L1315" s="28">
        <v>0</v>
      </c>
      <c r="M1315" s="33">
        <f t="shared" si="553"/>
        <v>0</v>
      </c>
      <c r="N1315" s="1">
        <v>3717611200</v>
      </c>
    </row>
    <row r="1316" spans="1:14" ht="18" customHeight="1" x14ac:dyDescent="0.45">
      <c r="A1316" s="8">
        <v>1310</v>
      </c>
      <c r="B1316" s="36" t="str">
        <f t="shared" si="564"/>
        <v>西日本第一本部</v>
      </c>
      <c r="C1316" s="36" t="str">
        <f t="shared" si="564"/>
        <v>そんぽの家　我孫子東</v>
      </c>
      <c r="D1316" s="9" t="s">
        <v>2</v>
      </c>
      <c r="E1316" s="10">
        <v>1</v>
      </c>
      <c r="F1316" s="11">
        <v>31</v>
      </c>
      <c r="G1316" s="12">
        <v>31</v>
      </c>
      <c r="H1316" s="11">
        <v>0</v>
      </c>
      <c r="I1316" s="12">
        <v>0</v>
      </c>
      <c r="J1316" s="10">
        <v>31</v>
      </c>
      <c r="K1316" s="39">
        <f t="shared" si="562"/>
        <v>8</v>
      </c>
      <c r="L1316" s="28">
        <v>2</v>
      </c>
      <c r="M1316" s="33">
        <f t="shared" si="553"/>
        <v>2</v>
      </c>
      <c r="N1316" s="1">
        <v>3717611200</v>
      </c>
    </row>
    <row r="1317" spans="1:14" ht="18" customHeight="1" x14ac:dyDescent="0.45">
      <c r="A1317" s="13">
        <v>1311</v>
      </c>
      <c r="B1317" s="40" t="s">
        <v>149</v>
      </c>
      <c r="C1317" s="40" t="s">
        <v>150</v>
      </c>
      <c r="D1317" s="14" t="s">
        <v>3</v>
      </c>
      <c r="E1317" s="15">
        <v>1</v>
      </c>
      <c r="F1317" s="16">
        <v>4</v>
      </c>
      <c r="G1317" s="17">
        <v>4</v>
      </c>
      <c r="H1317" s="16">
        <v>4</v>
      </c>
      <c r="I1317" s="17">
        <v>4</v>
      </c>
      <c r="J1317" s="15">
        <v>8</v>
      </c>
      <c r="K1317" s="43">
        <f t="shared" ref="K1317" si="565">SUM(M1317:M1321)</f>
        <v>8</v>
      </c>
      <c r="L1317" s="28">
        <v>2</v>
      </c>
      <c r="M1317" s="33">
        <f t="shared" si="553"/>
        <v>2</v>
      </c>
      <c r="N1317" s="1">
        <v>3817101200</v>
      </c>
    </row>
    <row r="1318" spans="1:14" ht="18" customHeight="1" x14ac:dyDescent="0.45">
      <c r="A1318" s="13">
        <v>1312</v>
      </c>
      <c r="B1318" s="41" t="str">
        <f t="shared" ref="B1318:C1321" si="566">B1317</f>
        <v>西日本第二本部</v>
      </c>
      <c r="C1318" s="41" t="str">
        <f t="shared" si="566"/>
        <v>そんぽの家　伊丹荒牧</v>
      </c>
      <c r="D1318" s="14" t="s">
        <v>4</v>
      </c>
      <c r="E1318" s="15">
        <v>1</v>
      </c>
      <c r="F1318" s="16">
        <v>1</v>
      </c>
      <c r="G1318" s="17">
        <v>1</v>
      </c>
      <c r="H1318" s="16">
        <v>1</v>
      </c>
      <c r="I1318" s="17">
        <v>1</v>
      </c>
      <c r="J1318" s="15">
        <v>2</v>
      </c>
      <c r="K1318" s="44">
        <f t="shared" si="562"/>
        <v>8</v>
      </c>
      <c r="L1318" s="28">
        <v>0</v>
      </c>
      <c r="M1318" s="33">
        <f t="shared" si="553"/>
        <v>0</v>
      </c>
      <c r="N1318" s="1">
        <v>3817101200</v>
      </c>
    </row>
    <row r="1319" spans="1:14" ht="18" customHeight="1" x14ac:dyDescent="0.45">
      <c r="A1319" s="13">
        <v>1313</v>
      </c>
      <c r="B1319" s="41" t="str">
        <f t="shared" si="566"/>
        <v>西日本第二本部</v>
      </c>
      <c r="C1319" s="41" t="str">
        <f t="shared" si="566"/>
        <v>そんぽの家　伊丹荒牧</v>
      </c>
      <c r="D1319" s="14" t="s">
        <v>5</v>
      </c>
      <c r="E1319" s="15">
        <v>1</v>
      </c>
      <c r="F1319" s="16">
        <v>19</v>
      </c>
      <c r="G1319" s="17">
        <v>19</v>
      </c>
      <c r="H1319" s="16">
        <v>0</v>
      </c>
      <c r="I1319" s="17">
        <v>0</v>
      </c>
      <c r="J1319" s="15">
        <v>19</v>
      </c>
      <c r="K1319" s="44">
        <f t="shared" si="562"/>
        <v>8</v>
      </c>
      <c r="L1319" s="28">
        <v>2</v>
      </c>
      <c r="M1319" s="33">
        <f t="shared" si="553"/>
        <v>2</v>
      </c>
      <c r="N1319" s="1">
        <v>3817101200</v>
      </c>
    </row>
    <row r="1320" spans="1:14" ht="18" customHeight="1" x14ac:dyDescent="0.45">
      <c r="A1320" s="13">
        <v>1314</v>
      </c>
      <c r="B1320" s="41" t="str">
        <f t="shared" si="566"/>
        <v>西日本第二本部</v>
      </c>
      <c r="C1320" s="41" t="str">
        <f t="shared" si="566"/>
        <v>そんぽの家　伊丹荒牧</v>
      </c>
      <c r="D1320" s="14" t="s">
        <v>6</v>
      </c>
      <c r="E1320" s="15">
        <v>3</v>
      </c>
      <c r="F1320" s="16">
        <v>10</v>
      </c>
      <c r="G1320" s="17">
        <v>3.3</v>
      </c>
      <c r="H1320" s="16">
        <v>0</v>
      </c>
      <c r="I1320" s="17">
        <v>0</v>
      </c>
      <c r="J1320" s="15">
        <v>10</v>
      </c>
      <c r="K1320" s="44">
        <f t="shared" si="562"/>
        <v>8</v>
      </c>
      <c r="L1320" s="28">
        <v>2</v>
      </c>
      <c r="M1320" s="33">
        <f t="shared" si="553"/>
        <v>2</v>
      </c>
      <c r="N1320" s="1">
        <v>3817101200</v>
      </c>
    </row>
    <row r="1321" spans="1:14" ht="18" customHeight="1" x14ac:dyDescent="0.45">
      <c r="A1321" s="13">
        <v>1315</v>
      </c>
      <c r="B1321" s="42" t="str">
        <f t="shared" si="566"/>
        <v>西日本第二本部</v>
      </c>
      <c r="C1321" s="42" t="str">
        <f t="shared" si="566"/>
        <v>そんぽの家　伊丹荒牧</v>
      </c>
      <c r="D1321" s="14" t="s">
        <v>2</v>
      </c>
      <c r="E1321" s="15">
        <v>2</v>
      </c>
      <c r="F1321" s="16">
        <v>20</v>
      </c>
      <c r="G1321" s="17">
        <v>10</v>
      </c>
      <c r="H1321" s="16">
        <v>0</v>
      </c>
      <c r="I1321" s="17">
        <v>0</v>
      </c>
      <c r="J1321" s="15">
        <v>20</v>
      </c>
      <c r="K1321" s="45">
        <f t="shared" si="562"/>
        <v>8</v>
      </c>
      <c r="L1321" s="28">
        <v>2</v>
      </c>
      <c r="M1321" s="33">
        <f t="shared" si="553"/>
        <v>2</v>
      </c>
      <c r="N1321" s="1">
        <v>3817101200</v>
      </c>
    </row>
    <row r="1322" spans="1:14" ht="18" customHeight="1" x14ac:dyDescent="0.45">
      <c r="A1322" s="8">
        <v>1316</v>
      </c>
      <c r="B1322" s="34" t="s">
        <v>149</v>
      </c>
      <c r="C1322" s="34" t="s">
        <v>151</v>
      </c>
      <c r="D1322" s="9" t="s">
        <v>3</v>
      </c>
      <c r="E1322" s="10">
        <v>1</v>
      </c>
      <c r="F1322" s="11">
        <v>15</v>
      </c>
      <c r="G1322" s="12">
        <v>15</v>
      </c>
      <c r="H1322" s="11">
        <v>14</v>
      </c>
      <c r="I1322" s="12">
        <v>14</v>
      </c>
      <c r="J1322" s="10">
        <v>29</v>
      </c>
      <c r="K1322" s="37">
        <f t="shared" ref="K1322" si="567">SUM(M1322:M1326)</f>
        <v>8</v>
      </c>
      <c r="L1322" s="28">
        <v>2</v>
      </c>
      <c r="M1322" s="33">
        <f t="shared" si="553"/>
        <v>2</v>
      </c>
      <c r="N1322" s="1">
        <v>3817131200</v>
      </c>
    </row>
    <row r="1323" spans="1:14" ht="18" customHeight="1" x14ac:dyDescent="0.45">
      <c r="A1323" s="8">
        <v>1317</v>
      </c>
      <c r="B1323" s="35" t="str">
        <f t="shared" ref="B1323:C1326" si="568">B1322</f>
        <v>西日本第二本部</v>
      </c>
      <c r="C1323" s="35" t="str">
        <f t="shared" si="568"/>
        <v>そんぽの家　川西鶴之荘</v>
      </c>
      <c r="D1323" s="9" t="s">
        <v>4</v>
      </c>
      <c r="E1323" s="10">
        <v>1</v>
      </c>
      <c r="F1323" s="11">
        <v>19</v>
      </c>
      <c r="G1323" s="12">
        <v>19</v>
      </c>
      <c r="H1323" s="11">
        <v>19</v>
      </c>
      <c r="I1323" s="12">
        <v>19</v>
      </c>
      <c r="J1323" s="10">
        <v>38</v>
      </c>
      <c r="K1323" s="38">
        <f t="shared" si="562"/>
        <v>8</v>
      </c>
      <c r="L1323" s="28">
        <v>2</v>
      </c>
      <c r="M1323" s="33">
        <f t="shared" si="553"/>
        <v>2</v>
      </c>
      <c r="N1323" s="1">
        <v>3817131200</v>
      </c>
    </row>
    <row r="1324" spans="1:14" ht="18" customHeight="1" x14ac:dyDescent="0.45">
      <c r="A1324" s="8">
        <v>1318</v>
      </c>
      <c r="B1324" s="35" t="str">
        <f t="shared" si="568"/>
        <v>西日本第二本部</v>
      </c>
      <c r="C1324" s="35" t="str">
        <f t="shared" si="568"/>
        <v>そんぽの家　川西鶴之荘</v>
      </c>
      <c r="D1324" s="9" t="s">
        <v>5</v>
      </c>
      <c r="E1324" s="10">
        <v>1</v>
      </c>
      <c r="F1324" s="11">
        <v>35</v>
      </c>
      <c r="G1324" s="12">
        <v>35</v>
      </c>
      <c r="H1324" s="11">
        <v>0</v>
      </c>
      <c r="I1324" s="12">
        <v>0</v>
      </c>
      <c r="J1324" s="10">
        <v>35</v>
      </c>
      <c r="K1324" s="38">
        <f t="shared" si="562"/>
        <v>8</v>
      </c>
      <c r="L1324" s="28">
        <v>2</v>
      </c>
      <c r="M1324" s="33">
        <f t="shared" si="553"/>
        <v>2</v>
      </c>
      <c r="N1324" s="1">
        <v>3817131200</v>
      </c>
    </row>
    <row r="1325" spans="1:14" ht="18" customHeight="1" x14ac:dyDescent="0.45">
      <c r="A1325" s="8">
        <v>1319</v>
      </c>
      <c r="B1325" s="35" t="str">
        <f t="shared" si="568"/>
        <v>西日本第二本部</v>
      </c>
      <c r="C1325" s="35" t="str">
        <f t="shared" si="568"/>
        <v>そんぽの家　川西鶴之荘</v>
      </c>
      <c r="D1325" s="9" t="s">
        <v>6</v>
      </c>
      <c r="E1325" s="10">
        <v>3</v>
      </c>
      <c r="F1325" s="11">
        <v>26</v>
      </c>
      <c r="G1325" s="12">
        <v>8.6999999999999993</v>
      </c>
      <c r="H1325" s="11">
        <v>0</v>
      </c>
      <c r="I1325" s="12">
        <v>0</v>
      </c>
      <c r="J1325" s="10">
        <v>26</v>
      </c>
      <c r="K1325" s="38">
        <f t="shared" si="562"/>
        <v>8</v>
      </c>
      <c r="L1325" s="28">
        <v>2</v>
      </c>
      <c r="M1325" s="33">
        <f t="shared" si="553"/>
        <v>2</v>
      </c>
      <c r="N1325" s="1">
        <v>3817131200</v>
      </c>
    </row>
    <row r="1326" spans="1:14" ht="18" customHeight="1" x14ac:dyDescent="0.45">
      <c r="A1326" s="8">
        <v>1320</v>
      </c>
      <c r="B1326" s="36" t="str">
        <f t="shared" si="568"/>
        <v>西日本第二本部</v>
      </c>
      <c r="C1326" s="36" t="str">
        <f t="shared" si="568"/>
        <v>そんぽの家　川西鶴之荘</v>
      </c>
      <c r="D1326" s="9" t="s">
        <v>2</v>
      </c>
      <c r="E1326" s="10">
        <v>1</v>
      </c>
      <c r="F1326" s="11">
        <v>2</v>
      </c>
      <c r="G1326" s="12">
        <v>2</v>
      </c>
      <c r="H1326" s="11">
        <v>0</v>
      </c>
      <c r="I1326" s="12">
        <v>0</v>
      </c>
      <c r="J1326" s="10">
        <v>2</v>
      </c>
      <c r="K1326" s="39">
        <f t="shared" si="562"/>
        <v>8</v>
      </c>
      <c r="L1326" s="28">
        <v>0</v>
      </c>
      <c r="M1326" s="33">
        <f t="shared" si="553"/>
        <v>0</v>
      </c>
      <c r="N1326" s="1">
        <v>3817131200</v>
      </c>
    </row>
    <row r="1327" spans="1:14" ht="18" customHeight="1" x14ac:dyDescent="0.45">
      <c r="A1327" s="13">
        <v>1321</v>
      </c>
      <c r="B1327" s="40" t="s">
        <v>149</v>
      </c>
      <c r="C1327" s="40" t="s">
        <v>315</v>
      </c>
      <c r="D1327" s="14" t="s">
        <v>3</v>
      </c>
      <c r="E1327" s="15">
        <v>1</v>
      </c>
      <c r="F1327" s="16">
        <v>17</v>
      </c>
      <c r="G1327" s="17">
        <v>17</v>
      </c>
      <c r="H1327" s="16">
        <v>17</v>
      </c>
      <c r="I1327" s="17">
        <v>17</v>
      </c>
      <c r="J1327" s="15">
        <v>34</v>
      </c>
      <c r="K1327" s="43">
        <f t="shared" ref="K1327" si="569">SUM(M1327:M1331)</f>
        <v>10</v>
      </c>
      <c r="L1327" s="28">
        <v>2</v>
      </c>
      <c r="M1327" s="33">
        <f t="shared" si="553"/>
        <v>2</v>
      </c>
      <c r="N1327" s="1">
        <v>3817161200</v>
      </c>
    </row>
    <row r="1328" spans="1:14" ht="18" customHeight="1" x14ac:dyDescent="0.45">
      <c r="A1328" s="13">
        <v>1322</v>
      </c>
      <c r="B1328" s="41" t="str">
        <f t="shared" ref="B1328:C1331" si="570">B1327</f>
        <v>西日本第二本部</v>
      </c>
      <c r="C1328" s="41" t="str">
        <f t="shared" si="570"/>
        <v>ラヴィーレ西宮</v>
      </c>
      <c r="D1328" s="14" t="s">
        <v>4</v>
      </c>
      <c r="E1328" s="15">
        <v>1</v>
      </c>
      <c r="F1328" s="16">
        <v>21</v>
      </c>
      <c r="G1328" s="17">
        <v>21</v>
      </c>
      <c r="H1328" s="16">
        <v>21</v>
      </c>
      <c r="I1328" s="17">
        <v>21</v>
      </c>
      <c r="J1328" s="15">
        <v>42</v>
      </c>
      <c r="K1328" s="44">
        <f t="shared" si="562"/>
        <v>10</v>
      </c>
      <c r="L1328" s="28">
        <v>2</v>
      </c>
      <c r="M1328" s="33">
        <f t="shared" si="553"/>
        <v>2</v>
      </c>
      <c r="N1328" s="1">
        <v>3817161200</v>
      </c>
    </row>
    <row r="1329" spans="1:14" ht="18" customHeight="1" x14ac:dyDescent="0.45">
      <c r="A1329" s="13">
        <v>1323</v>
      </c>
      <c r="B1329" s="41" t="str">
        <f t="shared" si="570"/>
        <v>西日本第二本部</v>
      </c>
      <c r="C1329" s="41" t="str">
        <f t="shared" si="570"/>
        <v>ラヴィーレ西宮</v>
      </c>
      <c r="D1329" s="14" t="s">
        <v>5</v>
      </c>
      <c r="E1329" s="15">
        <v>1</v>
      </c>
      <c r="F1329" s="16">
        <v>19</v>
      </c>
      <c r="G1329" s="17">
        <v>19</v>
      </c>
      <c r="H1329" s="16">
        <v>0</v>
      </c>
      <c r="I1329" s="17">
        <v>0</v>
      </c>
      <c r="J1329" s="15">
        <v>19</v>
      </c>
      <c r="K1329" s="44">
        <f t="shared" si="562"/>
        <v>10</v>
      </c>
      <c r="L1329" s="28">
        <v>2</v>
      </c>
      <c r="M1329" s="33">
        <f t="shared" si="553"/>
        <v>2</v>
      </c>
      <c r="N1329" s="1">
        <v>3817161200</v>
      </c>
    </row>
    <row r="1330" spans="1:14" ht="18" customHeight="1" x14ac:dyDescent="0.45">
      <c r="A1330" s="13">
        <v>1324</v>
      </c>
      <c r="B1330" s="41" t="str">
        <f t="shared" si="570"/>
        <v>西日本第二本部</v>
      </c>
      <c r="C1330" s="41" t="str">
        <f t="shared" si="570"/>
        <v>ラヴィーレ西宮</v>
      </c>
      <c r="D1330" s="14" t="s">
        <v>6</v>
      </c>
      <c r="E1330" s="15">
        <v>3</v>
      </c>
      <c r="F1330" s="16">
        <v>23</v>
      </c>
      <c r="G1330" s="17">
        <v>7.7</v>
      </c>
      <c r="H1330" s="16">
        <v>0</v>
      </c>
      <c r="I1330" s="17">
        <v>0</v>
      </c>
      <c r="J1330" s="15">
        <v>23</v>
      </c>
      <c r="K1330" s="44">
        <f t="shared" si="562"/>
        <v>10</v>
      </c>
      <c r="L1330" s="28">
        <v>2</v>
      </c>
      <c r="M1330" s="33">
        <f t="shared" si="553"/>
        <v>2</v>
      </c>
      <c r="N1330" s="1">
        <v>3817161200</v>
      </c>
    </row>
    <row r="1331" spans="1:14" ht="18" customHeight="1" x14ac:dyDescent="0.45">
      <c r="A1331" s="13">
        <v>1325</v>
      </c>
      <c r="B1331" s="42" t="str">
        <f t="shared" si="570"/>
        <v>西日本第二本部</v>
      </c>
      <c r="C1331" s="42" t="str">
        <f t="shared" si="570"/>
        <v>ラヴィーレ西宮</v>
      </c>
      <c r="D1331" s="14" t="s">
        <v>2</v>
      </c>
      <c r="E1331" s="15">
        <v>1</v>
      </c>
      <c r="F1331" s="16">
        <v>14</v>
      </c>
      <c r="G1331" s="17">
        <v>14</v>
      </c>
      <c r="H1331" s="16">
        <v>0</v>
      </c>
      <c r="I1331" s="17">
        <v>0</v>
      </c>
      <c r="J1331" s="15">
        <v>14</v>
      </c>
      <c r="K1331" s="45">
        <f t="shared" si="562"/>
        <v>10</v>
      </c>
      <c r="L1331" s="28">
        <v>2</v>
      </c>
      <c r="M1331" s="33">
        <f t="shared" si="553"/>
        <v>2</v>
      </c>
      <c r="N1331" s="1">
        <v>3817161200</v>
      </c>
    </row>
    <row r="1332" spans="1:14" ht="18" customHeight="1" x14ac:dyDescent="0.45">
      <c r="A1332" s="8">
        <v>1326</v>
      </c>
      <c r="B1332" s="34" t="s">
        <v>149</v>
      </c>
      <c r="C1332" s="34" t="s">
        <v>152</v>
      </c>
      <c r="D1332" s="9" t="s">
        <v>3</v>
      </c>
      <c r="E1332" s="10">
        <v>1</v>
      </c>
      <c r="F1332" s="11">
        <v>8</v>
      </c>
      <c r="G1332" s="12">
        <v>8</v>
      </c>
      <c r="H1332" s="11">
        <v>1</v>
      </c>
      <c r="I1332" s="12">
        <v>1</v>
      </c>
      <c r="J1332" s="10">
        <v>9</v>
      </c>
      <c r="K1332" s="37">
        <f t="shared" ref="K1332" si="571">SUM(M1332:M1336)</f>
        <v>10</v>
      </c>
      <c r="L1332" s="28">
        <v>2</v>
      </c>
      <c r="M1332" s="33">
        <f t="shared" si="553"/>
        <v>2</v>
      </c>
      <c r="N1332" s="1">
        <v>3817181100</v>
      </c>
    </row>
    <row r="1333" spans="1:14" ht="18" customHeight="1" x14ac:dyDescent="0.45">
      <c r="A1333" s="8">
        <v>1327</v>
      </c>
      <c r="B1333" s="35" t="str">
        <f t="shared" ref="B1333:C1336" si="572">B1332</f>
        <v>西日本第二本部</v>
      </c>
      <c r="C1333" s="35" t="str">
        <f t="shared" si="572"/>
        <v>そんぽの家　武庫之荘</v>
      </c>
      <c r="D1333" s="9" t="s">
        <v>4</v>
      </c>
      <c r="E1333" s="10">
        <v>1</v>
      </c>
      <c r="F1333" s="11">
        <v>23</v>
      </c>
      <c r="G1333" s="12">
        <v>23</v>
      </c>
      <c r="H1333" s="11">
        <v>17</v>
      </c>
      <c r="I1333" s="12">
        <v>17</v>
      </c>
      <c r="J1333" s="10">
        <v>40</v>
      </c>
      <c r="K1333" s="38">
        <f t="shared" si="562"/>
        <v>10</v>
      </c>
      <c r="L1333" s="28">
        <v>2</v>
      </c>
      <c r="M1333" s="33">
        <f t="shared" si="553"/>
        <v>2</v>
      </c>
      <c r="N1333" s="1">
        <v>3817181100</v>
      </c>
    </row>
    <row r="1334" spans="1:14" ht="18" customHeight="1" x14ac:dyDescent="0.45">
      <c r="A1334" s="8">
        <v>1328</v>
      </c>
      <c r="B1334" s="35" t="str">
        <f t="shared" si="572"/>
        <v>西日本第二本部</v>
      </c>
      <c r="C1334" s="35" t="str">
        <f t="shared" si="572"/>
        <v>そんぽの家　武庫之荘</v>
      </c>
      <c r="D1334" s="9" t="s">
        <v>5</v>
      </c>
      <c r="E1334" s="10">
        <v>1</v>
      </c>
      <c r="F1334" s="11">
        <v>23</v>
      </c>
      <c r="G1334" s="12">
        <v>23</v>
      </c>
      <c r="H1334" s="11">
        <v>0</v>
      </c>
      <c r="I1334" s="12">
        <v>0</v>
      </c>
      <c r="J1334" s="10">
        <v>23</v>
      </c>
      <c r="K1334" s="38">
        <f t="shared" si="562"/>
        <v>10</v>
      </c>
      <c r="L1334" s="28">
        <v>2</v>
      </c>
      <c r="M1334" s="33">
        <f t="shared" si="553"/>
        <v>2</v>
      </c>
      <c r="N1334" s="1">
        <v>3817181100</v>
      </c>
    </row>
    <row r="1335" spans="1:14" ht="18" customHeight="1" x14ac:dyDescent="0.45">
      <c r="A1335" s="8">
        <v>1329</v>
      </c>
      <c r="B1335" s="35" t="str">
        <f t="shared" si="572"/>
        <v>西日本第二本部</v>
      </c>
      <c r="C1335" s="35" t="str">
        <f t="shared" si="572"/>
        <v>そんぽの家　武庫之荘</v>
      </c>
      <c r="D1335" s="9" t="s">
        <v>6</v>
      </c>
      <c r="E1335" s="10">
        <v>3</v>
      </c>
      <c r="F1335" s="11">
        <v>47</v>
      </c>
      <c r="G1335" s="12">
        <v>15.7</v>
      </c>
      <c r="H1335" s="11">
        <v>0</v>
      </c>
      <c r="I1335" s="12">
        <v>0</v>
      </c>
      <c r="J1335" s="10">
        <v>47</v>
      </c>
      <c r="K1335" s="38">
        <f t="shared" si="562"/>
        <v>10</v>
      </c>
      <c r="L1335" s="28">
        <v>2</v>
      </c>
      <c r="M1335" s="33">
        <f t="shared" si="553"/>
        <v>2</v>
      </c>
      <c r="N1335" s="1">
        <v>3817181100</v>
      </c>
    </row>
    <row r="1336" spans="1:14" ht="18" customHeight="1" x14ac:dyDescent="0.45">
      <c r="A1336" s="8">
        <v>1330</v>
      </c>
      <c r="B1336" s="36" t="str">
        <f t="shared" si="572"/>
        <v>西日本第二本部</v>
      </c>
      <c r="C1336" s="36" t="str">
        <f t="shared" si="572"/>
        <v>そんぽの家　武庫之荘</v>
      </c>
      <c r="D1336" s="9" t="s">
        <v>2</v>
      </c>
      <c r="E1336" s="10">
        <v>1</v>
      </c>
      <c r="F1336" s="11">
        <v>13</v>
      </c>
      <c r="G1336" s="12">
        <v>13</v>
      </c>
      <c r="H1336" s="11">
        <v>0</v>
      </c>
      <c r="I1336" s="12">
        <v>0</v>
      </c>
      <c r="J1336" s="10">
        <v>13</v>
      </c>
      <c r="K1336" s="39">
        <f t="shared" si="562"/>
        <v>10</v>
      </c>
      <c r="L1336" s="28">
        <v>2</v>
      </c>
      <c r="M1336" s="33">
        <f t="shared" si="553"/>
        <v>2</v>
      </c>
      <c r="N1336" s="1">
        <v>3817181100</v>
      </c>
    </row>
    <row r="1337" spans="1:14" ht="18" customHeight="1" x14ac:dyDescent="0.45">
      <c r="A1337" s="13">
        <v>1331</v>
      </c>
      <c r="B1337" s="40" t="s">
        <v>149</v>
      </c>
      <c r="C1337" s="40" t="s">
        <v>153</v>
      </c>
      <c r="D1337" s="14" t="s">
        <v>3</v>
      </c>
      <c r="E1337" s="15">
        <v>1</v>
      </c>
      <c r="F1337" s="16">
        <v>30</v>
      </c>
      <c r="G1337" s="17">
        <v>30</v>
      </c>
      <c r="H1337" s="16">
        <v>18</v>
      </c>
      <c r="I1337" s="17">
        <v>18</v>
      </c>
      <c r="J1337" s="15">
        <v>48</v>
      </c>
      <c r="K1337" s="43">
        <f t="shared" ref="K1337" si="573">SUM(M1337:M1341)</f>
        <v>8</v>
      </c>
      <c r="L1337" s="28">
        <v>2</v>
      </c>
      <c r="M1337" s="33">
        <f t="shared" si="553"/>
        <v>2</v>
      </c>
      <c r="N1337" s="1">
        <v>3817191200</v>
      </c>
    </row>
    <row r="1338" spans="1:14" ht="18" customHeight="1" x14ac:dyDescent="0.45">
      <c r="A1338" s="13">
        <v>1332</v>
      </c>
      <c r="B1338" s="41" t="str">
        <f t="shared" ref="B1338:C1341" si="574">B1337</f>
        <v>西日本第二本部</v>
      </c>
      <c r="C1338" s="41" t="str">
        <f t="shared" si="574"/>
        <v>そんぽの家　尼崎田能</v>
      </c>
      <c r="D1338" s="14" t="s">
        <v>4</v>
      </c>
      <c r="E1338" s="15">
        <v>2</v>
      </c>
      <c r="F1338" s="16">
        <v>7</v>
      </c>
      <c r="G1338" s="17">
        <v>3.5</v>
      </c>
      <c r="H1338" s="16">
        <v>0</v>
      </c>
      <c r="I1338" s="17">
        <v>0</v>
      </c>
      <c r="J1338" s="15">
        <v>7</v>
      </c>
      <c r="K1338" s="44">
        <f t="shared" si="562"/>
        <v>8</v>
      </c>
      <c r="L1338" s="28">
        <v>1</v>
      </c>
      <c r="M1338" s="33">
        <f t="shared" si="553"/>
        <v>1</v>
      </c>
      <c r="N1338" s="1">
        <v>3817191200</v>
      </c>
    </row>
    <row r="1339" spans="1:14" ht="18" customHeight="1" x14ac:dyDescent="0.45">
      <c r="A1339" s="13">
        <v>1333</v>
      </c>
      <c r="B1339" s="41" t="str">
        <f t="shared" si="574"/>
        <v>西日本第二本部</v>
      </c>
      <c r="C1339" s="41" t="str">
        <f t="shared" si="574"/>
        <v>そんぽの家　尼崎田能</v>
      </c>
      <c r="D1339" s="14" t="s">
        <v>5</v>
      </c>
      <c r="E1339" s="15">
        <v>1</v>
      </c>
      <c r="F1339" s="16">
        <v>23</v>
      </c>
      <c r="G1339" s="17">
        <v>23</v>
      </c>
      <c r="H1339" s="16">
        <v>0</v>
      </c>
      <c r="I1339" s="17">
        <v>0</v>
      </c>
      <c r="J1339" s="15">
        <v>23</v>
      </c>
      <c r="K1339" s="44">
        <f t="shared" si="562"/>
        <v>8</v>
      </c>
      <c r="L1339" s="28">
        <v>2</v>
      </c>
      <c r="M1339" s="33">
        <f t="shared" si="553"/>
        <v>2</v>
      </c>
      <c r="N1339" s="1">
        <v>3817191200</v>
      </c>
    </row>
    <row r="1340" spans="1:14" ht="18" customHeight="1" x14ac:dyDescent="0.45">
      <c r="A1340" s="13">
        <v>1334</v>
      </c>
      <c r="B1340" s="41" t="str">
        <f t="shared" si="574"/>
        <v>西日本第二本部</v>
      </c>
      <c r="C1340" s="41" t="str">
        <f t="shared" si="574"/>
        <v>そんぽの家　尼崎田能</v>
      </c>
      <c r="D1340" s="14" t="s">
        <v>6</v>
      </c>
      <c r="E1340" s="15">
        <v>3</v>
      </c>
      <c r="F1340" s="16">
        <v>29</v>
      </c>
      <c r="G1340" s="17">
        <v>9.6999999999999993</v>
      </c>
      <c r="H1340" s="16">
        <v>0</v>
      </c>
      <c r="I1340" s="17">
        <v>0</v>
      </c>
      <c r="J1340" s="15">
        <v>29</v>
      </c>
      <c r="K1340" s="44">
        <f t="shared" si="562"/>
        <v>8</v>
      </c>
      <c r="L1340" s="28">
        <v>2</v>
      </c>
      <c r="M1340" s="33">
        <f t="shared" si="553"/>
        <v>2</v>
      </c>
      <c r="N1340" s="1">
        <v>3817191200</v>
      </c>
    </row>
    <row r="1341" spans="1:14" ht="18" customHeight="1" x14ac:dyDescent="0.45">
      <c r="A1341" s="13">
        <v>1335</v>
      </c>
      <c r="B1341" s="42" t="str">
        <f t="shared" si="574"/>
        <v>西日本第二本部</v>
      </c>
      <c r="C1341" s="42" t="str">
        <f t="shared" si="574"/>
        <v>そんぽの家　尼崎田能</v>
      </c>
      <c r="D1341" s="14" t="s">
        <v>2</v>
      </c>
      <c r="E1341" s="15">
        <v>1</v>
      </c>
      <c r="F1341" s="16">
        <v>6</v>
      </c>
      <c r="G1341" s="17">
        <v>6</v>
      </c>
      <c r="H1341" s="16">
        <v>0</v>
      </c>
      <c r="I1341" s="17">
        <v>0</v>
      </c>
      <c r="J1341" s="15">
        <v>6</v>
      </c>
      <c r="K1341" s="45">
        <f t="shared" si="562"/>
        <v>8</v>
      </c>
      <c r="L1341" s="28">
        <v>1</v>
      </c>
      <c r="M1341" s="33">
        <f t="shared" si="553"/>
        <v>1</v>
      </c>
      <c r="N1341" s="1">
        <v>3817191200</v>
      </c>
    </row>
    <row r="1342" spans="1:14" ht="18" customHeight="1" x14ac:dyDescent="0.45">
      <c r="A1342" s="8">
        <v>1336</v>
      </c>
      <c r="B1342" s="34" t="s">
        <v>149</v>
      </c>
      <c r="C1342" s="34" t="s">
        <v>316</v>
      </c>
      <c r="D1342" s="9" t="s">
        <v>3</v>
      </c>
      <c r="E1342" s="10">
        <v>1</v>
      </c>
      <c r="F1342" s="11">
        <v>11</v>
      </c>
      <c r="G1342" s="12">
        <v>11</v>
      </c>
      <c r="H1342" s="11">
        <v>11</v>
      </c>
      <c r="I1342" s="12">
        <v>11</v>
      </c>
      <c r="J1342" s="10">
        <v>22</v>
      </c>
      <c r="K1342" s="37">
        <f t="shared" ref="K1342" si="575">SUM(M1342:M1346)</f>
        <v>10</v>
      </c>
      <c r="L1342" s="28">
        <v>2</v>
      </c>
      <c r="M1342" s="33">
        <f t="shared" si="553"/>
        <v>2</v>
      </c>
      <c r="N1342" s="1">
        <v>3817221200</v>
      </c>
    </row>
    <row r="1343" spans="1:14" ht="18" customHeight="1" x14ac:dyDescent="0.45">
      <c r="A1343" s="8">
        <v>1337</v>
      </c>
      <c r="B1343" s="35" t="str">
        <f t="shared" ref="B1343:C1346" si="576">B1342</f>
        <v>西日本第二本部</v>
      </c>
      <c r="C1343" s="35" t="str">
        <f t="shared" si="576"/>
        <v>ラヴィーレ神戸伊川谷</v>
      </c>
      <c r="D1343" s="9" t="s">
        <v>4</v>
      </c>
      <c r="E1343" s="10">
        <v>1</v>
      </c>
      <c r="F1343" s="11">
        <v>25</v>
      </c>
      <c r="G1343" s="12">
        <v>25</v>
      </c>
      <c r="H1343" s="11">
        <v>23</v>
      </c>
      <c r="I1343" s="12">
        <v>23</v>
      </c>
      <c r="J1343" s="10">
        <v>48</v>
      </c>
      <c r="K1343" s="38">
        <f t="shared" si="562"/>
        <v>10</v>
      </c>
      <c r="L1343" s="28">
        <v>2</v>
      </c>
      <c r="M1343" s="33">
        <f t="shared" si="553"/>
        <v>2</v>
      </c>
      <c r="N1343" s="1">
        <v>3817221200</v>
      </c>
    </row>
    <row r="1344" spans="1:14" ht="18" customHeight="1" x14ac:dyDescent="0.45">
      <c r="A1344" s="8">
        <v>1338</v>
      </c>
      <c r="B1344" s="35" t="str">
        <f t="shared" si="576"/>
        <v>西日本第二本部</v>
      </c>
      <c r="C1344" s="35" t="str">
        <f t="shared" si="576"/>
        <v>ラヴィーレ神戸伊川谷</v>
      </c>
      <c r="D1344" s="9" t="s">
        <v>5</v>
      </c>
      <c r="E1344" s="10">
        <v>2</v>
      </c>
      <c r="F1344" s="11">
        <v>36</v>
      </c>
      <c r="G1344" s="12">
        <v>18</v>
      </c>
      <c r="H1344" s="11">
        <v>0</v>
      </c>
      <c r="I1344" s="12">
        <v>0</v>
      </c>
      <c r="J1344" s="10">
        <v>36</v>
      </c>
      <c r="K1344" s="38">
        <f t="shared" si="562"/>
        <v>10</v>
      </c>
      <c r="L1344" s="28">
        <v>2</v>
      </c>
      <c r="M1344" s="33">
        <f t="shared" si="553"/>
        <v>2</v>
      </c>
      <c r="N1344" s="1">
        <v>3817221200</v>
      </c>
    </row>
    <row r="1345" spans="1:14" ht="18" customHeight="1" x14ac:dyDescent="0.45">
      <c r="A1345" s="8">
        <v>1339</v>
      </c>
      <c r="B1345" s="35" t="str">
        <f t="shared" si="576"/>
        <v>西日本第二本部</v>
      </c>
      <c r="C1345" s="35" t="str">
        <f t="shared" si="576"/>
        <v>ラヴィーレ神戸伊川谷</v>
      </c>
      <c r="D1345" s="9" t="s">
        <v>6</v>
      </c>
      <c r="E1345" s="10">
        <v>5</v>
      </c>
      <c r="F1345" s="11">
        <v>17</v>
      </c>
      <c r="G1345" s="12">
        <v>3.4</v>
      </c>
      <c r="H1345" s="11">
        <v>0</v>
      </c>
      <c r="I1345" s="12">
        <v>0</v>
      </c>
      <c r="J1345" s="10">
        <v>17</v>
      </c>
      <c r="K1345" s="38">
        <f t="shared" si="562"/>
        <v>10</v>
      </c>
      <c r="L1345" s="28">
        <v>2</v>
      </c>
      <c r="M1345" s="33">
        <f t="shared" si="553"/>
        <v>2</v>
      </c>
      <c r="N1345" s="1">
        <v>3817221200</v>
      </c>
    </row>
    <row r="1346" spans="1:14" ht="18" customHeight="1" x14ac:dyDescent="0.45">
      <c r="A1346" s="8">
        <v>1340</v>
      </c>
      <c r="B1346" s="36" t="str">
        <f t="shared" si="576"/>
        <v>西日本第二本部</v>
      </c>
      <c r="C1346" s="36" t="str">
        <f t="shared" si="576"/>
        <v>ラヴィーレ神戸伊川谷</v>
      </c>
      <c r="D1346" s="9" t="s">
        <v>2</v>
      </c>
      <c r="E1346" s="10">
        <v>2</v>
      </c>
      <c r="F1346" s="11">
        <v>35</v>
      </c>
      <c r="G1346" s="12">
        <v>17.5</v>
      </c>
      <c r="H1346" s="11">
        <v>0</v>
      </c>
      <c r="I1346" s="12">
        <v>0</v>
      </c>
      <c r="J1346" s="10">
        <v>35</v>
      </c>
      <c r="K1346" s="39">
        <f t="shared" si="562"/>
        <v>10</v>
      </c>
      <c r="L1346" s="28">
        <v>2</v>
      </c>
      <c r="M1346" s="33">
        <f t="shared" si="553"/>
        <v>2</v>
      </c>
      <c r="N1346" s="1">
        <v>3817221200</v>
      </c>
    </row>
    <row r="1347" spans="1:14" ht="18" customHeight="1" x14ac:dyDescent="0.45">
      <c r="A1347" s="13">
        <v>1341</v>
      </c>
      <c r="B1347" s="40" t="s">
        <v>149</v>
      </c>
      <c r="C1347" s="40" t="s">
        <v>154</v>
      </c>
      <c r="D1347" s="14" t="s">
        <v>3</v>
      </c>
      <c r="E1347" s="15">
        <v>1</v>
      </c>
      <c r="F1347" s="16">
        <v>0</v>
      </c>
      <c r="G1347" s="17">
        <v>0</v>
      </c>
      <c r="H1347" s="16">
        <v>0</v>
      </c>
      <c r="I1347" s="17">
        <v>0</v>
      </c>
      <c r="J1347" s="15">
        <v>0</v>
      </c>
      <c r="K1347" s="43">
        <f t="shared" ref="K1347" si="577">SUM(M1347:M1351)</f>
        <v>7</v>
      </c>
      <c r="L1347" s="28">
        <v>0</v>
      </c>
      <c r="M1347" s="33">
        <f t="shared" si="553"/>
        <v>0</v>
      </c>
      <c r="N1347" s="1">
        <v>3817231200</v>
      </c>
    </row>
    <row r="1348" spans="1:14" ht="18" customHeight="1" x14ac:dyDescent="0.45">
      <c r="A1348" s="13">
        <v>1342</v>
      </c>
      <c r="B1348" s="41" t="str">
        <f t="shared" ref="B1348:C1351" si="578">B1347</f>
        <v>西日本第二本部</v>
      </c>
      <c r="C1348" s="41" t="str">
        <f t="shared" si="578"/>
        <v>そんぽの家　神戸垂水</v>
      </c>
      <c r="D1348" s="14" t="s">
        <v>4</v>
      </c>
      <c r="E1348" s="15">
        <v>1</v>
      </c>
      <c r="F1348" s="16">
        <v>8</v>
      </c>
      <c r="G1348" s="17">
        <v>8</v>
      </c>
      <c r="H1348" s="16">
        <v>0</v>
      </c>
      <c r="I1348" s="17">
        <v>0</v>
      </c>
      <c r="J1348" s="15">
        <v>8</v>
      </c>
      <c r="K1348" s="44">
        <f t="shared" si="562"/>
        <v>7</v>
      </c>
      <c r="L1348" s="28">
        <v>2</v>
      </c>
      <c r="M1348" s="33">
        <f t="shared" si="553"/>
        <v>2</v>
      </c>
      <c r="N1348" s="1">
        <v>3817231200</v>
      </c>
    </row>
    <row r="1349" spans="1:14" ht="18" customHeight="1" x14ac:dyDescent="0.45">
      <c r="A1349" s="13">
        <v>1343</v>
      </c>
      <c r="B1349" s="41" t="str">
        <f t="shared" si="578"/>
        <v>西日本第二本部</v>
      </c>
      <c r="C1349" s="41" t="str">
        <f t="shared" si="578"/>
        <v>そんぽの家　神戸垂水</v>
      </c>
      <c r="D1349" s="14" t="s">
        <v>5</v>
      </c>
      <c r="E1349" s="15">
        <v>1</v>
      </c>
      <c r="F1349" s="16">
        <v>19</v>
      </c>
      <c r="G1349" s="17">
        <v>19</v>
      </c>
      <c r="H1349" s="16">
        <v>0</v>
      </c>
      <c r="I1349" s="17">
        <v>0</v>
      </c>
      <c r="J1349" s="15">
        <v>19</v>
      </c>
      <c r="K1349" s="44">
        <f t="shared" si="562"/>
        <v>7</v>
      </c>
      <c r="L1349" s="28">
        <v>2</v>
      </c>
      <c r="M1349" s="33">
        <f t="shared" si="553"/>
        <v>2</v>
      </c>
      <c r="N1349" s="1">
        <v>3817231200</v>
      </c>
    </row>
    <row r="1350" spans="1:14" ht="18" customHeight="1" x14ac:dyDescent="0.45">
      <c r="A1350" s="13">
        <v>1344</v>
      </c>
      <c r="B1350" s="41" t="str">
        <f t="shared" si="578"/>
        <v>西日本第二本部</v>
      </c>
      <c r="C1350" s="41" t="str">
        <f t="shared" si="578"/>
        <v>そんぽの家　神戸垂水</v>
      </c>
      <c r="D1350" s="14" t="s">
        <v>6</v>
      </c>
      <c r="E1350" s="15">
        <v>3</v>
      </c>
      <c r="F1350" s="16">
        <v>15</v>
      </c>
      <c r="G1350" s="17">
        <v>5</v>
      </c>
      <c r="H1350" s="16">
        <v>0</v>
      </c>
      <c r="I1350" s="17">
        <v>0</v>
      </c>
      <c r="J1350" s="15">
        <v>15</v>
      </c>
      <c r="K1350" s="44">
        <f t="shared" si="562"/>
        <v>7</v>
      </c>
      <c r="L1350" s="28">
        <v>2</v>
      </c>
      <c r="M1350" s="33">
        <f t="shared" si="553"/>
        <v>2</v>
      </c>
      <c r="N1350" s="1">
        <v>3817231200</v>
      </c>
    </row>
    <row r="1351" spans="1:14" ht="18" customHeight="1" x14ac:dyDescent="0.45">
      <c r="A1351" s="13">
        <v>1345</v>
      </c>
      <c r="B1351" s="42" t="str">
        <f t="shared" si="578"/>
        <v>西日本第二本部</v>
      </c>
      <c r="C1351" s="42" t="str">
        <f t="shared" si="578"/>
        <v>そんぽの家　神戸垂水</v>
      </c>
      <c r="D1351" s="14" t="s">
        <v>2</v>
      </c>
      <c r="E1351" s="15">
        <v>2</v>
      </c>
      <c r="F1351" s="16">
        <v>4</v>
      </c>
      <c r="G1351" s="17">
        <v>2</v>
      </c>
      <c r="H1351" s="16">
        <v>1</v>
      </c>
      <c r="I1351" s="17">
        <v>0.5</v>
      </c>
      <c r="J1351" s="15">
        <v>5</v>
      </c>
      <c r="K1351" s="45">
        <f t="shared" si="562"/>
        <v>7</v>
      </c>
      <c r="L1351" s="28">
        <v>1</v>
      </c>
      <c r="M1351" s="33">
        <f t="shared" si="553"/>
        <v>1</v>
      </c>
      <c r="N1351" s="1">
        <v>3817231200</v>
      </c>
    </row>
    <row r="1352" spans="1:14" ht="18" customHeight="1" x14ac:dyDescent="0.45">
      <c r="A1352" s="8">
        <v>1346</v>
      </c>
      <c r="B1352" s="34" t="s">
        <v>149</v>
      </c>
      <c r="C1352" s="34" t="s">
        <v>155</v>
      </c>
      <c r="D1352" s="9" t="s">
        <v>3</v>
      </c>
      <c r="E1352" s="10">
        <v>1</v>
      </c>
      <c r="F1352" s="11">
        <v>0</v>
      </c>
      <c r="G1352" s="12">
        <v>0</v>
      </c>
      <c r="H1352" s="11">
        <v>0</v>
      </c>
      <c r="I1352" s="12">
        <v>0</v>
      </c>
      <c r="J1352" s="10">
        <v>0</v>
      </c>
      <c r="K1352" s="37">
        <f t="shared" ref="K1352" si="579">SUM(M1352:M1356)</f>
        <v>4</v>
      </c>
      <c r="L1352" s="28">
        <v>0</v>
      </c>
      <c r="M1352" s="33">
        <f t="shared" ref="M1352:M1415" si="580">L1352</f>
        <v>0</v>
      </c>
      <c r="N1352" s="1">
        <v>3817241200</v>
      </c>
    </row>
    <row r="1353" spans="1:14" ht="18" customHeight="1" x14ac:dyDescent="0.45">
      <c r="A1353" s="8">
        <v>1347</v>
      </c>
      <c r="B1353" s="35" t="str">
        <f t="shared" ref="B1353:C1356" si="581">B1352</f>
        <v>西日本第二本部</v>
      </c>
      <c r="C1353" s="35" t="str">
        <f t="shared" si="581"/>
        <v>そんぽの家　南多聞台</v>
      </c>
      <c r="D1353" s="9" t="s">
        <v>4</v>
      </c>
      <c r="E1353" s="10">
        <v>1</v>
      </c>
      <c r="F1353" s="11">
        <v>0</v>
      </c>
      <c r="G1353" s="12">
        <v>0</v>
      </c>
      <c r="H1353" s="11">
        <v>0</v>
      </c>
      <c r="I1353" s="12">
        <v>0</v>
      </c>
      <c r="J1353" s="10">
        <v>0</v>
      </c>
      <c r="K1353" s="38">
        <f t="shared" si="562"/>
        <v>4</v>
      </c>
      <c r="L1353" s="28">
        <v>0</v>
      </c>
      <c r="M1353" s="33">
        <f t="shared" si="580"/>
        <v>0</v>
      </c>
      <c r="N1353" s="1">
        <v>3817241200</v>
      </c>
    </row>
    <row r="1354" spans="1:14" ht="18" customHeight="1" x14ac:dyDescent="0.45">
      <c r="A1354" s="8">
        <v>1348</v>
      </c>
      <c r="B1354" s="35" t="str">
        <f t="shared" si="581"/>
        <v>西日本第二本部</v>
      </c>
      <c r="C1354" s="35" t="str">
        <f t="shared" si="581"/>
        <v>そんぽの家　南多聞台</v>
      </c>
      <c r="D1354" s="9" t="s">
        <v>5</v>
      </c>
      <c r="E1354" s="10">
        <v>1</v>
      </c>
      <c r="F1354" s="11">
        <v>37</v>
      </c>
      <c r="G1354" s="12">
        <v>37</v>
      </c>
      <c r="H1354" s="11">
        <v>0</v>
      </c>
      <c r="I1354" s="12">
        <v>0</v>
      </c>
      <c r="J1354" s="10">
        <v>37</v>
      </c>
      <c r="K1354" s="38">
        <f t="shared" si="562"/>
        <v>4</v>
      </c>
      <c r="L1354" s="28">
        <v>2</v>
      </c>
      <c r="M1354" s="33">
        <f t="shared" si="580"/>
        <v>2</v>
      </c>
      <c r="N1354" s="1">
        <v>3817241200</v>
      </c>
    </row>
    <row r="1355" spans="1:14" ht="18" customHeight="1" x14ac:dyDescent="0.45">
      <c r="A1355" s="8">
        <v>1349</v>
      </c>
      <c r="B1355" s="35" t="str">
        <f t="shared" si="581"/>
        <v>西日本第二本部</v>
      </c>
      <c r="C1355" s="35" t="str">
        <f t="shared" si="581"/>
        <v>そんぽの家　南多聞台</v>
      </c>
      <c r="D1355" s="9" t="s">
        <v>6</v>
      </c>
      <c r="E1355" s="10">
        <v>4</v>
      </c>
      <c r="F1355" s="11">
        <v>0</v>
      </c>
      <c r="G1355" s="12">
        <v>0</v>
      </c>
      <c r="H1355" s="11">
        <v>0</v>
      </c>
      <c r="I1355" s="12">
        <v>0</v>
      </c>
      <c r="J1355" s="10">
        <v>0</v>
      </c>
      <c r="K1355" s="38">
        <f t="shared" si="562"/>
        <v>4</v>
      </c>
      <c r="L1355" s="28">
        <v>0</v>
      </c>
      <c r="M1355" s="33">
        <f t="shared" si="580"/>
        <v>0</v>
      </c>
      <c r="N1355" s="1">
        <v>3817241200</v>
      </c>
    </row>
    <row r="1356" spans="1:14" ht="18" customHeight="1" x14ac:dyDescent="0.45">
      <c r="A1356" s="8">
        <v>1350</v>
      </c>
      <c r="B1356" s="36" t="str">
        <f t="shared" si="581"/>
        <v>西日本第二本部</v>
      </c>
      <c r="C1356" s="36" t="str">
        <f t="shared" si="581"/>
        <v>そんぽの家　南多聞台</v>
      </c>
      <c r="D1356" s="9" t="s">
        <v>2</v>
      </c>
      <c r="E1356" s="10">
        <v>2</v>
      </c>
      <c r="F1356" s="11">
        <v>5</v>
      </c>
      <c r="G1356" s="12">
        <v>2.5</v>
      </c>
      <c r="H1356" s="11">
        <v>3</v>
      </c>
      <c r="I1356" s="12">
        <v>1.5</v>
      </c>
      <c r="J1356" s="10">
        <v>8</v>
      </c>
      <c r="K1356" s="39">
        <f t="shared" si="562"/>
        <v>4</v>
      </c>
      <c r="L1356" s="28">
        <v>2</v>
      </c>
      <c r="M1356" s="33">
        <f t="shared" si="580"/>
        <v>2</v>
      </c>
      <c r="N1356" s="1">
        <v>3817241200</v>
      </c>
    </row>
    <row r="1357" spans="1:14" ht="18" customHeight="1" x14ac:dyDescent="0.45">
      <c r="A1357" s="13">
        <v>1351</v>
      </c>
      <c r="B1357" s="40" t="s">
        <v>149</v>
      </c>
      <c r="C1357" s="40" t="s">
        <v>317</v>
      </c>
      <c r="D1357" s="14" t="s">
        <v>3</v>
      </c>
      <c r="E1357" s="15">
        <v>1</v>
      </c>
      <c r="F1357" s="16">
        <v>4</v>
      </c>
      <c r="G1357" s="17">
        <v>4</v>
      </c>
      <c r="H1357" s="16">
        <v>2</v>
      </c>
      <c r="I1357" s="17">
        <v>2</v>
      </c>
      <c r="J1357" s="15">
        <v>6</v>
      </c>
      <c r="K1357" s="43">
        <f t="shared" ref="K1357" si="582">SUM(M1357:M1361)</f>
        <v>5</v>
      </c>
      <c r="L1357" s="28">
        <v>1</v>
      </c>
      <c r="M1357" s="33">
        <f t="shared" si="580"/>
        <v>1</v>
      </c>
      <c r="N1357" s="1">
        <v>3817251200</v>
      </c>
    </row>
    <row r="1358" spans="1:14" ht="18" customHeight="1" x14ac:dyDescent="0.45">
      <c r="A1358" s="13">
        <v>1352</v>
      </c>
      <c r="B1358" s="41" t="str">
        <f t="shared" ref="B1358:C1361" si="583">B1357</f>
        <v>西日本第二本部</v>
      </c>
      <c r="C1358" s="41" t="str">
        <f t="shared" si="583"/>
        <v>ラヴィーレ神戸垂水</v>
      </c>
      <c r="D1358" s="14" t="s">
        <v>4</v>
      </c>
      <c r="E1358" s="15">
        <v>2</v>
      </c>
      <c r="F1358" s="16">
        <v>4</v>
      </c>
      <c r="G1358" s="17">
        <v>2</v>
      </c>
      <c r="H1358" s="16">
        <v>0</v>
      </c>
      <c r="I1358" s="17">
        <v>0</v>
      </c>
      <c r="J1358" s="15">
        <v>4</v>
      </c>
      <c r="K1358" s="44">
        <f t="shared" si="562"/>
        <v>5</v>
      </c>
      <c r="L1358" s="28">
        <v>1</v>
      </c>
      <c r="M1358" s="33">
        <f t="shared" si="580"/>
        <v>1</v>
      </c>
      <c r="N1358" s="1">
        <v>3817251200</v>
      </c>
    </row>
    <row r="1359" spans="1:14" ht="18" customHeight="1" x14ac:dyDescent="0.45">
      <c r="A1359" s="13">
        <v>1353</v>
      </c>
      <c r="B1359" s="41" t="str">
        <f t="shared" si="583"/>
        <v>西日本第二本部</v>
      </c>
      <c r="C1359" s="41" t="str">
        <f t="shared" si="583"/>
        <v>ラヴィーレ神戸垂水</v>
      </c>
      <c r="D1359" s="14" t="s">
        <v>5</v>
      </c>
      <c r="E1359" s="15">
        <v>2</v>
      </c>
      <c r="F1359" s="16">
        <v>38</v>
      </c>
      <c r="G1359" s="17">
        <v>19</v>
      </c>
      <c r="H1359" s="16">
        <v>0</v>
      </c>
      <c r="I1359" s="17">
        <v>0</v>
      </c>
      <c r="J1359" s="15">
        <v>38</v>
      </c>
      <c r="K1359" s="44">
        <f t="shared" si="562"/>
        <v>5</v>
      </c>
      <c r="L1359" s="28">
        <v>2</v>
      </c>
      <c r="M1359" s="33">
        <f t="shared" si="580"/>
        <v>2</v>
      </c>
      <c r="N1359" s="1">
        <v>3817251200</v>
      </c>
    </row>
    <row r="1360" spans="1:14" ht="18" customHeight="1" x14ac:dyDescent="0.45">
      <c r="A1360" s="13">
        <v>1354</v>
      </c>
      <c r="B1360" s="41" t="str">
        <f t="shared" si="583"/>
        <v>西日本第二本部</v>
      </c>
      <c r="C1360" s="41" t="str">
        <f t="shared" si="583"/>
        <v>ラヴィーレ神戸垂水</v>
      </c>
      <c r="D1360" s="14" t="s">
        <v>6</v>
      </c>
      <c r="E1360" s="15">
        <v>4</v>
      </c>
      <c r="F1360" s="16">
        <v>1</v>
      </c>
      <c r="G1360" s="17">
        <v>0.3</v>
      </c>
      <c r="H1360" s="16">
        <v>0</v>
      </c>
      <c r="I1360" s="17">
        <v>0</v>
      </c>
      <c r="J1360" s="15">
        <v>1</v>
      </c>
      <c r="K1360" s="44">
        <f t="shared" si="562"/>
        <v>5</v>
      </c>
      <c r="L1360" s="28">
        <v>0</v>
      </c>
      <c r="M1360" s="33">
        <f t="shared" si="580"/>
        <v>0</v>
      </c>
      <c r="N1360" s="1">
        <v>3817251200</v>
      </c>
    </row>
    <row r="1361" spans="1:14" ht="18" customHeight="1" x14ac:dyDescent="0.45">
      <c r="A1361" s="13">
        <v>1355</v>
      </c>
      <c r="B1361" s="42" t="str">
        <f t="shared" si="583"/>
        <v>西日本第二本部</v>
      </c>
      <c r="C1361" s="42" t="str">
        <f t="shared" si="583"/>
        <v>ラヴィーレ神戸垂水</v>
      </c>
      <c r="D1361" s="14" t="s">
        <v>2</v>
      </c>
      <c r="E1361" s="15">
        <v>1</v>
      </c>
      <c r="F1361" s="16">
        <v>4</v>
      </c>
      <c r="G1361" s="17">
        <v>4</v>
      </c>
      <c r="H1361" s="16">
        <v>0</v>
      </c>
      <c r="I1361" s="17">
        <v>0</v>
      </c>
      <c r="J1361" s="15">
        <v>4</v>
      </c>
      <c r="K1361" s="45">
        <f t="shared" si="562"/>
        <v>5</v>
      </c>
      <c r="L1361" s="28">
        <v>1</v>
      </c>
      <c r="M1361" s="33">
        <f t="shared" si="580"/>
        <v>1</v>
      </c>
      <c r="N1361" s="1">
        <v>3817251200</v>
      </c>
    </row>
    <row r="1362" spans="1:14" ht="18" customHeight="1" x14ac:dyDescent="0.45">
      <c r="A1362" s="8">
        <v>1356</v>
      </c>
      <c r="B1362" s="34" t="s">
        <v>149</v>
      </c>
      <c r="C1362" s="34" t="s">
        <v>156</v>
      </c>
      <c r="D1362" s="9" t="s">
        <v>3</v>
      </c>
      <c r="E1362" s="10">
        <v>1</v>
      </c>
      <c r="F1362" s="11">
        <v>4</v>
      </c>
      <c r="G1362" s="12">
        <v>4</v>
      </c>
      <c r="H1362" s="11">
        <v>2</v>
      </c>
      <c r="I1362" s="12">
        <v>2</v>
      </c>
      <c r="J1362" s="10">
        <v>6</v>
      </c>
      <c r="K1362" s="37">
        <f t="shared" ref="K1362" si="584">SUM(M1362:M1366)</f>
        <v>6</v>
      </c>
      <c r="L1362" s="28">
        <v>1</v>
      </c>
      <c r="M1362" s="33">
        <f t="shared" si="580"/>
        <v>1</v>
      </c>
      <c r="N1362" s="1">
        <v>3817281200</v>
      </c>
    </row>
    <row r="1363" spans="1:14" ht="18" customHeight="1" x14ac:dyDescent="0.45">
      <c r="A1363" s="8">
        <v>1357</v>
      </c>
      <c r="B1363" s="35" t="str">
        <f t="shared" ref="B1363:C1366" si="585">B1362</f>
        <v>西日本第二本部</v>
      </c>
      <c r="C1363" s="35" t="str">
        <f t="shared" si="585"/>
        <v>そんぽの家　兵庫柳原</v>
      </c>
      <c r="D1363" s="9" t="s">
        <v>4</v>
      </c>
      <c r="E1363" s="10">
        <v>2</v>
      </c>
      <c r="F1363" s="11">
        <v>4</v>
      </c>
      <c r="G1363" s="12">
        <v>2</v>
      </c>
      <c r="H1363" s="11">
        <v>0</v>
      </c>
      <c r="I1363" s="12">
        <v>0</v>
      </c>
      <c r="J1363" s="10">
        <v>4</v>
      </c>
      <c r="K1363" s="38">
        <f t="shared" si="562"/>
        <v>6</v>
      </c>
      <c r="L1363" s="28">
        <v>1</v>
      </c>
      <c r="M1363" s="33">
        <f t="shared" si="580"/>
        <v>1</v>
      </c>
      <c r="N1363" s="1">
        <v>3817281200</v>
      </c>
    </row>
    <row r="1364" spans="1:14" ht="18" customHeight="1" x14ac:dyDescent="0.45">
      <c r="A1364" s="8">
        <v>1358</v>
      </c>
      <c r="B1364" s="35" t="str">
        <f t="shared" si="585"/>
        <v>西日本第二本部</v>
      </c>
      <c r="C1364" s="35" t="str">
        <f t="shared" si="585"/>
        <v>そんぽの家　兵庫柳原</v>
      </c>
      <c r="D1364" s="9" t="s">
        <v>5</v>
      </c>
      <c r="E1364" s="10">
        <v>3</v>
      </c>
      <c r="F1364" s="11">
        <v>41</v>
      </c>
      <c r="G1364" s="12">
        <v>13.7</v>
      </c>
      <c r="H1364" s="11">
        <v>0</v>
      </c>
      <c r="I1364" s="12">
        <v>0</v>
      </c>
      <c r="J1364" s="10">
        <v>41</v>
      </c>
      <c r="K1364" s="38">
        <f t="shared" si="562"/>
        <v>6</v>
      </c>
      <c r="L1364" s="28">
        <v>2</v>
      </c>
      <c r="M1364" s="33">
        <f t="shared" si="580"/>
        <v>2</v>
      </c>
      <c r="N1364" s="1">
        <v>3817281200</v>
      </c>
    </row>
    <row r="1365" spans="1:14" ht="18" customHeight="1" x14ac:dyDescent="0.45">
      <c r="A1365" s="8">
        <v>1359</v>
      </c>
      <c r="B1365" s="35" t="str">
        <f t="shared" si="585"/>
        <v>西日本第二本部</v>
      </c>
      <c r="C1365" s="35" t="str">
        <f t="shared" si="585"/>
        <v>そんぽの家　兵庫柳原</v>
      </c>
      <c r="D1365" s="9" t="s">
        <v>6</v>
      </c>
      <c r="E1365" s="10">
        <v>4</v>
      </c>
      <c r="F1365" s="11">
        <v>28</v>
      </c>
      <c r="G1365" s="12">
        <v>7</v>
      </c>
      <c r="H1365" s="11">
        <v>0</v>
      </c>
      <c r="I1365" s="12">
        <v>0</v>
      </c>
      <c r="J1365" s="10">
        <v>28</v>
      </c>
      <c r="K1365" s="38">
        <f t="shared" si="562"/>
        <v>6</v>
      </c>
      <c r="L1365" s="28">
        <v>2</v>
      </c>
      <c r="M1365" s="33">
        <f t="shared" si="580"/>
        <v>2</v>
      </c>
      <c r="N1365" s="1">
        <v>3817281200</v>
      </c>
    </row>
    <row r="1366" spans="1:14" ht="18" customHeight="1" x14ac:dyDescent="0.45">
      <c r="A1366" s="8">
        <v>1360</v>
      </c>
      <c r="B1366" s="36" t="str">
        <f t="shared" si="585"/>
        <v>西日本第二本部</v>
      </c>
      <c r="C1366" s="36" t="str">
        <f t="shared" si="585"/>
        <v>そんぽの家　兵庫柳原</v>
      </c>
      <c r="D1366" s="9" t="s">
        <v>2</v>
      </c>
      <c r="E1366" s="10">
        <v>1</v>
      </c>
      <c r="F1366" s="11">
        <v>0</v>
      </c>
      <c r="G1366" s="12">
        <v>0</v>
      </c>
      <c r="H1366" s="11">
        <v>0</v>
      </c>
      <c r="I1366" s="12">
        <v>0</v>
      </c>
      <c r="J1366" s="10">
        <v>0</v>
      </c>
      <c r="K1366" s="39">
        <f t="shared" si="562"/>
        <v>6</v>
      </c>
      <c r="L1366" s="28">
        <v>0</v>
      </c>
      <c r="M1366" s="33">
        <f t="shared" si="580"/>
        <v>0</v>
      </c>
      <c r="N1366" s="1">
        <v>3817281200</v>
      </c>
    </row>
    <row r="1367" spans="1:14" ht="18" customHeight="1" x14ac:dyDescent="0.45">
      <c r="A1367" s="13">
        <v>1361</v>
      </c>
      <c r="B1367" s="40" t="s">
        <v>149</v>
      </c>
      <c r="C1367" s="40" t="s">
        <v>318</v>
      </c>
      <c r="D1367" s="14" t="s">
        <v>3</v>
      </c>
      <c r="E1367" s="15">
        <v>1</v>
      </c>
      <c r="F1367" s="16">
        <v>2</v>
      </c>
      <c r="G1367" s="17">
        <v>2</v>
      </c>
      <c r="H1367" s="16">
        <v>2</v>
      </c>
      <c r="I1367" s="17">
        <v>2</v>
      </c>
      <c r="J1367" s="15">
        <v>4</v>
      </c>
      <c r="K1367" s="43">
        <f t="shared" ref="K1367" si="586">SUM(M1367:M1371)</f>
        <v>5</v>
      </c>
      <c r="L1367" s="28">
        <v>1</v>
      </c>
      <c r="M1367" s="33">
        <f t="shared" si="580"/>
        <v>1</v>
      </c>
      <c r="N1367" s="1">
        <v>3817301100</v>
      </c>
    </row>
    <row r="1368" spans="1:14" ht="18" customHeight="1" x14ac:dyDescent="0.45">
      <c r="A1368" s="13">
        <v>1362</v>
      </c>
      <c r="B1368" s="41" t="str">
        <f t="shared" ref="B1368:C1371" si="587">B1367</f>
        <v>西日本第二本部</v>
      </c>
      <c r="C1368" s="41" t="str">
        <f t="shared" si="587"/>
        <v>ラヴィーレ六甲</v>
      </c>
      <c r="D1368" s="14" t="s">
        <v>4</v>
      </c>
      <c r="E1368" s="15">
        <v>2</v>
      </c>
      <c r="F1368" s="16">
        <v>14</v>
      </c>
      <c r="G1368" s="17">
        <v>7</v>
      </c>
      <c r="H1368" s="16">
        <v>12</v>
      </c>
      <c r="I1368" s="17">
        <v>6</v>
      </c>
      <c r="J1368" s="15">
        <v>26</v>
      </c>
      <c r="K1368" s="44">
        <f t="shared" si="562"/>
        <v>5</v>
      </c>
      <c r="L1368" s="28">
        <v>2</v>
      </c>
      <c r="M1368" s="33">
        <f t="shared" si="580"/>
        <v>2</v>
      </c>
      <c r="N1368" s="1">
        <v>3817301100</v>
      </c>
    </row>
    <row r="1369" spans="1:14" ht="18" customHeight="1" x14ac:dyDescent="0.45">
      <c r="A1369" s="13">
        <v>1363</v>
      </c>
      <c r="B1369" s="41" t="str">
        <f t="shared" si="587"/>
        <v>西日本第二本部</v>
      </c>
      <c r="C1369" s="41" t="str">
        <f t="shared" si="587"/>
        <v>ラヴィーレ六甲</v>
      </c>
      <c r="D1369" s="14" t="s">
        <v>5</v>
      </c>
      <c r="E1369" s="15">
        <v>2</v>
      </c>
      <c r="F1369" s="16">
        <v>12</v>
      </c>
      <c r="G1369" s="17">
        <v>6</v>
      </c>
      <c r="H1369" s="16">
        <v>0</v>
      </c>
      <c r="I1369" s="17">
        <v>0</v>
      </c>
      <c r="J1369" s="15">
        <v>12</v>
      </c>
      <c r="K1369" s="44">
        <f t="shared" si="562"/>
        <v>5</v>
      </c>
      <c r="L1369" s="28">
        <v>2</v>
      </c>
      <c r="M1369" s="33">
        <f t="shared" si="580"/>
        <v>2</v>
      </c>
      <c r="N1369" s="1">
        <v>3817301100</v>
      </c>
    </row>
    <row r="1370" spans="1:14" ht="18" customHeight="1" x14ac:dyDescent="0.45">
      <c r="A1370" s="13">
        <v>1364</v>
      </c>
      <c r="B1370" s="41" t="str">
        <f t="shared" si="587"/>
        <v>西日本第二本部</v>
      </c>
      <c r="C1370" s="41" t="str">
        <f t="shared" si="587"/>
        <v>ラヴィーレ六甲</v>
      </c>
      <c r="D1370" s="14" t="s">
        <v>6</v>
      </c>
      <c r="E1370" s="15">
        <v>5</v>
      </c>
      <c r="F1370" s="16">
        <v>0</v>
      </c>
      <c r="G1370" s="17">
        <v>0</v>
      </c>
      <c r="H1370" s="16">
        <v>0</v>
      </c>
      <c r="I1370" s="17">
        <v>0</v>
      </c>
      <c r="J1370" s="15">
        <v>0</v>
      </c>
      <c r="K1370" s="44">
        <f t="shared" si="562"/>
        <v>5</v>
      </c>
      <c r="L1370" s="28">
        <v>0</v>
      </c>
      <c r="M1370" s="33">
        <f t="shared" si="580"/>
        <v>0</v>
      </c>
      <c r="N1370" s="1">
        <v>3817301100</v>
      </c>
    </row>
    <row r="1371" spans="1:14" ht="18" customHeight="1" x14ac:dyDescent="0.45">
      <c r="A1371" s="13">
        <v>1365</v>
      </c>
      <c r="B1371" s="42" t="str">
        <f t="shared" si="587"/>
        <v>西日本第二本部</v>
      </c>
      <c r="C1371" s="42" t="str">
        <f t="shared" si="587"/>
        <v>ラヴィーレ六甲</v>
      </c>
      <c r="D1371" s="14" t="s">
        <v>2</v>
      </c>
      <c r="E1371" s="15">
        <v>3</v>
      </c>
      <c r="F1371" s="16">
        <v>0</v>
      </c>
      <c r="G1371" s="17">
        <v>0</v>
      </c>
      <c r="H1371" s="16">
        <v>0</v>
      </c>
      <c r="I1371" s="17">
        <v>0</v>
      </c>
      <c r="J1371" s="15">
        <v>0</v>
      </c>
      <c r="K1371" s="45">
        <f t="shared" si="562"/>
        <v>5</v>
      </c>
      <c r="L1371" s="28">
        <v>0</v>
      </c>
      <c r="M1371" s="33">
        <f t="shared" si="580"/>
        <v>0</v>
      </c>
      <c r="N1371" s="1">
        <v>3817301100</v>
      </c>
    </row>
    <row r="1372" spans="1:14" ht="18" customHeight="1" x14ac:dyDescent="0.45">
      <c r="A1372" s="8">
        <v>1366</v>
      </c>
      <c r="B1372" s="34" t="s">
        <v>149</v>
      </c>
      <c r="C1372" s="34" t="s">
        <v>319</v>
      </c>
      <c r="D1372" s="9" t="s">
        <v>3</v>
      </c>
      <c r="E1372" s="10">
        <v>1</v>
      </c>
      <c r="F1372" s="11">
        <v>7</v>
      </c>
      <c r="G1372" s="12">
        <v>7</v>
      </c>
      <c r="H1372" s="11">
        <v>7</v>
      </c>
      <c r="I1372" s="12">
        <v>7</v>
      </c>
      <c r="J1372" s="10">
        <v>14</v>
      </c>
      <c r="K1372" s="37">
        <f t="shared" ref="K1372" si="588">SUM(M1372:M1376)</f>
        <v>5</v>
      </c>
      <c r="L1372" s="28">
        <v>2</v>
      </c>
      <c r="M1372" s="33">
        <f t="shared" si="580"/>
        <v>2</v>
      </c>
      <c r="N1372" s="1">
        <v>3817541100</v>
      </c>
    </row>
    <row r="1373" spans="1:14" ht="18" customHeight="1" x14ac:dyDescent="0.45">
      <c r="A1373" s="8">
        <v>1367</v>
      </c>
      <c r="B1373" s="35" t="str">
        <f t="shared" ref="B1373:C1376" si="589">B1372</f>
        <v>西日本第二本部</v>
      </c>
      <c r="C1373" s="35" t="str">
        <f t="shared" si="589"/>
        <v>ラヴィーレグラン夙川</v>
      </c>
      <c r="D1373" s="9" t="s">
        <v>4</v>
      </c>
      <c r="E1373" s="10">
        <v>1</v>
      </c>
      <c r="F1373" s="11">
        <v>7</v>
      </c>
      <c r="G1373" s="12">
        <v>7</v>
      </c>
      <c r="H1373" s="11">
        <v>0</v>
      </c>
      <c r="I1373" s="12">
        <v>0</v>
      </c>
      <c r="J1373" s="10">
        <v>7</v>
      </c>
      <c r="K1373" s="38">
        <f t="shared" ref="K1373:K1436" si="590">K1372</f>
        <v>5</v>
      </c>
      <c r="L1373" s="28">
        <v>1</v>
      </c>
      <c r="M1373" s="33">
        <f t="shared" si="580"/>
        <v>1</v>
      </c>
      <c r="N1373" s="1">
        <v>3817541100</v>
      </c>
    </row>
    <row r="1374" spans="1:14" ht="18" customHeight="1" x14ac:dyDescent="0.45">
      <c r="A1374" s="8">
        <v>1368</v>
      </c>
      <c r="B1374" s="35" t="str">
        <f t="shared" si="589"/>
        <v>西日本第二本部</v>
      </c>
      <c r="C1374" s="35" t="str">
        <f t="shared" si="589"/>
        <v>ラヴィーレグラン夙川</v>
      </c>
      <c r="D1374" s="9" t="s">
        <v>5</v>
      </c>
      <c r="E1374" s="10">
        <v>1</v>
      </c>
      <c r="F1374" s="11">
        <v>2</v>
      </c>
      <c r="G1374" s="12">
        <v>2</v>
      </c>
      <c r="H1374" s="11">
        <v>0</v>
      </c>
      <c r="I1374" s="12">
        <v>0</v>
      </c>
      <c r="J1374" s="10">
        <v>2</v>
      </c>
      <c r="K1374" s="38">
        <f t="shared" si="590"/>
        <v>5</v>
      </c>
      <c r="L1374" s="28">
        <v>0</v>
      </c>
      <c r="M1374" s="33">
        <f t="shared" si="580"/>
        <v>0</v>
      </c>
      <c r="N1374" s="1">
        <v>3817541100</v>
      </c>
    </row>
    <row r="1375" spans="1:14" ht="18" customHeight="1" x14ac:dyDescent="0.45">
      <c r="A1375" s="8">
        <v>1369</v>
      </c>
      <c r="B1375" s="35" t="str">
        <f t="shared" si="589"/>
        <v>西日本第二本部</v>
      </c>
      <c r="C1375" s="35" t="str">
        <f t="shared" si="589"/>
        <v>ラヴィーレグラン夙川</v>
      </c>
      <c r="D1375" s="9" t="s">
        <v>6</v>
      </c>
      <c r="E1375" s="10">
        <v>9</v>
      </c>
      <c r="F1375" s="11">
        <v>1</v>
      </c>
      <c r="G1375" s="12">
        <v>0.1</v>
      </c>
      <c r="H1375" s="11">
        <v>0</v>
      </c>
      <c r="I1375" s="12">
        <v>0</v>
      </c>
      <c r="J1375" s="10">
        <v>1</v>
      </c>
      <c r="K1375" s="38">
        <f t="shared" si="590"/>
        <v>5</v>
      </c>
      <c r="L1375" s="28">
        <v>0</v>
      </c>
      <c r="M1375" s="33">
        <f t="shared" si="580"/>
        <v>0</v>
      </c>
      <c r="N1375" s="1">
        <v>3817541100</v>
      </c>
    </row>
    <row r="1376" spans="1:14" ht="18" customHeight="1" x14ac:dyDescent="0.45">
      <c r="A1376" s="8">
        <v>1370</v>
      </c>
      <c r="B1376" s="36" t="str">
        <f t="shared" si="589"/>
        <v>西日本第二本部</v>
      </c>
      <c r="C1376" s="36" t="str">
        <f t="shared" si="589"/>
        <v>ラヴィーレグラン夙川</v>
      </c>
      <c r="D1376" s="9" t="s">
        <v>2</v>
      </c>
      <c r="E1376" s="10">
        <v>3</v>
      </c>
      <c r="F1376" s="11">
        <v>11</v>
      </c>
      <c r="G1376" s="12">
        <v>3.7</v>
      </c>
      <c r="H1376" s="11">
        <v>0</v>
      </c>
      <c r="I1376" s="12">
        <v>0</v>
      </c>
      <c r="J1376" s="10">
        <v>11</v>
      </c>
      <c r="K1376" s="39">
        <f t="shared" si="590"/>
        <v>5</v>
      </c>
      <c r="L1376" s="28">
        <v>2</v>
      </c>
      <c r="M1376" s="33">
        <f t="shared" si="580"/>
        <v>2</v>
      </c>
      <c r="N1376" s="1">
        <v>3817541100</v>
      </c>
    </row>
    <row r="1377" spans="1:14" ht="18" customHeight="1" x14ac:dyDescent="0.45">
      <c r="A1377" s="13">
        <v>1371</v>
      </c>
      <c r="B1377" s="40" t="s">
        <v>149</v>
      </c>
      <c r="C1377" s="40" t="s">
        <v>157</v>
      </c>
      <c r="D1377" s="14" t="s">
        <v>3</v>
      </c>
      <c r="E1377" s="15">
        <v>1</v>
      </c>
      <c r="F1377" s="16">
        <v>25</v>
      </c>
      <c r="G1377" s="17">
        <v>25</v>
      </c>
      <c r="H1377" s="16">
        <v>8</v>
      </c>
      <c r="I1377" s="17">
        <v>8</v>
      </c>
      <c r="J1377" s="15">
        <v>33</v>
      </c>
      <c r="K1377" s="43">
        <f t="shared" ref="K1377" si="591">SUM(M1377:M1381)</f>
        <v>8</v>
      </c>
      <c r="L1377" s="28">
        <v>2</v>
      </c>
      <c r="M1377" s="33">
        <f t="shared" si="580"/>
        <v>2</v>
      </c>
      <c r="N1377" s="1">
        <v>4317331200</v>
      </c>
    </row>
    <row r="1378" spans="1:14" ht="18" customHeight="1" x14ac:dyDescent="0.45">
      <c r="A1378" s="13">
        <v>1372</v>
      </c>
      <c r="B1378" s="41" t="str">
        <f t="shared" ref="B1378:C1381" si="592">B1377</f>
        <v>西日本第二本部</v>
      </c>
      <c r="C1378" s="41" t="str">
        <f t="shared" si="592"/>
        <v>そんぽの家　南岡山</v>
      </c>
      <c r="D1378" s="14" t="s">
        <v>4</v>
      </c>
      <c r="E1378" s="15">
        <v>1</v>
      </c>
      <c r="F1378" s="16">
        <v>12</v>
      </c>
      <c r="G1378" s="17">
        <v>12</v>
      </c>
      <c r="H1378" s="16">
        <v>12</v>
      </c>
      <c r="I1378" s="17">
        <v>12</v>
      </c>
      <c r="J1378" s="15">
        <v>24</v>
      </c>
      <c r="K1378" s="44">
        <f t="shared" si="590"/>
        <v>8</v>
      </c>
      <c r="L1378" s="28">
        <v>2</v>
      </c>
      <c r="M1378" s="33">
        <f t="shared" si="580"/>
        <v>2</v>
      </c>
      <c r="N1378" s="1">
        <v>4317331200</v>
      </c>
    </row>
    <row r="1379" spans="1:14" ht="18" customHeight="1" x14ac:dyDescent="0.45">
      <c r="A1379" s="13">
        <v>1373</v>
      </c>
      <c r="B1379" s="41" t="str">
        <f t="shared" si="592"/>
        <v>西日本第二本部</v>
      </c>
      <c r="C1379" s="41" t="str">
        <f t="shared" si="592"/>
        <v>そんぽの家　南岡山</v>
      </c>
      <c r="D1379" s="14" t="s">
        <v>5</v>
      </c>
      <c r="E1379" s="15">
        <v>1</v>
      </c>
      <c r="F1379" s="16">
        <v>34</v>
      </c>
      <c r="G1379" s="17">
        <v>34</v>
      </c>
      <c r="H1379" s="16">
        <v>0</v>
      </c>
      <c r="I1379" s="17">
        <v>0</v>
      </c>
      <c r="J1379" s="15">
        <v>34</v>
      </c>
      <c r="K1379" s="44">
        <f t="shared" si="590"/>
        <v>8</v>
      </c>
      <c r="L1379" s="28">
        <v>2</v>
      </c>
      <c r="M1379" s="33">
        <f t="shared" si="580"/>
        <v>2</v>
      </c>
      <c r="N1379" s="1">
        <v>4317331200</v>
      </c>
    </row>
    <row r="1380" spans="1:14" ht="18" customHeight="1" x14ac:dyDescent="0.45">
      <c r="A1380" s="13">
        <v>1374</v>
      </c>
      <c r="B1380" s="41" t="str">
        <f t="shared" si="592"/>
        <v>西日本第二本部</v>
      </c>
      <c r="C1380" s="41" t="str">
        <f t="shared" si="592"/>
        <v>そんぽの家　南岡山</v>
      </c>
      <c r="D1380" s="14" t="s">
        <v>6</v>
      </c>
      <c r="E1380" s="15">
        <v>3</v>
      </c>
      <c r="F1380" s="16">
        <v>6</v>
      </c>
      <c r="G1380" s="17">
        <v>2</v>
      </c>
      <c r="H1380" s="16">
        <v>0</v>
      </c>
      <c r="I1380" s="17">
        <v>0</v>
      </c>
      <c r="J1380" s="15">
        <v>6</v>
      </c>
      <c r="K1380" s="44">
        <f t="shared" si="590"/>
        <v>8</v>
      </c>
      <c r="L1380" s="28">
        <v>1</v>
      </c>
      <c r="M1380" s="33">
        <f t="shared" si="580"/>
        <v>1</v>
      </c>
      <c r="N1380" s="1">
        <v>4317331200</v>
      </c>
    </row>
    <row r="1381" spans="1:14" ht="18" customHeight="1" x14ac:dyDescent="0.45">
      <c r="A1381" s="13">
        <v>1375</v>
      </c>
      <c r="B1381" s="42" t="str">
        <f t="shared" si="592"/>
        <v>西日本第二本部</v>
      </c>
      <c r="C1381" s="42" t="str">
        <f t="shared" si="592"/>
        <v>そんぽの家　南岡山</v>
      </c>
      <c r="D1381" s="14" t="s">
        <v>2</v>
      </c>
      <c r="E1381" s="15">
        <v>1</v>
      </c>
      <c r="F1381" s="16">
        <v>6</v>
      </c>
      <c r="G1381" s="17">
        <v>6</v>
      </c>
      <c r="H1381" s="16">
        <v>0</v>
      </c>
      <c r="I1381" s="17">
        <v>0</v>
      </c>
      <c r="J1381" s="15">
        <v>6</v>
      </c>
      <c r="K1381" s="45">
        <f t="shared" si="590"/>
        <v>8</v>
      </c>
      <c r="L1381" s="28">
        <v>1</v>
      </c>
      <c r="M1381" s="33">
        <f t="shared" si="580"/>
        <v>1</v>
      </c>
      <c r="N1381" s="1">
        <v>4317331200</v>
      </c>
    </row>
    <row r="1382" spans="1:14" ht="18" customHeight="1" x14ac:dyDescent="0.45">
      <c r="A1382" s="8">
        <v>1376</v>
      </c>
      <c r="B1382" s="34" t="s">
        <v>149</v>
      </c>
      <c r="C1382" s="34" t="s">
        <v>158</v>
      </c>
      <c r="D1382" s="9" t="s">
        <v>3</v>
      </c>
      <c r="E1382" s="10">
        <v>1</v>
      </c>
      <c r="F1382" s="11">
        <v>32</v>
      </c>
      <c r="G1382" s="12">
        <v>32</v>
      </c>
      <c r="H1382" s="11">
        <v>20</v>
      </c>
      <c r="I1382" s="12">
        <v>20</v>
      </c>
      <c r="J1382" s="10">
        <v>52</v>
      </c>
      <c r="K1382" s="37">
        <f t="shared" ref="K1382" si="593">SUM(M1382:M1386)</f>
        <v>9</v>
      </c>
      <c r="L1382" s="28">
        <v>2</v>
      </c>
      <c r="M1382" s="33">
        <f t="shared" si="580"/>
        <v>2</v>
      </c>
      <c r="N1382" s="1">
        <v>4317341200</v>
      </c>
    </row>
    <row r="1383" spans="1:14" ht="18" customHeight="1" x14ac:dyDescent="0.45">
      <c r="A1383" s="8">
        <v>1377</v>
      </c>
      <c r="B1383" s="35" t="str">
        <f t="shared" ref="B1383:C1386" si="594">B1382</f>
        <v>西日本第二本部</v>
      </c>
      <c r="C1383" s="35" t="str">
        <f t="shared" si="594"/>
        <v>そんぽの家　東岡山</v>
      </c>
      <c r="D1383" s="9" t="s">
        <v>4</v>
      </c>
      <c r="E1383" s="10">
        <v>1</v>
      </c>
      <c r="F1383" s="11">
        <v>14</v>
      </c>
      <c r="G1383" s="12">
        <v>14</v>
      </c>
      <c r="H1383" s="11">
        <v>14</v>
      </c>
      <c r="I1383" s="12">
        <v>14</v>
      </c>
      <c r="J1383" s="10">
        <v>28</v>
      </c>
      <c r="K1383" s="38">
        <f t="shared" si="590"/>
        <v>9</v>
      </c>
      <c r="L1383" s="28">
        <v>2</v>
      </c>
      <c r="M1383" s="33">
        <f t="shared" si="580"/>
        <v>2</v>
      </c>
      <c r="N1383" s="1">
        <v>4317341200</v>
      </c>
    </row>
    <row r="1384" spans="1:14" ht="18" customHeight="1" x14ac:dyDescent="0.45">
      <c r="A1384" s="8">
        <v>1378</v>
      </c>
      <c r="B1384" s="35" t="str">
        <f t="shared" si="594"/>
        <v>西日本第二本部</v>
      </c>
      <c r="C1384" s="35" t="str">
        <f t="shared" si="594"/>
        <v>そんぽの家　東岡山</v>
      </c>
      <c r="D1384" s="9" t="s">
        <v>5</v>
      </c>
      <c r="E1384" s="10">
        <v>1</v>
      </c>
      <c r="F1384" s="11">
        <v>26</v>
      </c>
      <c r="G1384" s="12">
        <v>26</v>
      </c>
      <c r="H1384" s="11">
        <v>0</v>
      </c>
      <c r="I1384" s="12">
        <v>0</v>
      </c>
      <c r="J1384" s="10">
        <v>26</v>
      </c>
      <c r="K1384" s="38">
        <f t="shared" si="590"/>
        <v>9</v>
      </c>
      <c r="L1384" s="28">
        <v>2</v>
      </c>
      <c r="M1384" s="33">
        <f t="shared" si="580"/>
        <v>2</v>
      </c>
      <c r="N1384" s="1">
        <v>4317341200</v>
      </c>
    </row>
    <row r="1385" spans="1:14" ht="18" customHeight="1" x14ac:dyDescent="0.45">
      <c r="A1385" s="8">
        <v>1379</v>
      </c>
      <c r="B1385" s="35" t="str">
        <f t="shared" si="594"/>
        <v>西日本第二本部</v>
      </c>
      <c r="C1385" s="35" t="str">
        <f t="shared" si="594"/>
        <v>そんぽの家　東岡山</v>
      </c>
      <c r="D1385" s="9" t="s">
        <v>6</v>
      </c>
      <c r="E1385" s="10">
        <v>4</v>
      </c>
      <c r="F1385" s="11">
        <v>5</v>
      </c>
      <c r="G1385" s="12">
        <v>1.3</v>
      </c>
      <c r="H1385" s="11">
        <v>0</v>
      </c>
      <c r="I1385" s="12">
        <v>0</v>
      </c>
      <c r="J1385" s="10">
        <v>5</v>
      </c>
      <c r="K1385" s="38">
        <f t="shared" si="590"/>
        <v>9</v>
      </c>
      <c r="L1385" s="28">
        <v>1</v>
      </c>
      <c r="M1385" s="33">
        <f t="shared" si="580"/>
        <v>1</v>
      </c>
      <c r="N1385" s="1">
        <v>4317341200</v>
      </c>
    </row>
    <row r="1386" spans="1:14" ht="18" customHeight="1" x14ac:dyDescent="0.45">
      <c r="A1386" s="8">
        <v>1380</v>
      </c>
      <c r="B1386" s="36" t="str">
        <f t="shared" si="594"/>
        <v>西日本第二本部</v>
      </c>
      <c r="C1386" s="36" t="str">
        <f t="shared" si="594"/>
        <v>そんぽの家　東岡山</v>
      </c>
      <c r="D1386" s="9" t="s">
        <v>2</v>
      </c>
      <c r="E1386" s="10">
        <v>1</v>
      </c>
      <c r="F1386" s="11">
        <v>23</v>
      </c>
      <c r="G1386" s="12">
        <v>23</v>
      </c>
      <c r="H1386" s="11">
        <v>0</v>
      </c>
      <c r="I1386" s="12">
        <v>0</v>
      </c>
      <c r="J1386" s="10">
        <v>23</v>
      </c>
      <c r="K1386" s="39">
        <f t="shared" si="590"/>
        <v>9</v>
      </c>
      <c r="L1386" s="28">
        <v>2</v>
      </c>
      <c r="M1386" s="33">
        <f t="shared" si="580"/>
        <v>2</v>
      </c>
      <c r="N1386" s="1">
        <v>4317341200</v>
      </c>
    </row>
    <row r="1387" spans="1:14" ht="18" customHeight="1" x14ac:dyDescent="0.45">
      <c r="A1387" s="13">
        <v>1381</v>
      </c>
      <c r="B1387" s="40" t="s">
        <v>149</v>
      </c>
      <c r="C1387" s="40" t="s">
        <v>159</v>
      </c>
      <c r="D1387" s="14" t="s">
        <v>3</v>
      </c>
      <c r="E1387" s="15">
        <v>1</v>
      </c>
      <c r="F1387" s="16">
        <v>21</v>
      </c>
      <c r="G1387" s="17">
        <v>21</v>
      </c>
      <c r="H1387" s="16">
        <v>20</v>
      </c>
      <c r="I1387" s="17">
        <v>20</v>
      </c>
      <c r="J1387" s="15">
        <v>41</v>
      </c>
      <c r="K1387" s="43">
        <f t="shared" ref="K1387" si="595">SUM(M1387:M1391)</f>
        <v>8</v>
      </c>
      <c r="L1387" s="28">
        <v>2</v>
      </c>
      <c r="M1387" s="33">
        <f t="shared" si="580"/>
        <v>2</v>
      </c>
      <c r="N1387" s="1">
        <v>4317362100</v>
      </c>
    </row>
    <row r="1388" spans="1:14" ht="18" customHeight="1" x14ac:dyDescent="0.45">
      <c r="A1388" s="13">
        <v>1382</v>
      </c>
      <c r="B1388" s="41" t="str">
        <f t="shared" ref="B1388:C1391" si="596">B1387</f>
        <v>西日本第二本部</v>
      </c>
      <c r="C1388" s="41" t="str">
        <f t="shared" si="596"/>
        <v>そんぽの家　岡山平井</v>
      </c>
      <c r="D1388" s="14" t="s">
        <v>4</v>
      </c>
      <c r="E1388" s="15">
        <v>0</v>
      </c>
      <c r="F1388" s="16">
        <v>0</v>
      </c>
      <c r="G1388" s="17">
        <v>0</v>
      </c>
      <c r="H1388" s="16">
        <v>0</v>
      </c>
      <c r="I1388" s="17">
        <v>0</v>
      </c>
      <c r="J1388" s="15">
        <v>0</v>
      </c>
      <c r="K1388" s="44">
        <f t="shared" si="590"/>
        <v>8</v>
      </c>
      <c r="L1388" s="28">
        <v>0</v>
      </c>
      <c r="M1388" s="33">
        <f t="shared" si="580"/>
        <v>0</v>
      </c>
      <c r="N1388" s="1">
        <v>4317362100</v>
      </c>
    </row>
    <row r="1389" spans="1:14" ht="18" customHeight="1" x14ac:dyDescent="0.45">
      <c r="A1389" s="13">
        <v>1383</v>
      </c>
      <c r="B1389" s="41" t="str">
        <f t="shared" si="596"/>
        <v>西日本第二本部</v>
      </c>
      <c r="C1389" s="41" t="str">
        <f t="shared" si="596"/>
        <v>そんぽの家　岡山平井</v>
      </c>
      <c r="D1389" s="14" t="s">
        <v>5</v>
      </c>
      <c r="E1389" s="15">
        <v>1</v>
      </c>
      <c r="F1389" s="16">
        <v>30</v>
      </c>
      <c r="G1389" s="17">
        <v>30</v>
      </c>
      <c r="H1389" s="16">
        <v>0</v>
      </c>
      <c r="I1389" s="17">
        <v>0</v>
      </c>
      <c r="J1389" s="15">
        <v>30</v>
      </c>
      <c r="K1389" s="44">
        <f t="shared" si="590"/>
        <v>8</v>
      </c>
      <c r="L1389" s="28">
        <v>2</v>
      </c>
      <c r="M1389" s="33">
        <f t="shared" si="580"/>
        <v>2</v>
      </c>
      <c r="N1389" s="1">
        <v>4317362100</v>
      </c>
    </row>
    <row r="1390" spans="1:14" ht="18" customHeight="1" x14ac:dyDescent="0.45">
      <c r="A1390" s="13">
        <v>1384</v>
      </c>
      <c r="B1390" s="41" t="str">
        <f t="shared" si="596"/>
        <v>西日本第二本部</v>
      </c>
      <c r="C1390" s="41" t="str">
        <f t="shared" si="596"/>
        <v>そんぽの家　岡山平井</v>
      </c>
      <c r="D1390" s="14" t="s">
        <v>6</v>
      </c>
      <c r="E1390" s="15">
        <v>3</v>
      </c>
      <c r="F1390" s="16">
        <v>16</v>
      </c>
      <c r="G1390" s="17">
        <v>5.3</v>
      </c>
      <c r="H1390" s="16">
        <v>0</v>
      </c>
      <c r="I1390" s="17">
        <v>0</v>
      </c>
      <c r="J1390" s="15">
        <v>16</v>
      </c>
      <c r="K1390" s="44">
        <f t="shared" si="590"/>
        <v>8</v>
      </c>
      <c r="L1390" s="28">
        <v>2</v>
      </c>
      <c r="M1390" s="33">
        <f t="shared" si="580"/>
        <v>2</v>
      </c>
      <c r="N1390" s="1">
        <v>4317362100</v>
      </c>
    </row>
    <row r="1391" spans="1:14" ht="18" customHeight="1" x14ac:dyDescent="0.45">
      <c r="A1391" s="13">
        <v>1385</v>
      </c>
      <c r="B1391" s="42" t="str">
        <f t="shared" si="596"/>
        <v>西日本第二本部</v>
      </c>
      <c r="C1391" s="42" t="str">
        <f t="shared" si="596"/>
        <v>そんぽの家　岡山平井</v>
      </c>
      <c r="D1391" s="14" t="s">
        <v>2</v>
      </c>
      <c r="E1391" s="15">
        <v>1</v>
      </c>
      <c r="F1391" s="16">
        <v>31</v>
      </c>
      <c r="G1391" s="17">
        <v>31</v>
      </c>
      <c r="H1391" s="16">
        <v>0</v>
      </c>
      <c r="I1391" s="17">
        <v>0</v>
      </c>
      <c r="J1391" s="15">
        <v>31</v>
      </c>
      <c r="K1391" s="45">
        <f t="shared" si="590"/>
        <v>8</v>
      </c>
      <c r="L1391" s="28">
        <v>2</v>
      </c>
      <c r="M1391" s="33">
        <f t="shared" si="580"/>
        <v>2</v>
      </c>
      <c r="N1391" s="1">
        <v>4317362100</v>
      </c>
    </row>
    <row r="1392" spans="1:14" ht="18" customHeight="1" x14ac:dyDescent="0.45">
      <c r="A1392" s="8">
        <v>1386</v>
      </c>
      <c r="B1392" s="34" t="s">
        <v>149</v>
      </c>
      <c r="C1392" s="34" t="s">
        <v>160</v>
      </c>
      <c r="D1392" s="9" t="s">
        <v>3</v>
      </c>
      <c r="E1392" s="10">
        <v>1</v>
      </c>
      <c r="F1392" s="11">
        <v>16</v>
      </c>
      <c r="G1392" s="12">
        <v>16</v>
      </c>
      <c r="H1392" s="11">
        <v>12</v>
      </c>
      <c r="I1392" s="12">
        <v>12</v>
      </c>
      <c r="J1392" s="10">
        <v>28</v>
      </c>
      <c r="K1392" s="37">
        <f t="shared" ref="K1392" si="597">SUM(M1392:M1396)</f>
        <v>9</v>
      </c>
      <c r="L1392" s="28">
        <v>2</v>
      </c>
      <c r="M1392" s="33">
        <f t="shared" si="580"/>
        <v>2</v>
      </c>
      <c r="N1392" s="1">
        <v>4317381200</v>
      </c>
    </row>
    <row r="1393" spans="1:14" ht="18" customHeight="1" x14ac:dyDescent="0.45">
      <c r="A1393" s="8">
        <v>1387</v>
      </c>
      <c r="B1393" s="35" t="str">
        <f t="shared" ref="B1393:C1396" si="598">B1392</f>
        <v>西日本第二本部</v>
      </c>
      <c r="C1393" s="35" t="str">
        <f t="shared" si="598"/>
        <v>そんぽの家　岡山平田</v>
      </c>
      <c r="D1393" s="9" t="s">
        <v>4</v>
      </c>
      <c r="E1393" s="10">
        <v>1</v>
      </c>
      <c r="F1393" s="11">
        <v>19</v>
      </c>
      <c r="G1393" s="12">
        <v>19</v>
      </c>
      <c r="H1393" s="11">
        <v>16</v>
      </c>
      <c r="I1393" s="12">
        <v>16</v>
      </c>
      <c r="J1393" s="10">
        <v>35</v>
      </c>
      <c r="K1393" s="38">
        <f t="shared" si="590"/>
        <v>9</v>
      </c>
      <c r="L1393" s="28">
        <v>2</v>
      </c>
      <c r="M1393" s="33">
        <f t="shared" si="580"/>
        <v>2</v>
      </c>
      <c r="N1393" s="1">
        <v>4317381200</v>
      </c>
    </row>
    <row r="1394" spans="1:14" ht="18" customHeight="1" x14ac:dyDescent="0.45">
      <c r="A1394" s="8">
        <v>1388</v>
      </c>
      <c r="B1394" s="35" t="str">
        <f t="shared" si="598"/>
        <v>西日本第二本部</v>
      </c>
      <c r="C1394" s="35" t="str">
        <f t="shared" si="598"/>
        <v>そんぽの家　岡山平田</v>
      </c>
      <c r="D1394" s="9" t="s">
        <v>5</v>
      </c>
      <c r="E1394" s="10">
        <v>1</v>
      </c>
      <c r="F1394" s="11">
        <v>77</v>
      </c>
      <c r="G1394" s="12">
        <v>77</v>
      </c>
      <c r="H1394" s="11">
        <v>0</v>
      </c>
      <c r="I1394" s="12">
        <v>0</v>
      </c>
      <c r="J1394" s="10">
        <v>77</v>
      </c>
      <c r="K1394" s="38">
        <f t="shared" si="590"/>
        <v>9</v>
      </c>
      <c r="L1394" s="28">
        <v>2</v>
      </c>
      <c r="M1394" s="33">
        <f t="shared" si="580"/>
        <v>2</v>
      </c>
      <c r="N1394" s="1">
        <v>4317381200</v>
      </c>
    </row>
    <row r="1395" spans="1:14" ht="18" customHeight="1" x14ac:dyDescent="0.45">
      <c r="A1395" s="8">
        <v>1389</v>
      </c>
      <c r="B1395" s="35" t="str">
        <f t="shared" si="598"/>
        <v>西日本第二本部</v>
      </c>
      <c r="C1395" s="35" t="str">
        <f t="shared" si="598"/>
        <v>そんぽの家　岡山平田</v>
      </c>
      <c r="D1395" s="9" t="s">
        <v>6</v>
      </c>
      <c r="E1395" s="10">
        <v>3</v>
      </c>
      <c r="F1395" s="11">
        <v>5</v>
      </c>
      <c r="G1395" s="12">
        <v>1.7</v>
      </c>
      <c r="H1395" s="11">
        <v>0</v>
      </c>
      <c r="I1395" s="12">
        <v>0</v>
      </c>
      <c r="J1395" s="10">
        <v>5</v>
      </c>
      <c r="K1395" s="38">
        <f t="shared" si="590"/>
        <v>9</v>
      </c>
      <c r="L1395" s="28">
        <v>1</v>
      </c>
      <c r="M1395" s="33">
        <f t="shared" si="580"/>
        <v>1</v>
      </c>
      <c r="N1395" s="1">
        <v>4317381200</v>
      </c>
    </row>
    <row r="1396" spans="1:14" ht="18" customHeight="1" x14ac:dyDescent="0.45">
      <c r="A1396" s="8">
        <v>1390</v>
      </c>
      <c r="B1396" s="36" t="str">
        <f t="shared" si="598"/>
        <v>西日本第二本部</v>
      </c>
      <c r="C1396" s="36" t="str">
        <f t="shared" si="598"/>
        <v>そんぽの家　岡山平田</v>
      </c>
      <c r="D1396" s="9" t="s">
        <v>2</v>
      </c>
      <c r="E1396" s="10">
        <v>1</v>
      </c>
      <c r="F1396" s="11">
        <v>12</v>
      </c>
      <c r="G1396" s="12">
        <v>12</v>
      </c>
      <c r="H1396" s="11">
        <v>0</v>
      </c>
      <c r="I1396" s="12">
        <v>0</v>
      </c>
      <c r="J1396" s="10">
        <v>12</v>
      </c>
      <c r="K1396" s="39">
        <f t="shared" si="590"/>
        <v>9</v>
      </c>
      <c r="L1396" s="28">
        <v>2</v>
      </c>
      <c r="M1396" s="33">
        <f t="shared" si="580"/>
        <v>2</v>
      </c>
      <c r="N1396" s="1">
        <v>4317381200</v>
      </c>
    </row>
    <row r="1397" spans="1:14" ht="18" customHeight="1" x14ac:dyDescent="0.45">
      <c r="A1397" s="13">
        <v>1391</v>
      </c>
      <c r="B1397" s="40" t="s">
        <v>149</v>
      </c>
      <c r="C1397" s="40" t="s">
        <v>161</v>
      </c>
      <c r="D1397" s="14" t="s">
        <v>3</v>
      </c>
      <c r="E1397" s="15">
        <v>1</v>
      </c>
      <c r="F1397" s="16">
        <v>22</v>
      </c>
      <c r="G1397" s="17">
        <v>22</v>
      </c>
      <c r="H1397" s="16">
        <v>10</v>
      </c>
      <c r="I1397" s="17">
        <v>10</v>
      </c>
      <c r="J1397" s="15">
        <v>32</v>
      </c>
      <c r="K1397" s="43">
        <f t="shared" ref="K1397" si="599">SUM(M1397:M1401)</f>
        <v>9</v>
      </c>
      <c r="L1397" s="28">
        <v>2</v>
      </c>
      <c r="M1397" s="33">
        <f t="shared" si="580"/>
        <v>2</v>
      </c>
      <c r="N1397" s="1">
        <v>4317391200</v>
      </c>
    </row>
    <row r="1398" spans="1:14" ht="18" customHeight="1" x14ac:dyDescent="0.45">
      <c r="A1398" s="13">
        <v>1392</v>
      </c>
      <c r="B1398" s="41" t="str">
        <f t="shared" ref="B1398:C1401" si="600">B1397</f>
        <v>西日本第二本部</v>
      </c>
      <c r="C1398" s="41" t="str">
        <f t="shared" si="600"/>
        <v>そんぽの家　西岡山</v>
      </c>
      <c r="D1398" s="14" t="s">
        <v>4</v>
      </c>
      <c r="E1398" s="15">
        <v>1</v>
      </c>
      <c r="F1398" s="16">
        <v>15</v>
      </c>
      <c r="G1398" s="17">
        <v>15</v>
      </c>
      <c r="H1398" s="16">
        <v>12</v>
      </c>
      <c r="I1398" s="17">
        <v>12</v>
      </c>
      <c r="J1398" s="15">
        <v>27</v>
      </c>
      <c r="K1398" s="44">
        <f t="shared" si="590"/>
        <v>9</v>
      </c>
      <c r="L1398" s="28">
        <v>2</v>
      </c>
      <c r="M1398" s="33">
        <f t="shared" si="580"/>
        <v>2</v>
      </c>
      <c r="N1398" s="1">
        <v>4317391200</v>
      </c>
    </row>
    <row r="1399" spans="1:14" ht="18" customHeight="1" x14ac:dyDescent="0.45">
      <c r="A1399" s="13">
        <v>1393</v>
      </c>
      <c r="B1399" s="41" t="str">
        <f t="shared" si="600"/>
        <v>西日本第二本部</v>
      </c>
      <c r="C1399" s="41" t="str">
        <f t="shared" si="600"/>
        <v>そんぽの家　西岡山</v>
      </c>
      <c r="D1399" s="14" t="s">
        <v>5</v>
      </c>
      <c r="E1399" s="15">
        <v>1</v>
      </c>
      <c r="F1399" s="16">
        <v>17</v>
      </c>
      <c r="G1399" s="17">
        <v>17</v>
      </c>
      <c r="H1399" s="16">
        <v>0</v>
      </c>
      <c r="I1399" s="17">
        <v>0</v>
      </c>
      <c r="J1399" s="15">
        <v>17</v>
      </c>
      <c r="K1399" s="44">
        <f t="shared" si="590"/>
        <v>9</v>
      </c>
      <c r="L1399" s="28">
        <v>2</v>
      </c>
      <c r="M1399" s="33">
        <f t="shared" si="580"/>
        <v>2</v>
      </c>
      <c r="N1399" s="1">
        <v>4317391200</v>
      </c>
    </row>
    <row r="1400" spans="1:14" ht="18" customHeight="1" x14ac:dyDescent="0.45">
      <c r="A1400" s="13">
        <v>1394</v>
      </c>
      <c r="B1400" s="41" t="str">
        <f t="shared" si="600"/>
        <v>西日本第二本部</v>
      </c>
      <c r="C1400" s="41" t="str">
        <f t="shared" si="600"/>
        <v>そんぽの家　西岡山</v>
      </c>
      <c r="D1400" s="14" t="s">
        <v>6</v>
      </c>
      <c r="E1400" s="15">
        <v>2</v>
      </c>
      <c r="F1400" s="16">
        <v>9</v>
      </c>
      <c r="G1400" s="17">
        <v>4.5</v>
      </c>
      <c r="H1400" s="16">
        <v>0</v>
      </c>
      <c r="I1400" s="17">
        <v>0</v>
      </c>
      <c r="J1400" s="15">
        <v>9</v>
      </c>
      <c r="K1400" s="44">
        <f t="shared" si="590"/>
        <v>9</v>
      </c>
      <c r="L1400" s="28">
        <v>2</v>
      </c>
      <c r="M1400" s="33">
        <f t="shared" si="580"/>
        <v>2</v>
      </c>
      <c r="N1400" s="1">
        <v>4317391200</v>
      </c>
    </row>
    <row r="1401" spans="1:14" ht="18" customHeight="1" x14ac:dyDescent="0.45">
      <c r="A1401" s="13">
        <v>1395</v>
      </c>
      <c r="B1401" s="42" t="str">
        <f t="shared" si="600"/>
        <v>西日本第二本部</v>
      </c>
      <c r="C1401" s="42" t="str">
        <f t="shared" si="600"/>
        <v>そんぽの家　西岡山</v>
      </c>
      <c r="D1401" s="14" t="s">
        <v>2</v>
      </c>
      <c r="E1401" s="15">
        <v>1</v>
      </c>
      <c r="F1401" s="16">
        <v>6</v>
      </c>
      <c r="G1401" s="17">
        <v>6</v>
      </c>
      <c r="H1401" s="16">
        <v>0</v>
      </c>
      <c r="I1401" s="17">
        <v>0</v>
      </c>
      <c r="J1401" s="15">
        <v>6</v>
      </c>
      <c r="K1401" s="45">
        <f t="shared" si="590"/>
        <v>9</v>
      </c>
      <c r="L1401" s="28">
        <v>1</v>
      </c>
      <c r="M1401" s="33">
        <f t="shared" si="580"/>
        <v>1</v>
      </c>
      <c r="N1401" s="1">
        <v>4317391200</v>
      </c>
    </row>
    <row r="1402" spans="1:14" ht="18" customHeight="1" x14ac:dyDescent="0.45">
      <c r="A1402" s="8">
        <v>1396</v>
      </c>
      <c r="B1402" s="34" t="s">
        <v>149</v>
      </c>
      <c r="C1402" s="34" t="s">
        <v>162</v>
      </c>
      <c r="D1402" s="9" t="s">
        <v>3</v>
      </c>
      <c r="E1402" s="10">
        <v>1</v>
      </c>
      <c r="F1402" s="11">
        <v>20</v>
      </c>
      <c r="G1402" s="12">
        <v>20</v>
      </c>
      <c r="H1402" s="11">
        <v>18</v>
      </c>
      <c r="I1402" s="12">
        <v>18</v>
      </c>
      <c r="J1402" s="10">
        <v>38</v>
      </c>
      <c r="K1402" s="37">
        <f t="shared" ref="K1402" si="601">SUM(M1402:M1406)</f>
        <v>10</v>
      </c>
      <c r="L1402" s="28">
        <v>2</v>
      </c>
      <c r="M1402" s="33">
        <f t="shared" si="580"/>
        <v>2</v>
      </c>
      <c r="N1402" s="1">
        <v>4317401200</v>
      </c>
    </row>
    <row r="1403" spans="1:14" ht="18" customHeight="1" x14ac:dyDescent="0.45">
      <c r="A1403" s="8">
        <v>1397</v>
      </c>
      <c r="B1403" s="35" t="str">
        <f t="shared" ref="B1403:C1406" si="602">B1402</f>
        <v>西日本第二本部</v>
      </c>
      <c r="C1403" s="35" t="str">
        <f t="shared" si="602"/>
        <v>そんぽの家　下中野</v>
      </c>
      <c r="D1403" s="9" t="s">
        <v>4</v>
      </c>
      <c r="E1403" s="10">
        <v>1</v>
      </c>
      <c r="F1403" s="11">
        <v>14</v>
      </c>
      <c r="G1403" s="12">
        <v>14</v>
      </c>
      <c r="H1403" s="11">
        <v>12</v>
      </c>
      <c r="I1403" s="12">
        <v>12</v>
      </c>
      <c r="J1403" s="10">
        <v>26</v>
      </c>
      <c r="K1403" s="38">
        <f t="shared" si="590"/>
        <v>10</v>
      </c>
      <c r="L1403" s="28">
        <v>2</v>
      </c>
      <c r="M1403" s="33">
        <f t="shared" si="580"/>
        <v>2</v>
      </c>
      <c r="N1403" s="1">
        <v>4317401200</v>
      </c>
    </row>
    <row r="1404" spans="1:14" ht="18" customHeight="1" x14ac:dyDescent="0.45">
      <c r="A1404" s="8">
        <v>1398</v>
      </c>
      <c r="B1404" s="35" t="str">
        <f t="shared" si="602"/>
        <v>西日本第二本部</v>
      </c>
      <c r="C1404" s="35" t="str">
        <f t="shared" si="602"/>
        <v>そんぽの家　下中野</v>
      </c>
      <c r="D1404" s="9" t="s">
        <v>5</v>
      </c>
      <c r="E1404" s="10">
        <v>1</v>
      </c>
      <c r="F1404" s="11">
        <v>20</v>
      </c>
      <c r="G1404" s="12">
        <v>20</v>
      </c>
      <c r="H1404" s="11">
        <v>0</v>
      </c>
      <c r="I1404" s="12">
        <v>0</v>
      </c>
      <c r="J1404" s="10">
        <v>20</v>
      </c>
      <c r="K1404" s="38">
        <f t="shared" si="590"/>
        <v>10</v>
      </c>
      <c r="L1404" s="28">
        <v>2</v>
      </c>
      <c r="M1404" s="33">
        <f t="shared" si="580"/>
        <v>2</v>
      </c>
      <c r="N1404" s="1">
        <v>4317401200</v>
      </c>
    </row>
    <row r="1405" spans="1:14" ht="18" customHeight="1" x14ac:dyDescent="0.45">
      <c r="A1405" s="8">
        <v>1399</v>
      </c>
      <c r="B1405" s="35" t="str">
        <f t="shared" si="602"/>
        <v>西日本第二本部</v>
      </c>
      <c r="C1405" s="35" t="str">
        <f t="shared" si="602"/>
        <v>そんぽの家　下中野</v>
      </c>
      <c r="D1405" s="9" t="s">
        <v>6</v>
      </c>
      <c r="E1405" s="10">
        <v>3</v>
      </c>
      <c r="F1405" s="11">
        <v>5</v>
      </c>
      <c r="G1405" s="12">
        <v>1.7</v>
      </c>
      <c r="H1405" s="11">
        <v>5</v>
      </c>
      <c r="I1405" s="12">
        <v>1.7</v>
      </c>
      <c r="J1405" s="10">
        <v>10</v>
      </c>
      <c r="K1405" s="38">
        <f t="shared" si="590"/>
        <v>10</v>
      </c>
      <c r="L1405" s="28">
        <v>2</v>
      </c>
      <c r="M1405" s="33">
        <f t="shared" si="580"/>
        <v>2</v>
      </c>
      <c r="N1405" s="1">
        <v>4317401200</v>
      </c>
    </row>
    <row r="1406" spans="1:14" ht="18" customHeight="1" x14ac:dyDescent="0.45">
      <c r="A1406" s="8">
        <v>1400</v>
      </c>
      <c r="B1406" s="36" t="str">
        <f t="shared" si="602"/>
        <v>西日本第二本部</v>
      </c>
      <c r="C1406" s="36" t="str">
        <f t="shared" si="602"/>
        <v>そんぽの家　下中野</v>
      </c>
      <c r="D1406" s="9" t="s">
        <v>2</v>
      </c>
      <c r="E1406" s="10">
        <v>1</v>
      </c>
      <c r="F1406" s="11">
        <v>19</v>
      </c>
      <c r="G1406" s="12">
        <v>19</v>
      </c>
      <c r="H1406" s="11">
        <v>4</v>
      </c>
      <c r="I1406" s="12">
        <v>4</v>
      </c>
      <c r="J1406" s="10">
        <v>23</v>
      </c>
      <c r="K1406" s="39">
        <f t="shared" si="590"/>
        <v>10</v>
      </c>
      <c r="L1406" s="28">
        <v>2</v>
      </c>
      <c r="M1406" s="33">
        <f t="shared" si="580"/>
        <v>2</v>
      </c>
      <c r="N1406" s="1">
        <v>4317401200</v>
      </c>
    </row>
    <row r="1407" spans="1:14" ht="18" customHeight="1" x14ac:dyDescent="0.45">
      <c r="A1407" s="13">
        <v>1401</v>
      </c>
      <c r="B1407" s="40" t="s">
        <v>149</v>
      </c>
      <c r="C1407" s="40" t="s">
        <v>163</v>
      </c>
      <c r="D1407" s="14" t="s">
        <v>3</v>
      </c>
      <c r="E1407" s="15">
        <v>1</v>
      </c>
      <c r="F1407" s="16">
        <v>19</v>
      </c>
      <c r="G1407" s="17">
        <v>19</v>
      </c>
      <c r="H1407" s="16">
        <v>6</v>
      </c>
      <c r="I1407" s="17">
        <v>6</v>
      </c>
      <c r="J1407" s="15">
        <v>25</v>
      </c>
      <c r="K1407" s="43">
        <f t="shared" ref="K1407" si="603">SUM(M1407:M1411)</f>
        <v>8</v>
      </c>
      <c r="L1407" s="28">
        <v>2</v>
      </c>
      <c r="M1407" s="33">
        <f t="shared" si="580"/>
        <v>2</v>
      </c>
      <c r="N1407" s="1">
        <v>4317411200</v>
      </c>
    </row>
    <row r="1408" spans="1:14" ht="18" customHeight="1" x14ac:dyDescent="0.45">
      <c r="A1408" s="13">
        <v>1402</v>
      </c>
      <c r="B1408" s="41" t="str">
        <f t="shared" ref="B1408:C1411" si="604">B1407</f>
        <v>西日本第二本部</v>
      </c>
      <c r="C1408" s="41" t="str">
        <f t="shared" si="604"/>
        <v>そんぽの家　津高</v>
      </c>
      <c r="D1408" s="14" t="s">
        <v>4</v>
      </c>
      <c r="E1408" s="15">
        <v>2</v>
      </c>
      <c r="F1408" s="16">
        <v>18</v>
      </c>
      <c r="G1408" s="17">
        <v>9</v>
      </c>
      <c r="H1408" s="16">
        <v>9</v>
      </c>
      <c r="I1408" s="17">
        <v>4.5</v>
      </c>
      <c r="J1408" s="15">
        <v>27</v>
      </c>
      <c r="K1408" s="44">
        <f t="shared" si="590"/>
        <v>8</v>
      </c>
      <c r="L1408" s="28">
        <v>2</v>
      </c>
      <c r="M1408" s="33">
        <f t="shared" si="580"/>
        <v>2</v>
      </c>
      <c r="N1408" s="1">
        <v>4317411200</v>
      </c>
    </row>
    <row r="1409" spans="1:14" ht="18" customHeight="1" x14ac:dyDescent="0.45">
      <c r="A1409" s="13">
        <v>1403</v>
      </c>
      <c r="B1409" s="41" t="str">
        <f t="shared" si="604"/>
        <v>西日本第二本部</v>
      </c>
      <c r="C1409" s="41" t="str">
        <f t="shared" si="604"/>
        <v>そんぽの家　津高</v>
      </c>
      <c r="D1409" s="14" t="s">
        <v>5</v>
      </c>
      <c r="E1409" s="15">
        <v>0</v>
      </c>
      <c r="F1409" s="16">
        <v>0</v>
      </c>
      <c r="G1409" s="17">
        <v>0</v>
      </c>
      <c r="H1409" s="16">
        <v>0</v>
      </c>
      <c r="I1409" s="17">
        <v>0</v>
      </c>
      <c r="J1409" s="15">
        <v>0</v>
      </c>
      <c r="K1409" s="44">
        <f t="shared" si="590"/>
        <v>8</v>
      </c>
      <c r="L1409" s="28">
        <v>0</v>
      </c>
      <c r="M1409" s="33">
        <f t="shared" si="580"/>
        <v>0</v>
      </c>
      <c r="N1409" s="1">
        <v>4317411200</v>
      </c>
    </row>
    <row r="1410" spans="1:14" ht="18" customHeight="1" x14ac:dyDescent="0.45">
      <c r="A1410" s="13">
        <v>1404</v>
      </c>
      <c r="B1410" s="41" t="str">
        <f t="shared" si="604"/>
        <v>西日本第二本部</v>
      </c>
      <c r="C1410" s="41" t="str">
        <f t="shared" si="604"/>
        <v>そんぽの家　津高</v>
      </c>
      <c r="D1410" s="14" t="s">
        <v>6</v>
      </c>
      <c r="E1410" s="15">
        <v>2</v>
      </c>
      <c r="F1410" s="16">
        <v>19</v>
      </c>
      <c r="G1410" s="17">
        <v>9.5</v>
      </c>
      <c r="H1410" s="16">
        <v>6</v>
      </c>
      <c r="I1410" s="17">
        <v>3</v>
      </c>
      <c r="J1410" s="15">
        <v>25</v>
      </c>
      <c r="K1410" s="44">
        <f t="shared" si="590"/>
        <v>8</v>
      </c>
      <c r="L1410" s="28">
        <v>2</v>
      </c>
      <c r="M1410" s="33">
        <f t="shared" si="580"/>
        <v>2</v>
      </c>
      <c r="N1410" s="1">
        <v>4317411200</v>
      </c>
    </row>
    <row r="1411" spans="1:14" ht="18" customHeight="1" x14ac:dyDescent="0.45">
      <c r="A1411" s="13">
        <v>1405</v>
      </c>
      <c r="B1411" s="42" t="str">
        <f t="shared" si="604"/>
        <v>西日本第二本部</v>
      </c>
      <c r="C1411" s="42" t="str">
        <f t="shared" si="604"/>
        <v>そんぽの家　津高</v>
      </c>
      <c r="D1411" s="14" t="s">
        <v>2</v>
      </c>
      <c r="E1411" s="15">
        <v>1</v>
      </c>
      <c r="F1411" s="16">
        <v>28</v>
      </c>
      <c r="G1411" s="17">
        <v>28</v>
      </c>
      <c r="H1411" s="16">
        <v>1</v>
      </c>
      <c r="I1411" s="17">
        <v>1</v>
      </c>
      <c r="J1411" s="15">
        <v>29</v>
      </c>
      <c r="K1411" s="45">
        <f t="shared" si="590"/>
        <v>8</v>
      </c>
      <c r="L1411" s="28">
        <v>2</v>
      </c>
      <c r="M1411" s="33">
        <f t="shared" si="580"/>
        <v>2</v>
      </c>
      <c r="N1411" s="1">
        <v>4317411200</v>
      </c>
    </row>
    <row r="1412" spans="1:14" ht="18" customHeight="1" x14ac:dyDescent="0.45">
      <c r="A1412" s="8">
        <v>1406</v>
      </c>
      <c r="B1412" s="34" t="s">
        <v>149</v>
      </c>
      <c r="C1412" s="34" t="s">
        <v>164</v>
      </c>
      <c r="D1412" s="9" t="s">
        <v>3</v>
      </c>
      <c r="E1412" s="10">
        <v>1</v>
      </c>
      <c r="F1412" s="11">
        <v>25</v>
      </c>
      <c r="G1412" s="12">
        <v>25</v>
      </c>
      <c r="H1412" s="11">
        <v>24</v>
      </c>
      <c r="I1412" s="12">
        <v>24</v>
      </c>
      <c r="J1412" s="10">
        <v>49</v>
      </c>
      <c r="K1412" s="37">
        <f t="shared" ref="K1412" si="605">SUM(M1412:M1416)</f>
        <v>10</v>
      </c>
      <c r="L1412" s="28">
        <v>2</v>
      </c>
      <c r="M1412" s="33">
        <f t="shared" si="580"/>
        <v>2</v>
      </c>
      <c r="N1412" s="1">
        <v>4317421200</v>
      </c>
    </row>
    <row r="1413" spans="1:14" ht="18" customHeight="1" x14ac:dyDescent="0.45">
      <c r="A1413" s="8">
        <v>1407</v>
      </c>
      <c r="B1413" s="35" t="str">
        <f t="shared" ref="B1413:C1416" si="606">B1412</f>
        <v>西日本第二本部</v>
      </c>
      <c r="C1413" s="35" t="str">
        <f t="shared" si="606"/>
        <v>そんぽの家　浜の茶屋</v>
      </c>
      <c r="D1413" s="9" t="s">
        <v>4</v>
      </c>
      <c r="E1413" s="10">
        <v>1</v>
      </c>
      <c r="F1413" s="11">
        <v>20</v>
      </c>
      <c r="G1413" s="12">
        <v>20</v>
      </c>
      <c r="H1413" s="11">
        <v>8</v>
      </c>
      <c r="I1413" s="12">
        <v>8</v>
      </c>
      <c r="J1413" s="10">
        <v>28</v>
      </c>
      <c r="K1413" s="38">
        <f t="shared" si="590"/>
        <v>10</v>
      </c>
      <c r="L1413" s="28">
        <v>2</v>
      </c>
      <c r="M1413" s="33">
        <f t="shared" si="580"/>
        <v>2</v>
      </c>
      <c r="N1413" s="1">
        <v>4317421200</v>
      </c>
    </row>
    <row r="1414" spans="1:14" ht="18" customHeight="1" x14ac:dyDescent="0.45">
      <c r="A1414" s="8">
        <v>1408</v>
      </c>
      <c r="B1414" s="35" t="str">
        <f t="shared" si="606"/>
        <v>西日本第二本部</v>
      </c>
      <c r="C1414" s="35" t="str">
        <f t="shared" si="606"/>
        <v>そんぽの家　浜の茶屋</v>
      </c>
      <c r="D1414" s="9" t="s">
        <v>5</v>
      </c>
      <c r="E1414" s="10">
        <v>1</v>
      </c>
      <c r="F1414" s="11">
        <v>33</v>
      </c>
      <c r="G1414" s="12">
        <v>33</v>
      </c>
      <c r="H1414" s="11">
        <v>0</v>
      </c>
      <c r="I1414" s="12">
        <v>0</v>
      </c>
      <c r="J1414" s="10">
        <v>33</v>
      </c>
      <c r="K1414" s="38">
        <f t="shared" si="590"/>
        <v>10</v>
      </c>
      <c r="L1414" s="28">
        <v>2</v>
      </c>
      <c r="M1414" s="33">
        <f t="shared" si="580"/>
        <v>2</v>
      </c>
      <c r="N1414" s="1">
        <v>4317421200</v>
      </c>
    </row>
    <row r="1415" spans="1:14" ht="18" customHeight="1" x14ac:dyDescent="0.45">
      <c r="A1415" s="8">
        <v>1409</v>
      </c>
      <c r="B1415" s="35" t="str">
        <f t="shared" si="606"/>
        <v>西日本第二本部</v>
      </c>
      <c r="C1415" s="35" t="str">
        <f t="shared" si="606"/>
        <v>そんぽの家　浜の茶屋</v>
      </c>
      <c r="D1415" s="9" t="s">
        <v>6</v>
      </c>
      <c r="E1415" s="10">
        <v>3</v>
      </c>
      <c r="F1415" s="11">
        <v>9</v>
      </c>
      <c r="G1415" s="12">
        <v>3</v>
      </c>
      <c r="H1415" s="11">
        <v>0</v>
      </c>
      <c r="I1415" s="12">
        <v>0</v>
      </c>
      <c r="J1415" s="10">
        <v>9</v>
      </c>
      <c r="K1415" s="38">
        <f t="shared" si="590"/>
        <v>10</v>
      </c>
      <c r="L1415" s="28">
        <v>2</v>
      </c>
      <c r="M1415" s="33">
        <f t="shared" si="580"/>
        <v>2</v>
      </c>
      <c r="N1415" s="1">
        <v>4317421200</v>
      </c>
    </row>
    <row r="1416" spans="1:14" ht="18" customHeight="1" x14ac:dyDescent="0.45">
      <c r="A1416" s="8">
        <v>1410</v>
      </c>
      <c r="B1416" s="36" t="str">
        <f t="shared" si="606"/>
        <v>西日本第二本部</v>
      </c>
      <c r="C1416" s="36" t="str">
        <f t="shared" si="606"/>
        <v>そんぽの家　浜の茶屋</v>
      </c>
      <c r="D1416" s="9" t="s">
        <v>2</v>
      </c>
      <c r="E1416" s="10">
        <v>1</v>
      </c>
      <c r="F1416" s="11">
        <v>11</v>
      </c>
      <c r="G1416" s="12">
        <v>11</v>
      </c>
      <c r="H1416" s="11">
        <v>0</v>
      </c>
      <c r="I1416" s="12">
        <v>0</v>
      </c>
      <c r="J1416" s="10">
        <v>11</v>
      </c>
      <c r="K1416" s="39">
        <f t="shared" si="590"/>
        <v>10</v>
      </c>
      <c r="L1416" s="28">
        <v>2</v>
      </c>
      <c r="M1416" s="33">
        <f t="shared" ref="M1416:M1456" si="607">L1416</f>
        <v>2</v>
      </c>
      <c r="N1416" s="1">
        <v>4317421200</v>
      </c>
    </row>
    <row r="1417" spans="1:14" ht="18" customHeight="1" x14ac:dyDescent="0.45">
      <c r="A1417" s="13">
        <v>1411</v>
      </c>
      <c r="B1417" s="40" t="s">
        <v>149</v>
      </c>
      <c r="C1417" s="40" t="s">
        <v>165</v>
      </c>
      <c r="D1417" s="14" t="s">
        <v>3</v>
      </c>
      <c r="E1417" s="15">
        <v>1</v>
      </c>
      <c r="F1417" s="16">
        <v>14</v>
      </c>
      <c r="G1417" s="17">
        <v>14</v>
      </c>
      <c r="H1417" s="16">
        <v>2</v>
      </c>
      <c r="I1417" s="17">
        <v>2</v>
      </c>
      <c r="J1417" s="15">
        <v>16</v>
      </c>
      <c r="K1417" s="43">
        <f t="shared" ref="K1417" si="608">SUM(M1417:M1421)</f>
        <v>8</v>
      </c>
      <c r="L1417" s="28">
        <v>2</v>
      </c>
      <c r="M1417" s="33">
        <f t="shared" si="607"/>
        <v>2</v>
      </c>
      <c r="N1417" s="1">
        <v>4317431200</v>
      </c>
    </row>
    <row r="1418" spans="1:14" ht="18" customHeight="1" x14ac:dyDescent="0.45">
      <c r="A1418" s="13">
        <v>1412</v>
      </c>
      <c r="B1418" s="41" t="str">
        <f t="shared" ref="B1418:C1421" si="609">B1417</f>
        <v>西日本第二本部</v>
      </c>
      <c r="C1418" s="41" t="str">
        <f t="shared" si="609"/>
        <v>そんぽの家　中庄</v>
      </c>
      <c r="D1418" s="14" t="s">
        <v>4</v>
      </c>
      <c r="E1418" s="15">
        <v>1</v>
      </c>
      <c r="F1418" s="16">
        <v>13</v>
      </c>
      <c r="G1418" s="17">
        <v>13</v>
      </c>
      <c r="H1418" s="16">
        <v>13</v>
      </c>
      <c r="I1418" s="17">
        <v>13</v>
      </c>
      <c r="J1418" s="15">
        <v>26</v>
      </c>
      <c r="K1418" s="44">
        <f t="shared" si="590"/>
        <v>8</v>
      </c>
      <c r="L1418" s="28">
        <v>2</v>
      </c>
      <c r="M1418" s="33">
        <f t="shared" si="607"/>
        <v>2</v>
      </c>
      <c r="N1418" s="1">
        <v>4317431200</v>
      </c>
    </row>
    <row r="1419" spans="1:14" ht="18" customHeight="1" x14ac:dyDescent="0.45">
      <c r="A1419" s="13">
        <v>1413</v>
      </c>
      <c r="B1419" s="41" t="str">
        <f t="shared" si="609"/>
        <v>西日本第二本部</v>
      </c>
      <c r="C1419" s="41" t="str">
        <f t="shared" si="609"/>
        <v>そんぽの家　中庄</v>
      </c>
      <c r="D1419" s="14" t="s">
        <v>5</v>
      </c>
      <c r="E1419" s="15">
        <v>2</v>
      </c>
      <c r="F1419" s="16">
        <v>58</v>
      </c>
      <c r="G1419" s="17">
        <v>29</v>
      </c>
      <c r="H1419" s="16">
        <v>0</v>
      </c>
      <c r="I1419" s="17">
        <v>0</v>
      </c>
      <c r="J1419" s="15">
        <v>58</v>
      </c>
      <c r="K1419" s="44">
        <f t="shared" si="590"/>
        <v>8</v>
      </c>
      <c r="L1419" s="28">
        <v>2</v>
      </c>
      <c r="M1419" s="33">
        <f t="shared" si="607"/>
        <v>2</v>
      </c>
      <c r="N1419" s="1">
        <v>4317431200</v>
      </c>
    </row>
    <row r="1420" spans="1:14" ht="18" customHeight="1" x14ac:dyDescent="0.45">
      <c r="A1420" s="13">
        <v>1414</v>
      </c>
      <c r="B1420" s="41" t="str">
        <f t="shared" si="609"/>
        <v>西日本第二本部</v>
      </c>
      <c r="C1420" s="41" t="str">
        <f t="shared" si="609"/>
        <v>そんぽの家　中庄</v>
      </c>
      <c r="D1420" s="14" t="s">
        <v>6</v>
      </c>
      <c r="E1420" s="15">
        <v>4</v>
      </c>
      <c r="F1420" s="16">
        <v>3</v>
      </c>
      <c r="G1420" s="17">
        <v>0.8</v>
      </c>
      <c r="H1420" s="16">
        <v>0</v>
      </c>
      <c r="I1420" s="17">
        <v>0</v>
      </c>
      <c r="J1420" s="15">
        <v>3</v>
      </c>
      <c r="K1420" s="44">
        <f t="shared" si="590"/>
        <v>8</v>
      </c>
      <c r="L1420" s="28">
        <v>0</v>
      </c>
      <c r="M1420" s="33">
        <f t="shared" si="607"/>
        <v>0</v>
      </c>
      <c r="N1420" s="1">
        <v>4317431200</v>
      </c>
    </row>
    <row r="1421" spans="1:14" ht="18" customHeight="1" x14ac:dyDescent="0.45">
      <c r="A1421" s="13">
        <v>1415</v>
      </c>
      <c r="B1421" s="42" t="str">
        <f t="shared" si="609"/>
        <v>西日本第二本部</v>
      </c>
      <c r="C1421" s="42" t="str">
        <f t="shared" si="609"/>
        <v>そんぽの家　中庄</v>
      </c>
      <c r="D1421" s="14" t="s">
        <v>2</v>
      </c>
      <c r="E1421" s="15">
        <v>2</v>
      </c>
      <c r="F1421" s="16">
        <v>8</v>
      </c>
      <c r="G1421" s="17">
        <v>4</v>
      </c>
      <c r="H1421" s="16">
        <v>0</v>
      </c>
      <c r="I1421" s="17">
        <v>0</v>
      </c>
      <c r="J1421" s="15">
        <v>8</v>
      </c>
      <c r="K1421" s="45">
        <f t="shared" si="590"/>
        <v>8</v>
      </c>
      <c r="L1421" s="28">
        <v>2</v>
      </c>
      <c r="M1421" s="33">
        <f t="shared" si="607"/>
        <v>2</v>
      </c>
      <c r="N1421" s="1">
        <v>4317431200</v>
      </c>
    </row>
    <row r="1422" spans="1:14" ht="18" customHeight="1" x14ac:dyDescent="0.45">
      <c r="A1422" s="8">
        <v>1416</v>
      </c>
      <c r="B1422" s="34" t="s">
        <v>149</v>
      </c>
      <c r="C1422" s="34" t="s">
        <v>166</v>
      </c>
      <c r="D1422" s="9" t="s">
        <v>3</v>
      </c>
      <c r="E1422" s="10">
        <v>1</v>
      </c>
      <c r="F1422" s="11">
        <v>18</v>
      </c>
      <c r="G1422" s="12">
        <v>18</v>
      </c>
      <c r="H1422" s="11">
        <v>8</v>
      </c>
      <c r="I1422" s="12">
        <v>8</v>
      </c>
      <c r="J1422" s="10">
        <v>26</v>
      </c>
      <c r="K1422" s="37">
        <f t="shared" ref="K1422" si="610">SUM(M1422:M1426)</f>
        <v>9</v>
      </c>
      <c r="L1422" s="28">
        <v>2</v>
      </c>
      <c r="M1422" s="33">
        <f t="shared" si="607"/>
        <v>2</v>
      </c>
      <c r="N1422" s="1">
        <v>4317441200</v>
      </c>
    </row>
    <row r="1423" spans="1:14" ht="18" customHeight="1" x14ac:dyDescent="0.45">
      <c r="A1423" s="8">
        <v>1417</v>
      </c>
      <c r="B1423" s="35" t="str">
        <f t="shared" ref="B1423:C1426" si="611">B1422</f>
        <v>西日本第二本部</v>
      </c>
      <c r="C1423" s="35" t="str">
        <f t="shared" si="611"/>
        <v>そんぽの家　倉敷西</v>
      </c>
      <c r="D1423" s="9" t="s">
        <v>4</v>
      </c>
      <c r="E1423" s="10">
        <v>1</v>
      </c>
      <c r="F1423" s="11">
        <v>16</v>
      </c>
      <c r="G1423" s="12">
        <v>16</v>
      </c>
      <c r="H1423" s="11">
        <v>12</v>
      </c>
      <c r="I1423" s="12">
        <v>12</v>
      </c>
      <c r="J1423" s="10">
        <v>28</v>
      </c>
      <c r="K1423" s="38">
        <f t="shared" si="590"/>
        <v>9</v>
      </c>
      <c r="L1423" s="28">
        <v>2</v>
      </c>
      <c r="M1423" s="33">
        <f t="shared" si="607"/>
        <v>2</v>
      </c>
      <c r="N1423" s="1">
        <v>4317441200</v>
      </c>
    </row>
    <row r="1424" spans="1:14" ht="18" customHeight="1" x14ac:dyDescent="0.45">
      <c r="A1424" s="8">
        <v>1418</v>
      </c>
      <c r="B1424" s="35" t="str">
        <f t="shared" si="611"/>
        <v>西日本第二本部</v>
      </c>
      <c r="C1424" s="35" t="str">
        <f t="shared" si="611"/>
        <v>そんぽの家　倉敷西</v>
      </c>
      <c r="D1424" s="9" t="s">
        <v>5</v>
      </c>
      <c r="E1424" s="10">
        <v>1</v>
      </c>
      <c r="F1424" s="11">
        <v>29</v>
      </c>
      <c r="G1424" s="12">
        <v>29</v>
      </c>
      <c r="H1424" s="11">
        <v>0</v>
      </c>
      <c r="I1424" s="12">
        <v>0</v>
      </c>
      <c r="J1424" s="10">
        <v>29</v>
      </c>
      <c r="K1424" s="38">
        <f t="shared" si="590"/>
        <v>9</v>
      </c>
      <c r="L1424" s="28">
        <v>2</v>
      </c>
      <c r="M1424" s="33">
        <f t="shared" si="607"/>
        <v>2</v>
      </c>
      <c r="N1424" s="1">
        <v>4317441200</v>
      </c>
    </row>
    <row r="1425" spans="1:14" ht="18" customHeight="1" x14ac:dyDescent="0.45">
      <c r="A1425" s="8">
        <v>1419</v>
      </c>
      <c r="B1425" s="35" t="str">
        <f t="shared" si="611"/>
        <v>西日本第二本部</v>
      </c>
      <c r="C1425" s="35" t="str">
        <f t="shared" si="611"/>
        <v>そんぽの家　倉敷西</v>
      </c>
      <c r="D1425" s="9" t="s">
        <v>6</v>
      </c>
      <c r="E1425" s="10">
        <v>3</v>
      </c>
      <c r="F1425" s="11">
        <v>7</v>
      </c>
      <c r="G1425" s="12">
        <v>2.2999999999999998</v>
      </c>
      <c r="H1425" s="11">
        <v>0</v>
      </c>
      <c r="I1425" s="12">
        <v>0</v>
      </c>
      <c r="J1425" s="10">
        <v>7</v>
      </c>
      <c r="K1425" s="38">
        <f t="shared" si="590"/>
        <v>9</v>
      </c>
      <c r="L1425" s="28">
        <v>1</v>
      </c>
      <c r="M1425" s="33">
        <f t="shared" si="607"/>
        <v>1</v>
      </c>
      <c r="N1425" s="1">
        <v>4317441200</v>
      </c>
    </row>
    <row r="1426" spans="1:14" ht="18" customHeight="1" x14ac:dyDescent="0.45">
      <c r="A1426" s="8">
        <v>1420</v>
      </c>
      <c r="B1426" s="36" t="str">
        <f t="shared" si="611"/>
        <v>西日本第二本部</v>
      </c>
      <c r="C1426" s="36" t="str">
        <f t="shared" si="611"/>
        <v>そんぽの家　倉敷西</v>
      </c>
      <c r="D1426" s="9" t="s">
        <v>2</v>
      </c>
      <c r="E1426" s="10">
        <v>1</v>
      </c>
      <c r="F1426" s="11">
        <v>20</v>
      </c>
      <c r="G1426" s="12">
        <v>20</v>
      </c>
      <c r="H1426" s="11">
        <v>0</v>
      </c>
      <c r="I1426" s="12">
        <v>0</v>
      </c>
      <c r="J1426" s="10">
        <v>20</v>
      </c>
      <c r="K1426" s="39">
        <f t="shared" si="590"/>
        <v>9</v>
      </c>
      <c r="L1426" s="28">
        <v>2</v>
      </c>
      <c r="M1426" s="33">
        <f t="shared" si="607"/>
        <v>2</v>
      </c>
      <c r="N1426" s="1">
        <v>4317441200</v>
      </c>
    </row>
    <row r="1427" spans="1:14" ht="18" customHeight="1" x14ac:dyDescent="0.45">
      <c r="A1427" s="13">
        <v>1421</v>
      </c>
      <c r="B1427" s="40" t="s">
        <v>149</v>
      </c>
      <c r="C1427" s="40" t="s">
        <v>167</v>
      </c>
      <c r="D1427" s="14" t="s">
        <v>3</v>
      </c>
      <c r="E1427" s="15">
        <v>1</v>
      </c>
      <c r="F1427" s="16">
        <v>19</v>
      </c>
      <c r="G1427" s="17">
        <v>19</v>
      </c>
      <c r="H1427" s="16">
        <v>19</v>
      </c>
      <c r="I1427" s="17">
        <v>19</v>
      </c>
      <c r="J1427" s="15">
        <v>38</v>
      </c>
      <c r="K1427" s="43">
        <f t="shared" ref="K1427" si="612">SUM(M1427:M1431)</f>
        <v>8</v>
      </c>
      <c r="L1427" s="28">
        <v>2</v>
      </c>
      <c r="M1427" s="33">
        <f t="shared" si="607"/>
        <v>2</v>
      </c>
      <c r="N1427" s="1">
        <v>4317451200</v>
      </c>
    </row>
    <row r="1428" spans="1:14" ht="18" customHeight="1" x14ac:dyDescent="0.45">
      <c r="A1428" s="13">
        <v>1422</v>
      </c>
      <c r="B1428" s="41" t="str">
        <f t="shared" ref="B1428:C1431" si="613">B1427</f>
        <v>西日本第二本部</v>
      </c>
      <c r="C1428" s="41" t="str">
        <f t="shared" si="613"/>
        <v>そんぽの家　倉敷</v>
      </c>
      <c r="D1428" s="14" t="s">
        <v>4</v>
      </c>
      <c r="E1428" s="15">
        <v>1</v>
      </c>
      <c r="F1428" s="16">
        <v>11</v>
      </c>
      <c r="G1428" s="17">
        <v>11</v>
      </c>
      <c r="H1428" s="16">
        <v>11</v>
      </c>
      <c r="I1428" s="17">
        <v>11</v>
      </c>
      <c r="J1428" s="15">
        <v>22</v>
      </c>
      <c r="K1428" s="44">
        <f t="shared" si="590"/>
        <v>8</v>
      </c>
      <c r="L1428" s="28">
        <v>2</v>
      </c>
      <c r="M1428" s="33">
        <f t="shared" si="607"/>
        <v>2</v>
      </c>
      <c r="N1428" s="1">
        <v>4317451200</v>
      </c>
    </row>
    <row r="1429" spans="1:14" ht="18" customHeight="1" x14ac:dyDescent="0.45">
      <c r="A1429" s="13">
        <v>1423</v>
      </c>
      <c r="B1429" s="41" t="str">
        <f t="shared" si="613"/>
        <v>西日本第二本部</v>
      </c>
      <c r="C1429" s="41" t="str">
        <f t="shared" si="613"/>
        <v>そんぽの家　倉敷</v>
      </c>
      <c r="D1429" s="14" t="s">
        <v>5</v>
      </c>
      <c r="E1429" s="15">
        <v>1</v>
      </c>
      <c r="F1429" s="16">
        <v>44</v>
      </c>
      <c r="G1429" s="17">
        <v>44</v>
      </c>
      <c r="H1429" s="16">
        <v>0</v>
      </c>
      <c r="I1429" s="17">
        <v>0</v>
      </c>
      <c r="J1429" s="15">
        <v>44</v>
      </c>
      <c r="K1429" s="44">
        <f t="shared" si="590"/>
        <v>8</v>
      </c>
      <c r="L1429" s="28">
        <v>2</v>
      </c>
      <c r="M1429" s="33">
        <f t="shared" si="607"/>
        <v>2</v>
      </c>
      <c r="N1429" s="1">
        <v>4317451200</v>
      </c>
    </row>
    <row r="1430" spans="1:14" ht="18" customHeight="1" x14ac:dyDescent="0.45">
      <c r="A1430" s="13">
        <v>1424</v>
      </c>
      <c r="B1430" s="41" t="str">
        <f t="shared" si="613"/>
        <v>西日本第二本部</v>
      </c>
      <c r="C1430" s="41" t="str">
        <f t="shared" si="613"/>
        <v>そんぽの家　倉敷</v>
      </c>
      <c r="D1430" s="14" t="s">
        <v>6</v>
      </c>
      <c r="E1430" s="15">
        <v>3</v>
      </c>
      <c r="F1430" s="16">
        <v>1</v>
      </c>
      <c r="G1430" s="17">
        <v>0.3</v>
      </c>
      <c r="H1430" s="16">
        <v>0</v>
      </c>
      <c r="I1430" s="17">
        <v>0</v>
      </c>
      <c r="J1430" s="15">
        <v>1</v>
      </c>
      <c r="K1430" s="44">
        <f t="shared" si="590"/>
        <v>8</v>
      </c>
      <c r="L1430" s="28">
        <v>0</v>
      </c>
      <c r="M1430" s="33">
        <f t="shared" si="607"/>
        <v>0</v>
      </c>
      <c r="N1430" s="1">
        <v>4317451200</v>
      </c>
    </row>
    <row r="1431" spans="1:14" ht="18" customHeight="1" x14ac:dyDescent="0.45">
      <c r="A1431" s="13">
        <v>1425</v>
      </c>
      <c r="B1431" s="42" t="str">
        <f t="shared" si="613"/>
        <v>西日本第二本部</v>
      </c>
      <c r="C1431" s="42" t="str">
        <f t="shared" si="613"/>
        <v>そんぽの家　倉敷</v>
      </c>
      <c r="D1431" s="14" t="s">
        <v>2</v>
      </c>
      <c r="E1431" s="15">
        <v>1</v>
      </c>
      <c r="F1431" s="16">
        <v>39</v>
      </c>
      <c r="G1431" s="17">
        <v>39</v>
      </c>
      <c r="H1431" s="16">
        <v>0</v>
      </c>
      <c r="I1431" s="17">
        <v>0</v>
      </c>
      <c r="J1431" s="15">
        <v>39</v>
      </c>
      <c r="K1431" s="45">
        <f t="shared" si="590"/>
        <v>8</v>
      </c>
      <c r="L1431" s="28">
        <v>2</v>
      </c>
      <c r="M1431" s="33">
        <f t="shared" si="607"/>
        <v>2</v>
      </c>
      <c r="N1431" s="1">
        <v>4317451200</v>
      </c>
    </row>
    <row r="1432" spans="1:14" ht="18" customHeight="1" x14ac:dyDescent="0.45">
      <c r="A1432" s="8">
        <v>1426</v>
      </c>
      <c r="B1432" s="34" t="s">
        <v>149</v>
      </c>
      <c r="C1432" s="34" t="s">
        <v>173</v>
      </c>
      <c r="D1432" s="9" t="s">
        <v>3</v>
      </c>
      <c r="E1432" s="10">
        <v>1</v>
      </c>
      <c r="F1432" s="11">
        <v>12</v>
      </c>
      <c r="G1432" s="12">
        <v>12</v>
      </c>
      <c r="H1432" s="11">
        <v>12</v>
      </c>
      <c r="I1432" s="12">
        <v>12</v>
      </c>
      <c r="J1432" s="10">
        <v>24</v>
      </c>
      <c r="K1432" s="37">
        <f t="shared" ref="K1432" si="614">SUM(M1432:M1436)</f>
        <v>6</v>
      </c>
      <c r="L1432" s="28">
        <v>2</v>
      </c>
      <c r="M1432" s="33">
        <f t="shared" si="607"/>
        <v>2</v>
      </c>
      <c r="N1432" s="1">
        <v>4417471200</v>
      </c>
    </row>
    <row r="1433" spans="1:14" ht="18" customHeight="1" x14ac:dyDescent="0.45">
      <c r="A1433" s="8">
        <v>1427</v>
      </c>
      <c r="B1433" s="35" t="str">
        <f t="shared" ref="B1433:C1436" si="615">B1432</f>
        <v>西日本第二本部</v>
      </c>
      <c r="C1433" s="35" t="str">
        <f t="shared" si="615"/>
        <v>そんぽの家　福山東</v>
      </c>
      <c r="D1433" s="9" t="s">
        <v>4</v>
      </c>
      <c r="E1433" s="10">
        <v>1</v>
      </c>
      <c r="F1433" s="11">
        <v>1</v>
      </c>
      <c r="G1433" s="12">
        <v>1</v>
      </c>
      <c r="H1433" s="11">
        <v>1</v>
      </c>
      <c r="I1433" s="12">
        <v>1</v>
      </c>
      <c r="J1433" s="10">
        <v>2</v>
      </c>
      <c r="K1433" s="38">
        <f t="shared" si="590"/>
        <v>6</v>
      </c>
      <c r="L1433" s="28">
        <v>0</v>
      </c>
      <c r="M1433" s="33">
        <f t="shared" si="607"/>
        <v>0</v>
      </c>
      <c r="N1433" s="1">
        <v>4417471200</v>
      </c>
    </row>
    <row r="1434" spans="1:14" ht="18" customHeight="1" x14ac:dyDescent="0.45">
      <c r="A1434" s="8">
        <v>1428</v>
      </c>
      <c r="B1434" s="35" t="str">
        <f t="shared" si="615"/>
        <v>西日本第二本部</v>
      </c>
      <c r="C1434" s="35" t="str">
        <f t="shared" si="615"/>
        <v>そんぽの家　福山東</v>
      </c>
      <c r="D1434" s="9" t="s">
        <v>5</v>
      </c>
      <c r="E1434" s="10">
        <v>2</v>
      </c>
      <c r="F1434" s="11">
        <v>9</v>
      </c>
      <c r="G1434" s="12">
        <v>4.5</v>
      </c>
      <c r="H1434" s="11">
        <v>0</v>
      </c>
      <c r="I1434" s="12">
        <v>0</v>
      </c>
      <c r="J1434" s="10">
        <v>9</v>
      </c>
      <c r="K1434" s="38">
        <f t="shared" si="590"/>
        <v>6</v>
      </c>
      <c r="L1434" s="28">
        <v>2</v>
      </c>
      <c r="M1434" s="33">
        <f t="shared" si="607"/>
        <v>2</v>
      </c>
      <c r="N1434" s="1">
        <v>4417471200</v>
      </c>
    </row>
    <row r="1435" spans="1:14" ht="18" customHeight="1" x14ac:dyDescent="0.45">
      <c r="A1435" s="8">
        <v>1429</v>
      </c>
      <c r="B1435" s="35" t="str">
        <f t="shared" si="615"/>
        <v>西日本第二本部</v>
      </c>
      <c r="C1435" s="35" t="str">
        <f t="shared" si="615"/>
        <v>そんぽの家　福山東</v>
      </c>
      <c r="D1435" s="9" t="s">
        <v>6</v>
      </c>
      <c r="E1435" s="10">
        <v>4</v>
      </c>
      <c r="F1435" s="11">
        <v>1</v>
      </c>
      <c r="G1435" s="12">
        <v>0.3</v>
      </c>
      <c r="H1435" s="11">
        <v>0</v>
      </c>
      <c r="I1435" s="12">
        <v>0</v>
      </c>
      <c r="J1435" s="10">
        <v>1</v>
      </c>
      <c r="K1435" s="38">
        <f t="shared" si="590"/>
        <v>6</v>
      </c>
      <c r="L1435" s="28">
        <v>0</v>
      </c>
      <c r="M1435" s="33">
        <f t="shared" si="607"/>
        <v>0</v>
      </c>
      <c r="N1435" s="1">
        <v>4417471200</v>
      </c>
    </row>
    <row r="1436" spans="1:14" ht="18" customHeight="1" x14ac:dyDescent="0.45">
      <c r="A1436" s="8">
        <v>1430</v>
      </c>
      <c r="B1436" s="36" t="str">
        <f t="shared" si="615"/>
        <v>西日本第二本部</v>
      </c>
      <c r="C1436" s="36" t="str">
        <f t="shared" si="615"/>
        <v>そんぽの家　福山東</v>
      </c>
      <c r="D1436" s="9" t="s">
        <v>2</v>
      </c>
      <c r="E1436" s="10">
        <v>3</v>
      </c>
      <c r="F1436" s="11">
        <v>10</v>
      </c>
      <c r="G1436" s="12">
        <v>3.3</v>
      </c>
      <c r="H1436" s="11">
        <v>0</v>
      </c>
      <c r="I1436" s="12">
        <v>0</v>
      </c>
      <c r="J1436" s="10">
        <v>10</v>
      </c>
      <c r="K1436" s="39">
        <f t="shared" si="590"/>
        <v>6</v>
      </c>
      <c r="L1436" s="28">
        <v>2</v>
      </c>
      <c r="M1436" s="33">
        <f t="shared" si="607"/>
        <v>2</v>
      </c>
      <c r="N1436" s="1">
        <v>4417471200</v>
      </c>
    </row>
    <row r="1437" spans="1:14" ht="18" customHeight="1" x14ac:dyDescent="0.45">
      <c r="A1437" s="13">
        <v>1431</v>
      </c>
      <c r="B1437" s="40" t="s">
        <v>149</v>
      </c>
      <c r="C1437" s="40" t="s">
        <v>320</v>
      </c>
      <c r="D1437" s="14" t="s">
        <v>3</v>
      </c>
      <c r="E1437" s="15">
        <v>1</v>
      </c>
      <c r="F1437" s="16">
        <v>17</v>
      </c>
      <c r="G1437" s="17">
        <v>17</v>
      </c>
      <c r="H1437" s="16">
        <v>16</v>
      </c>
      <c r="I1437" s="17">
        <v>16</v>
      </c>
      <c r="J1437" s="15">
        <v>33</v>
      </c>
      <c r="K1437" s="43">
        <f t="shared" ref="K1437" si="616">SUM(M1437:M1441)</f>
        <v>8</v>
      </c>
      <c r="L1437" s="28">
        <v>2</v>
      </c>
      <c r="M1437" s="33">
        <f t="shared" si="607"/>
        <v>2</v>
      </c>
      <c r="N1437" s="1">
        <v>4417501200</v>
      </c>
    </row>
    <row r="1438" spans="1:14" ht="18" customHeight="1" x14ac:dyDescent="0.45">
      <c r="A1438" s="13">
        <v>1432</v>
      </c>
      <c r="B1438" s="41" t="str">
        <f t="shared" ref="B1438:C1441" si="617">B1437</f>
        <v>西日本第二本部</v>
      </c>
      <c r="C1438" s="41" t="str">
        <f t="shared" si="617"/>
        <v>ラヴィーレ舟入</v>
      </c>
      <c r="D1438" s="14" t="s">
        <v>4</v>
      </c>
      <c r="E1438" s="15">
        <v>2</v>
      </c>
      <c r="F1438" s="16">
        <v>22</v>
      </c>
      <c r="G1438" s="17">
        <v>11</v>
      </c>
      <c r="H1438" s="16">
        <v>18</v>
      </c>
      <c r="I1438" s="17">
        <v>9</v>
      </c>
      <c r="J1438" s="15">
        <v>40</v>
      </c>
      <c r="K1438" s="44">
        <f t="shared" ref="K1438:K1456" si="618">K1437</f>
        <v>8</v>
      </c>
      <c r="L1438" s="28">
        <v>2</v>
      </c>
      <c r="M1438" s="33">
        <f t="shared" si="607"/>
        <v>2</v>
      </c>
      <c r="N1438" s="1">
        <v>4417501200</v>
      </c>
    </row>
    <row r="1439" spans="1:14" ht="18" customHeight="1" x14ac:dyDescent="0.45">
      <c r="A1439" s="13">
        <v>1433</v>
      </c>
      <c r="B1439" s="41" t="str">
        <f t="shared" si="617"/>
        <v>西日本第二本部</v>
      </c>
      <c r="C1439" s="41" t="str">
        <f t="shared" si="617"/>
        <v>ラヴィーレ舟入</v>
      </c>
      <c r="D1439" s="14" t="s">
        <v>5</v>
      </c>
      <c r="E1439" s="15">
        <v>3</v>
      </c>
      <c r="F1439" s="16">
        <v>16</v>
      </c>
      <c r="G1439" s="17">
        <v>5.3</v>
      </c>
      <c r="H1439" s="16">
        <v>0</v>
      </c>
      <c r="I1439" s="17">
        <v>0</v>
      </c>
      <c r="J1439" s="15">
        <v>16</v>
      </c>
      <c r="K1439" s="44">
        <f t="shared" si="618"/>
        <v>8</v>
      </c>
      <c r="L1439" s="28">
        <v>2</v>
      </c>
      <c r="M1439" s="33">
        <f t="shared" si="607"/>
        <v>2</v>
      </c>
      <c r="N1439" s="1">
        <v>4417501200</v>
      </c>
    </row>
    <row r="1440" spans="1:14" ht="18" customHeight="1" x14ac:dyDescent="0.45">
      <c r="A1440" s="13">
        <v>1434</v>
      </c>
      <c r="B1440" s="41" t="str">
        <f t="shared" si="617"/>
        <v>西日本第二本部</v>
      </c>
      <c r="C1440" s="41" t="str">
        <f t="shared" si="617"/>
        <v>ラヴィーレ舟入</v>
      </c>
      <c r="D1440" s="14" t="s">
        <v>6</v>
      </c>
      <c r="E1440" s="15">
        <v>3</v>
      </c>
      <c r="F1440" s="16">
        <v>4</v>
      </c>
      <c r="G1440" s="17">
        <v>1.3</v>
      </c>
      <c r="H1440" s="16">
        <v>0</v>
      </c>
      <c r="I1440" s="17">
        <v>0</v>
      </c>
      <c r="J1440" s="15">
        <v>4</v>
      </c>
      <c r="K1440" s="44">
        <f t="shared" si="618"/>
        <v>8</v>
      </c>
      <c r="L1440" s="28">
        <v>1</v>
      </c>
      <c r="M1440" s="33">
        <f t="shared" si="607"/>
        <v>1</v>
      </c>
      <c r="N1440" s="1">
        <v>4417501200</v>
      </c>
    </row>
    <row r="1441" spans="1:14" ht="18" customHeight="1" x14ac:dyDescent="0.45">
      <c r="A1441" s="13">
        <v>1435</v>
      </c>
      <c r="B1441" s="42" t="str">
        <f t="shared" si="617"/>
        <v>西日本第二本部</v>
      </c>
      <c r="C1441" s="42" t="str">
        <f t="shared" si="617"/>
        <v>ラヴィーレ舟入</v>
      </c>
      <c r="D1441" s="14" t="s">
        <v>2</v>
      </c>
      <c r="E1441" s="15">
        <v>3</v>
      </c>
      <c r="F1441" s="16">
        <v>4</v>
      </c>
      <c r="G1441" s="17">
        <v>1.3</v>
      </c>
      <c r="H1441" s="16">
        <v>0</v>
      </c>
      <c r="I1441" s="17">
        <v>0</v>
      </c>
      <c r="J1441" s="15">
        <v>4</v>
      </c>
      <c r="K1441" s="45">
        <f t="shared" si="618"/>
        <v>8</v>
      </c>
      <c r="L1441" s="28">
        <v>1</v>
      </c>
      <c r="M1441" s="33">
        <f t="shared" si="607"/>
        <v>1</v>
      </c>
      <c r="N1441" s="1">
        <v>4417501200</v>
      </c>
    </row>
    <row r="1442" spans="1:14" ht="18" customHeight="1" x14ac:dyDescent="0.45">
      <c r="A1442" s="8">
        <v>1436</v>
      </c>
      <c r="B1442" s="34" t="s">
        <v>149</v>
      </c>
      <c r="C1442" s="34" t="s">
        <v>321</v>
      </c>
      <c r="D1442" s="9" t="s">
        <v>3</v>
      </c>
      <c r="E1442" s="10">
        <v>1</v>
      </c>
      <c r="F1442" s="11">
        <v>7</v>
      </c>
      <c r="G1442" s="12">
        <v>7</v>
      </c>
      <c r="H1442" s="11">
        <v>3</v>
      </c>
      <c r="I1442" s="12">
        <v>3</v>
      </c>
      <c r="J1442" s="10">
        <v>10</v>
      </c>
      <c r="K1442" s="37">
        <f t="shared" ref="K1442" si="619">SUM(M1442:M1446)</f>
        <v>5</v>
      </c>
      <c r="L1442" s="28">
        <v>2</v>
      </c>
      <c r="M1442" s="33">
        <f t="shared" si="607"/>
        <v>2</v>
      </c>
      <c r="N1442" s="1">
        <v>4417511200</v>
      </c>
    </row>
    <row r="1443" spans="1:14" ht="18" customHeight="1" x14ac:dyDescent="0.45">
      <c r="A1443" s="8">
        <v>1437</v>
      </c>
      <c r="B1443" s="35" t="str">
        <f t="shared" ref="B1443:C1446" si="620">B1442</f>
        <v>西日本第二本部</v>
      </c>
      <c r="C1443" s="35" t="str">
        <f t="shared" si="620"/>
        <v>ラヴィーレ広島光が丘</v>
      </c>
      <c r="D1443" s="9" t="s">
        <v>4</v>
      </c>
      <c r="E1443" s="10">
        <v>1</v>
      </c>
      <c r="F1443" s="11">
        <v>5</v>
      </c>
      <c r="G1443" s="12">
        <v>5</v>
      </c>
      <c r="H1443" s="11">
        <v>5</v>
      </c>
      <c r="I1443" s="12">
        <v>5</v>
      </c>
      <c r="J1443" s="10">
        <v>10</v>
      </c>
      <c r="K1443" s="38">
        <f t="shared" si="618"/>
        <v>5</v>
      </c>
      <c r="L1443" s="28">
        <v>2</v>
      </c>
      <c r="M1443" s="33">
        <f t="shared" si="607"/>
        <v>2</v>
      </c>
      <c r="N1443" s="1">
        <v>4417511200</v>
      </c>
    </row>
    <row r="1444" spans="1:14" ht="18" customHeight="1" x14ac:dyDescent="0.45">
      <c r="A1444" s="8">
        <v>1438</v>
      </c>
      <c r="B1444" s="35" t="str">
        <f t="shared" si="620"/>
        <v>西日本第二本部</v>
      </c>
      <c r="C1444" s="35" t="str">
        <f t="shared" si="620"/>
        <v>ラヴィーレ広島光が丘</v>
      </c>
      <c r="D1444" s="9" t="s">
        <v>5</v>
      </c>
      <c r="E1444" s="10">
        <v>2</v>
      </c>
      <c r="F1444" s="11">
        <v>5</v>
      </c>
      <c r="G1444" s="12">
        <v>2.5</v>
      </c>
      <c r="H1444" s="11">
        <v>0</v>
      </c>
      <c r="I1444" s="12">
        <v>0</v>
      </c>
      <c r="J1444" s="10">
        <v>5</v>
      </c>
      <c r="K1444" s="38">
        <f t="shared" si="618"/>
        <v>5</v>
      </c>
      <c r="L1444" s="28">
        <v>1</v>
      </c>
      <c r="M1444" s="33">
        <f t="shared" si="607"/>
        <v>1</v>
      </c>
      <c r="N1444" s="1">
        <v>4417511200</v>
      </c>
    </row>
    <row r="1445" spans="1:14" ht="18" customHeight="1" x14ac:dyDescent="0.45">
      <c r="A1445" s="8">
        <v>1439</v>
      </c>
      <c r="B1445" s="35" t="str">
        <f t="shared" si="620"/>
        <v>西日本第二本部</v>
      </c>
      <c r="C1445" s="35" t="str">
        <f t="shared" si="620"/>
        <v>ラヴィーレ広島光が丘</v>
      </c>
      <c r="D1445" s="9" t="s">
        <v>6</v>
      </c>
      <c r="E1445" s="10">
        <v>3</v>
      </c>
      <c r="F1445" s="11">
        <v>0</v>
      </c>
      <c r="G1445" s="12">
        <v>0</v>
      </c>
      <c r="H1445" s="11">
        <v>0</v>
      </c>
      <c r="I1445" s="12">
        <v>0</v>
      </c>
      <c r="J1445" s="10">
        <v>0</v>
      </c>
      <c r="K1445" s="38">
        <f t="shared" si="618"/>
        <v>5</v>
      </c>
      <c r="L1445" s="28">
        <v>0</v>
      </c>
      <c r="M1445" s="33">
        <f t="shared" si="607"/>
        <v>0</v>
      </c>
      <c r="N1445" s="1">
        <v>4417511200</v>
      </c>
    </row>
    <row r="1446" spans="1:14" ht="18" customHeight="1" x14ac:dyDescent="0.45">
      <c r="A1446" s="8">
        <v>1440</v>
      </c>
      <c r="B1446" s="36" t="str">
        <f t="shared" si="620"/>
        <v>西日本第二本部</v>
      </c>
      <c r="C1446" s="36" t="str">
        <f t="shared" si="620"/>
        <v>ラヴィーレ広島光が丘</v>
      </c>
      <c r="D1446" s="9" t="s">
        <v>2</v>
      </c>
      <c r="E1446" s="10">
        <v>1</v>
      </c>
      <c r="F1446" s="11">
        <v>0</v>
      </c>
      <c r="G1446" s="12">
        <v>0</v>
      </c>
      <c r="H1446" s="11">
        <v>0</v>
      </c>
      <c r="I1446" s="12">
        <v>0</v>
      </c>
      <c r="J1446" s="10">
        <v>0</v>
      </c>
      <c r="K1446" s="39">
        <f t="shared" si="618"/>
        <v>5</v>
      </c>
      <c r="L1446" s="28">
        <v>0</v>
      </c>
      <c r="M1446" s="33">
        <f t="shared" si="607"/>
        <v>0</v>
      </c>
      <c r="N1446" s="1">
        <v>4417511200</v>
      </c>
    </row>
    <row r="1447" spans="1:14" ht="18" customHeight="1" x14ac:dyDescent="0.45">
      <c r="A1447" s="13">
        <v>1441</v>
      </c>
      <c r="B1447" s="40" t="s">
        <v>149</v>
      </c>
      <c r="C1447" s="40" t="s">
        <v>322</v>
      </c>
      <c r="D1447" s="14" t="s">
        <v>3</v>
      </c>
      <c r="E1447" s="15">
        <v>1</v>
      </c>
      <c r="F1447" s="16">
        <v>25</v>
      </c>
      <c r="G1447" s="17">
        <v>25</v>
      </c>
      <c r="H1447" s="16">
        <v>3</v>
      </c>
      <c r="I1447" s="17">
        <v>3</v>
      </c>
      <c r="J1447" s="15">
        <v>28</v>
      </c>
      <c r="K1447" s="43">
        <f t="shared" ref="K1447" si="621">SUM(M1447:M1451)</f>
        <v>5</v>
      </c>
      <c r="L1447" s="28">
        <v>2</v>
      </c>
      <c r="M1447" s="33">
        <f t="shared" si="607"/>
        <v>2</v>
      </c>
      <c r="N1447" s="1">
        <v>4418171100</v>
      </c>
    </row>
    <row r="1448" spans="1:14" ht="18" customHeight="1" x14ac:dyDescent="0.45">
      <c r="A1448" s="13">
        <v>1442</v>
      </c>
      <c r="B1448" s="41" t="str">
        <f t="shared" ref="B1448:C1451" si="622">B1447</f>
        <v>西日本第二本部</v>
      </c>
      <c r="C1448" s="41" t="str">
        <f t="shared" si="622"/>
        <v>ラヴィーレ平和公園</v>
      </c>
      <c r="D1448" s="14" t="s">
        <v>4</v>
      </c>
      <c r="E1448" s="15">
        <v>1</v>
      </c>
      <c r="F1448" s="16">
        <v>4</v>
      </c>
      <c r="G1448" s="17">
        <v>4</v>
      </c>
      <c r="H1448" s="16">
        <v>2</v>
      </c>
      <c r="I1448" s="17">
        <v>2</v>
      </c>
      <c r="J1448" s="15">
        <v>6</v>
      </c>
      <c r="K1448" s="44">
        <f t="shared" si="618"/>
        <v>5</v>
      </c>
      <c r="L1448" s="28">
        <v>1</v>
      </c>
      <c r="M1448" s="33">
        <f t="shared" si="607"/>
        <v>1</v>
      </c>
      <c r="N1448" s="1">
        <v>4418171100</v>
      </c>
    </row>
    <row r="1449" spans="1:14" ht="18" customHeight="1" x14ac:dyDescent="0.45">
      <c r="A1449" s="13">
        <v>1443</v>
      </c>
      <c r="B1449" s="41" t="str">
        <f t="shared" si="622"/>
        <v>西日本第二本部</v>
      </c>
      <c r="C1449" s="41" t="str">
        <f t="shared" si="622"/>
        <v>ラヴィーレ平和公園</v>
      </c>
      <c r="D1449" s="14" t="s">
        <v>5</v>
      </c>
      <c r="E1449" s="15">
        <v>1</v>
      </c>
      <c r="F1449" s="16">
        <v>8</v>
      </c>
      <c r="G1449" s="17">
        <v>8</v>
      </c>
      <c r="H1449" s="16">
        <v>0</v>
      </c>
      <c r="I1449" s="17">
        <v>0</v>
      </c>
      <c r="J1449" s="15">
        <v>8</v>
      </c>
      <c r="K1449" s="44">
        <f t="shared" si="618"/>
        <v>5</v>
      </c>
      <c r="L1449" s="28">
        <v>2</v>
      </c>
      <c r="M1449" s="33">
        <f t="shared" si="607"/>
        <v>2</v>
      </c>
      <c r="N1449" s="1">
        <v>4418171100</v>
      </c>
    </row>
    <row r="1450" spans="1:14" ht="18" customHeight="1" x14ac:dyDescent="0.45">
      <c r="A1450" s="13">
        <v>1444</v>
      </c>
      <c r="B1450" s="41" t="str">
        <f t="shared" si="622"/>
        <v>西日本第二本部</v>
      </c>
      <c r="C1450" s="41" t="str">
        <f t="shared" si="622"/>
        <v>ラヴィーレ平和公園</v>
      </c>
      <c r="D1450" s="14" t="s">
        <v>6</v>
      </c>
      <c r="E1450" s="15">
        <v>3</v>
      </c>
      <c r="F1450" s="16">
        <v>0</v>
      </c>
      <c r="G1450" s="17">
        <v>0</v>
      </c>
      <c r="H1450" s="16">
        <v>0</v>
      </c>
      <c r="I1450" s="17">
        <v>0</v>
      </c>
      <c r="J1450" s="15">
        <v>0</v>
      </c>
      <c r="K1450" s="44">
        <f t="shared" si="618"/>
        <v>5</v>
      </c>
      <c r="L1450" s="28">
        <v>0</v>
      </c>
      <c r="M1450" s="33">
        <f t="shared" si="607"/>
        <v>0</v>
      </c>
      <c r="N1450" s="1">
        <v>4418171100</v>
      </c>
    </row>
    <row r="1451" spans="1:14" ht="18" customHeight="1" x14ac:dyDescent="0.45">
      <c r="A1451" s="13">
        <v>1445</v>
      </c>
      <c r="B1451" s="42" t="str">
        <f t="shared" si="622"/>
        <v>西日本第二本部</v>
      </c>
      <c r="C1451" s="42" t="str">
        <f t="shared" si="622"/>
        <v>ラヴィーレ平和公園</v>
      </c>
      <c r="D1451" s="14" t="s">
        <v>2</v>
      </c>
      <c r="E1451" s="15">
        <v>0</v>
      </c>
      <c r="F1451" s="16">
        <v>0</v>
      </c>
      <c r="G1451" s="17">
        <v>0</v>
      </c>
      <c r="H1451" s="16">
        <v>0</v>
      </c>
      <c r="I1451" s="17">
        <v>0</v>
      </c>
      <c r="J1451" s="15">
        <v>0</v>
      </c>
      <c r="K1451" s="45">
        <f t="shared" si="618"/>
        <v>5</v>
      </c>
      <c r="L1451" s="28">
        <v>0</v>
      </c>
      <c r="M1451" s="33">
        <f t="shared" si="607"/>
        <v>0</v>
      </c>
      <c r="N1451" s="1">
        <v>4418171100</v>
      </c>
    </row>
    <row r="1452" spans="1:14" ht="18" customHeight="1" x14ac:dyDescent="0.45">
      <c r="A1452" s="8">
        <v>1446</v>
      </c>
      <c r="B1452" s="34" t="s">
        <v>149</v>
      </c>
      <c r="C1452" s="34" t="s">
        <v>168</v>
      </c>
      <c r="D1452" s="9" t="s">
        <v>3</v>
      </c>
      <c r="E1452" s="10">
        <v>1</v>
      </c>
      <c r="F1452" s="11">
        <v>12</v>
      </c>
      <c r="G1452" s="12">
        <v>12</v>
      </c>
      <c r="H1452" s="11">
        <v>12</v>
      </c>
      <c r="I1452" s="12">
        <v>12</v>
      </c>
      <c r="J1452" s="10">
        <v>24</v>
      </c>
      <c r="K1452" s="37">
        <f t="shared" ref="K1452" si="623">SUM(M1452:M1456)</f>
        <v>6</v>
      </c>
      <c r="L1452" s="28">
        <v>2</v>
      </c>
      <c r="M1452" s="33">
        <f t="shared" si="607"/>
        <v>2</v>
      </c>
      <c r="N1452" s="1">
        <v>5317491200</v>
      </c>
    </row>
    <row r="1453" spans="1:14" x14ac:dyDescent="0.45">
      <c r="A1453" s="8">
        <v>1447</v>
      </c>
      <c r="B1453" s="35" t="str">
        <f t="shared" ref="B1453:C1456" si="624">B1452</f>
        <v>西日本第二本部</v>
      </c>
      <c r="C1453" s="35" t="str">
        <f t="shared" si="624"/>
        <v>そんぽの家　清水麻生田</v>
      </c>
      <c r="D1453" s="9" t="s">
        <v>4</v>
      </c>
      <c r="E1453" s="10">
        <v>1</v>
      </c>
      <c r="F1453" s="11">
        <v>10</v>
      </c>
      <c r="G1453" s="12">
        <v>10</v>
      </c>
      <c r="H1453" s="11">
        <v>10</v>
      </c>
      <c r="I1453" s="12">
        <v>10</v>
      </c>
      <c r="J1453" s="10">
        <v>20</v>
      </c>
      <c r="K1453" s="38">
        <f t="shared" si="618"/>
        <v>6</v>
      </c>
      <c r="L1453" s="28">
        <v>2</v>
      </c>
      <c r="M1453" s="33">
        <f t="shared" si="607"/>
        <v>2</v>
      </c>
      <c r="N1453" s="1">
        <v>5317491200</v>
      </c>
    </row>
    <row r="1454" spans="1:14" x14ac:dyDescent="0.45">
      <c r="A1454" s="8">
        <v>1448</v>
      </c>
      <c r="B1454" s="35" t="str">
        <f t="shared" si="624"/>
        <v>西日本第二本部</v>
      </c>
      <c r="C1454" s="35" t="str">
        <f t="shared" si="624"/>
        <v>そんぽの家　清水麻生田</v>
      </c>
      <c r="D1454" s="9" t="s">
        <v>5</v>
      </c>
      <c r="E1454" s="10">
        <v>0</v>
      </c>
      <c r="F1454" s="11">
        <v>0</v>
      </c>
      <c r="G1454" s="12">
        <v>0</v>
      </c>
      <c r="H1454" s="11">
        <v>0</v>
      </c>
      <c r="I1454" s="12">
        <v>0</v>
      </c>
      <c r="J1454" s="10">
        <v>0</v>
      </c>
      <c r="K1454" s="38">
        <f t="shared" si="618"/>
        <v>6</v>
      </c>
      <c r="L1454" s="28">
        <v>0</v>
      </c>
      <c r="M1454" s="33">
        <f t="shared" si="607"/>
        <v>0</v>
      </c>
      <c r="N1454" s="1">
        <v>5317491200</v>
      </c>
    </row>
    <row r="1455" spans="1:14" x14ac:dyDescent="0.45">
      <c r="A1455" s="8">
        <v>1449</v>
      </c>
      <c r="B1455" s="35" t="str">
        <f t="shared" si="624"/>
        <v>西日本第二本部</v>
      </c>
      <c r="C1455" s="35" t="str">
        <f t="shared" si="624"/>
        <v>そんぽの家　清水麻生田</v>
      </c>
      <c r="D1455" s="9" t="s">
        <v>6</v>
      </c>
      <c r="E1455" s="10">
        <v>3</v>
      </c>
      <c r="F1455" s="11">
        <v>14</v>
      </c>
      <c r="G1455" s="12">
        <v>4.7</v>
      </c>
      <c r="H1455" s="11">
        <v>0</v>
      </c>
      <c r="I1455" s="12">
        <v>0</v>
      </c>
      <c r="J1455" s="10">
        <v>14</v>
      </c>
      <c r="K1455" s="38">
        <f t="shared" si="618"/>
        <v>6</v>
      </c>
      <c r="L1455" s="28">
        <v>2</v>
      </c>
      <c r="M1455" s="33">
        <f t="shared" si="607"/>
        <v>2</v>
      </c>
      <c r="N1455" s="1">
        <v>5317491200</v>
      </c>
    </row>
    <row r="1456" spans="1:14" x14ac:dyDescent="0.45">
      <c r="A1456" s="8">
        <v>1450</v>
      </c>
      <c r="B1456" s="36" t="str">
        <f t="shared" si="624"/>
        <v>西日本第二本部</v>
      </c>
      <c r="C1456" s="36" t="str">
        <f t="shared" si="624"/>
        <v>そんぽの家　清水麻生田</v>
      </c>
      <c r="D1456" s="9" t="s">
        <v>2</v>
      </c>
      <c r="E1456" s="10">
        <v>0</v>
      </c>
      <c r="F1456" s="11">
        <v>0</v>
      </c>
      <c r="G1456" s="12">
        <v>0</v>
      </c>
      <c r="H1456" s="11">
        <v>0</v>
      </c>
      <c r="I1456" s="12">
        <v>0</v>
      </c>
      <c r="J1456" s="10">
        <v>0</v>
      </c>
      <c r="K1456" s="39">
        <f t="shared" si="618"/>
        <v>6</v>
      </c>
      <c r="L1456" s="28">
        <v>0</v>
      </c>
      <c r="M1456" s="33">
        <f t="shared" si="607"/>
        <v>0</v>
      </c>
      <c r="N1456" s="1">
        <v>5317491200</v>
      </c>
    </row>
  </sheetData>
  <mergeCells count="881">
    <mergeCell ref="B1452:B1456"/>
    <mergeCell ref="C1452:C1456"/>
    <mergeCell ref="K1452:K1456"/>
    <mergeCell ref="A5:A6"/>
    <mergeCell ref="D5:D6"/>
    <mergeCell ref="E5:E6"/>
    <mergeCell ref="F5:G5"/>
    <mergeCell ref="H5:I5"/>
    <mergeCell ref="B37:B41"/>
    <mergeCell ref="C37:C41"/>
    <mergeCell ref="K37:K41"/>
    <mergeCell ref="B42:B46"/>
    <mergeCell ref="C42:C46"/>
    <mergeCell ref="K42:K46"/>
    <mergeCell ref="C17:C21"/>
    <mergeCell ref="K17:K21"/>
    <mergeCell ref="B22:B26"/>
    <mergeCell ref="C22:C26"/>
    <mergeCell ref="K22:K26"/>
    <mergeCell ref="B27:B31"/>
    <mergeCell ref="C27:C31"/>
    <mergeCell ref="K27:K31"/>
    <mergeCell ref="B32:B36"/>
    <mergeCell ref="C32:C36"/>
    <mergeCell ref="K32:K36"/>
    <mergeCell ref="L5:L6"/>
    <mergeCell ref="B5:B6"/>
    <mergeCell ref="C5:C6"/>
    <mergeCell ref="K5:K6"/>
    <mergeCell ref="J5:J6"/>
    <mergeCell ref="B57:B61"/>
    <mergeCell ref="C57:C61"/>
    <mergeCell ref="K57:K61"/>
    <mergeCell ref="B7:B11"/>
    <mergeCell ref="C7:C11"/>
    <mergeCell ref="K7:K11"/>
    <mergeCell ref="B12:B16"/>
    <mergeCell ref="C12:C16"/>
    <mergeCell ref="K12:K16"/>
    <mergeCell ref="B17:B21"/>
    <mergeCell ref="B62:B66"/>
    <mergeCell ref="C62:C66"/>
    <mergeCell ref="K62:K66"/>
    <mergeCell ref="B47:B51"/>
    <mergeCell ref="C47:C51"/>
    <mergeCell ref="K47:K51"/>
    <mergeCell ref="B52:B56"/>
    <mergeCell ref="C52:C56"/>
    <mergeCell ref="K52:K56"/>
    <mergeCell ref="B77:B81"/>
    <mergeCell ref="C77:C81"/>
    <mergeCell ref="K77:K81"/>
    <mergeCell ref="B82:B86"/>
    <mergeCell ref="C82:C86"/>
    <mergeCell ref="K82:K86"/>
    <mergeCell ref="B67:B71"/>
    <mergeCell ref="C67:C71"/>
    <mergeCell ref="K67:K71"/>
    <mergeCell ref="B72:B76"/>
    <mergeCell ref="C72:C76"/>
    <mergeCell ref="K72:K76"/>
    <mergeCell ref="B97:B101"/>
    <mergeCell ref="C97:C101"/>
    <mergeCell ref="K97:K101"/>
    <mergeCell ref="B102:B106"/>
    <mergeCell ref="C102:C106"/>
    <mergeCell ref="K102:K106"/>
    <mergeCell ref="B87:B91"/>
    <mergeCell ref="C87:C91"/>
    <mergeCell ref="K87:K91"/>
    <mergeCell ref="B92:B96"/>
    <mergeCell ref="C92:C96"/>
    <mergeCell ref="K92:K96"/>
    <mergeCell ref="B117:B121"/>
    <mergeCell ref="C117:C121"/>
    <mergeCell ref="K117:K121"/>
    <mergeCell ref="B122:B126"/>
    <mergeCell ref="C122:C126"/>
    <mergeCell ref="K122:K126"/>
    <mergeCell ref="B107:B111"/>
    <mergeCell ref="C107:C111"/>
    <mergeCell ref="K107:K111"/>
    <mergeCell ref="B112:B116"/>
    <mergeCell ref="C112:C116"/>
    <mergeCell ref="K112:K116"/>
    <mergeCell ref="B137:B141"/>
    <mergeCell ref="C137:C141"/>
    <mergeCell ref="K137:K141"/>
    <mergeCell ref="B142:B146"/>
    <mergeCell ref="C142:C146"/>
    <mergeCell ref="K142:K146"/>
    <mergeCell ref="B127:B131"/>
    <mergeCell ref="C127:C131"/>
    <mergeCell ref="K127:K131"/>
    <mergeCell ref="B132:B136"/>
    <mergeCell ref="C132:C136"/>
    <mergeCell ref="K132:K136"/>
    <mergeCell ref="B157:B161"/>
    <mergeCell ref="C157:C161"/>
    <mergeCell ref="K157:K161"/>
    <mergeCell ref="B162:B166"/>
    <mergeCell ref="C162:C166"/>
    <mergeCell ref="K162:K166"/>
    <mergeCell ref="B147:B151"/>
    <mergeCell ref="C147:C151"/>
    <mergeCell ref="K147:K151"/>
    <mergeCell ref="B152:B156"/>
    <mergeCell ref="C152:C156"/>
    <mergeCell ref="K152:K156"/>
    <mergeCell ref="B177:B181"/>
    <mergeCell ref="C177:C181"/>
    <mergeCell ref="K177:K181"/>
    <mergeCell ref="B182:B186"/>
    <mergeCell ref="C182:C186"/>
    <mergeCell ref="K182:K186"/>
    <mergeCell ref="B167:B171"/>
    <mergeCell ref="C167:C171"/>
    <mergeCell ref="K167:K171"/>
    <mergeCell ref="B172:B176"/>
    <mergeCell ref="C172:C176"/>
    <mergeCell ref="K172:K176"/>
    <mergeCell ref="B197:B201"/>
    <mergeCell ref="C197:C201"/>
    <mergeCell ref="K197:K201"/>
    <mergeCell ref="B202:B206"/>
    <mergeCell ref="C202:C206"/>
    <mergeCell ref="K202:K206"/>
    <mergeCell ref="B187:B191"/>
    <mergeCell ref="C187:C191"/>
    <mergeCell ref="K187:K191"/>
    <mergeCell ref="B192:B196"/>
    <mergeCell ref="C192:C196"/>
    <mergeCell ref="K192:K196"/>
    <mergeCell ref="B217:B221"/>
    <mergeCell ref="C217:C221"/>
    <mergeCell ref="K217:K221"/>
    <mergeCell ref="B222:B226"/>
    <mergeCell ref="C222:C226"/>
    <mergeCell ref="K222:K226"/>
    <mergeCell ref="B207:B211"/>
    <mergeCell ref="C207:C211"/>
    <mergeCell ref="K207:K211"/>
    <mergeCell ref="B212:B216"/>
    <mergeCell ref="C212:C216"/>
    <mergeCell ref="K212:K216"/>
    <mergeCell ref="B237:B241"/>
    <mergeCell ref="C237:C241"/>
    <mergeCell ref="K237:K241"/>
    <mergeCell ref="B242:B246"/>
    <mergeCell ref="C242:C246"/>
    <mergeCell ref="K242:K246"/>
    <mergeCell ref="B227:B231"/>
    <mergeCell ref="C227:C231"/>
    <mergeCell ref="K227:K231"/>
    <mergeCell ref="B232:B236"/>
    <mergeCell ref="C232:C236"/>
    <mergeCell ref="K232:K236"/>
    <mergeCell ref="B257:B261"/>
    <mergeCell ref="C257:C261"/>
    <mergeCell ref="K257:K261"/>
    <mergeCell ref="B262:B266"/>
    <mergeCell ref="C262:C266"/>
    <mergeCell ref="K262:K266"/>
    <mergeCell ref="B247:B251"/>
    <mergeCell ref="C247:C251"/>
    <mergeCell ref="K247:K251"/>
    <mergeCell ref="B252:B256"/>
    <mergeCell ref="C252:C256"/>
    <mergeCell ref="K252:K256"/>
    <mergeCell ref="B277:B281"/>
    <mergeCell ref="C277:C281"/>
    <mergeCell ref="K277:K281"/>
    <mergeCell ref="B282:B286"/>
    <mergeCell ref="C282:C286"/>
    <mergeCell ref="K282:K286"/>
    <mergeCell ref="B267:B271"/>
    <mergeCell ref="C267:C271"/>
    <mergeCell ref="K267:K271"/>
    <mergeCell ref="B272:B276"/>
    <mergeCell ref="C272:C276"/>
    <mergeCell ref="K272:K276"/>
    <mergeCell ref="B297:B301"/>
    <mergeCell ref="C297:C301"/>
    <mergeCell ref="K297:K301"/>
    <mergeCell ref="B302:B306"/>
    <mergeCell ref="C302:C306"/>
    <mergeCell ref="K302:K306"/>
    <mergeCell ref="B287:B291"/>
    <mergeCell ref="C287:C291"/>
    <mergeCell ref="K287:K291"/>
    <mergeCell ref="B292:B296"/>
    <mergeCell ref="C292:C296"/>
    <mergeCell ref="K292:K296"/>
    <mergeCell ref="B317:B321"/>
    <mergeCell ref="C317:C321"/>
    <mergeCell ref="K317:K321"/>
    <mergeCell ref="B322:B326"/>
    <mergeCell ref="C322:C326"/>
    <mergeCell ref="K322:K326"/>
    <mergeCell ref="B307:B311"/>
    <mergeCell ref="C307:C311"/>
    <mergeCell ref="K307:K311"/>
    <mergeCell ref="B312:B316"/>
    <mergeCell ref="C312:C316"/>
    <mergeCell ref="K312:K316"/>
    <mergeCell ref="B337:B341"/>
    <mergeCell ref="C337:C341"/>
    <mergeCell ref="K337:K341"/>
    <mergeCell ref="B342:B346"/>
    <mergeCell ref="C342:C346"/>
    <mergeCell ref="K342:K346"/>
    <mergeCell ref="B327:B331"/>
    <mergeCell ref="C327:C331"/>
    <mergeCell ref="K327:K331"/>
    <mergeCell ref="B332:B336"/>
    <mergeCell ref="C332:C336"/>
    <mergeCell ref="K332:K336"/>
    <mergeCell ref="B357:B361"/>
    <mergeCell ref="C357:C361"/>
    <mergeCell ref="K357:K361"/>
    <mergeCell ref="B362:B366"/>
    <mergeCell ref="C362:C366"/>
    <mergeCell ref="K362:K366"/>
    <mergeCell ref="B347:B351"/>
    <mergeCell ref="C347:C351"/>
    <mergeCell ref="K347:K351"/>
    <mergeCell ref="B352:B356"/>
    <mergeCell ref="C352:C356"/>
    <mergeCell ref="K352:K356"/>
    <mergeCell ref="B377:B381"/>
    <mergeCell ref="C377:C381"/>
    <mergeCell ref="K377:K381"/>
    <mergeCell ref="B382:B386"/>
    <mergeCell ref="C382:C386"/>
    <mergeCell ref="K382:K386"/>
    <mergeCell ref="B367:B371"/>
    <mergeCell ref="C367:C371"/>
    <mergeCell ref="K367:K371"/>
    <mergeCell ref="B372:B376"/>
    <mergeCell ref="C372:C376"/>
    <mergeCell ref="K372:K376"/>
    <mergeCell ref="B397:B401"/>
    <mergeCell ref="C397:C401"/>
    <mergeCell ref="K397:K401"/>
    <mergeCell ref="B402:B406"/>
    <mergeCell ref="C402:C406"/>
    <mergeCell ref="K402:K406"/>
    <mergeCell ref="B387:B391"/>
    <mergeCell ref="C387:C391"/>
    <mergeCell ref="K387:K391"/>
    <mergeCell ref="B392:B396"/>
    <mergeCell ref="C392:C396"/>
    <mergeCell ref="K392:K396"/>
    <mergeCell ref="B417:B421"/>
    <mergeCell ref="C417:C421"/>
    <mergeCell ref="K417:K421"/>
    <mergeCell ref="B422:B426"/>
    <mergeCell ref="C422:C426"/>
    <mergeCell ref="K422:K426"/>
    <mergeCell ref="B407:B411"/>
    <mergeCell ref="C407:C411"/>
    <mergeCell ref="K407:K411"/>
    <mergeCell ref="B412:B416"/>
    <mergeCell ref="C412:C416"/>
    <mergeCell ref="K412:K416"/>
    <mergeCell ref="B437:B441"/>
    <mergeCell ref="C437:C441"/>
    <mergeCell ref="K437:K441"/>
    <mergeCell ref="B442:B446"/>
    <mergeCell ref="C442:C446"/>
    <mergeCell ref="K442:K446"/>
    <mergeCell ref="B427:B431"/>
    <mergeCell ref="C427:C431"/>
    <mergeCell ref="K427:K431"/>
    <mergeCell ref="B432:B436"/>
    <mergeCell ref="C432:C436"/>
    <mergeCell ref="K432:K436"/>
    <mergeCell ref="B457:B461"/>
    <mergeCell ref="C457:C461"/>
    <mergeCell ref="K457:K461"/>
    <mergeCell ref="B462:B466"/>
    <mergeCell ref="C462:C466"/>
    <mergeCell ref="K462:K466"/>
    <mergeCell ref="B447:B451"/>
    <mergeCell ref="C447:C451"/>
    <mergeCell ref="K447:K451"/>
    <mergeCell ref="B452:B456"/>
    <mergeCell ref="C452:C456"/>
    <mergeCell ref="K452:K456"/>
    <mergeCell ref="B477:B481"/>
    <mergeCell ref="C477:C481"/>
    <mergeCell ref="K477:K481"/>
    <mergeCell ref="B482:B486"/>
    <mergeCell ref="C482:C486"/>
    <mergeCell ref="K482:K486"/>
    <mergeCell ref="B467:B471"/>
    <mergeCell ref="C467:C471"/>
    <mergeCell ref="K467:K471"/>
    <mergeCell ref="B472:B476"/>
    <mergeCell ref="C472:C476"/>
    <mergeCell ref="K472:K476"/>
    <mergeCell ref="B497:B501"/>
    <mergeCell ref="C497:C501"/>
    <mergeCell ref="K497:K501"/>
    <mergeCell ref="B502:B506"/>
    <mergeCell ref="C502:C506"/>
    <mergeCell ref="K502:K506"/>
    <mergeCell ref="B487:B491"/>
    <mergeCell ref="C487:C491"/>
    <mergeCell ref="K487:K491"/>
    <mergeCell ref="B492:B496"/>
    <mergeCell ref="C492:C496"/>
    <mergeCell ref="K492:K496"/>
    <mergeCell ref="B517:B521"/>
    <mergeCell ref="C517:C521"/>
    <mergeCell ref="K517:K521"/>
    <mergeCell ref="B522:B526"/>
    <mergeCell ref="C522:C526"/>
    <mergeCell ref="K522:K526"/>
    <mergeCell ref="B507:B511"/>
    <mergeCell ref="C507:C511"/>
    <mergeCell ref="K507:K511"/>
    <mergeCell ref="B512:B516"/>
    <mergeCell ref="C512:C516"/>
    <mergeCell ref="K512:K516"/>
    <mergeCell ref="B537:B541"/>
    <mergeCell ref="C537:C541"/>
    <mergeCell ref="K537:K541"/>
    <mergeCell ref="B542:B546"/>
    <mergeCell ref="C542:C546"/>
    <mergeCell ref="K542:K546"/>
    <mergeCell ref="B527:B531"/>
    <mergeCell ref="C527:C531"/>
    <mergeCell ref="K527:K531"/>
    <mergeCell ref="B532:B536"/>
    <mergeCell ref="C532:C536"/>
    <mergeCell ref="K532:K536"/>
    <mergeCell ref="B557:B561"/>
    <mergeCell ref="C557:C561"/>
    <mergeCell ref="K557:K561"/>
    <mergeCell ref="B562:B566"/>
    <mergeCell ref="C562:C566"/>
    <mergeCell ref="K562:K566"/>
    <mergeCell ref="B547:B551"/>
    <mergeCell ref="C547:C551"/>
    <mergeCell ref="K547:K551"/>
    <mergeCell ref="B552:B556"/>
    <mergeCell ref="C552:C556"/>
    <mergeCell ref="K552:K556"/>
    <mergeCell ref="B577:B581"/>
    <mergeCell ref="C577:C581"/>
    <mergeCell ref="K577:K581"/>
    <mergeCell ref="B582:B586"/>
    <mergeCell ref="C582:C586"/>
    <mergeCell ref="K582:K586"/>
    <mergeCell ref="B567:B571"/>
    <mergeCell ref="C567:C571"/>
    <mergeCell ref="K567:K571"/>
    <mergeCell ref="B572:B576"/>
    <mergeCell ref="C572:C576"/>
    <mergeCell ref="K572:K576"/>
    <mergeCell ref="B597:B601"/>
    <mergeCell ref="C597:C601"/>
    <mergeCell ref="K597:K601"/>
    <mergeCell ref="B602:B606"/>
    <mergeCell ref="C602:C606"/>
    <mergeCell ref="K602:K606"/>
    <mergeCell ref="B587:B591"/>
    <mergeCell ref="C587:C591"/>
    <mergeCell ref="K587:K591"/>
    <mergeCell ref="B592:B596"/>
    <mergeCell ref="C592:C596"/>
    <mergeCell ref="K592:K596"/>
    <mergeCell ref="B617:B621"/>
    <mergeCell ref="C617:C621"/>
    <mergeCell ref="K617:K621"/>
    <mergeCell ref="B622:B626"/>
    <mergeCell ref="C622:C626"/>
    <mergeCell ref="K622:K626"/>
    <mergeCell ref="B607:B611"/>
    <mergeCell ref="C607:C611"/>
    <mergeCell ref="K607:K611"/>
    <mergeCell ref="B612:B616"/>
    <mergeCell ref="C612:C616"/>
    <mergeCell ref="K612:K616"/>
    <mergeCell ref="B637:B641"/>
    <mergeCell ref="C637:C641"/>
    <mergeCell ref="K637:K641"/>
    <mergeCell ref="B642:B646"/>
    <mergeCell ref="C642:C646"/>
    <mergeCell ref="K642:K646"/>
    <mergeCell ref="B627:B631"/>
    <mergeCell ref="C627:C631"/>
    <mergeCell ref="K627:K631"/>
    <mergeCell ref="B632:B636"/>
    <mergeCell ref="C632:C636"/>
    <mergeCell ref="K632:K636"/>
    <mergeCell ref="B657:B661"/>
    <mergeCell ref="C657:C661"/>
    <mergeCell ref="K657:K661"/>
    <mergeCell ref="B662:B666"/>
    <mergeCell ref="C662:C666"/>
    <mergeCell ref="K662:K666"/>
    <mergeCell ref="B647:B651"/>
    <mergeCell ref="C647:C651"/>
    <mergeCell ref="K647:K651"/>
    <mergeCell ref="B652:B656"/>
    <mergeCell ref="C652:C656"/>
    <mergeCell ref="K652:K656"/>
    <mergeCell ref="B677:B681"/>
    <mergeCell ref="C677:C681"/>
    <mergeCell ref="K677:K681"/>
    <mergeCell ref="B682:B686"/>
    <mergeCell ref="C682:C686"/>
    <mergeCell ref="K682:K686"/>
    <mergeCell ref="B667:B671"/>
    <mergeCell ref="C667:C671"/>
    <mergeCell ref="K667:K671"/>
    <mergeCell ref="B672:B676"/>
    <mergeCell ref="C672:C676"/>
    <mergeCell ref="K672:K676"/>
    <mergeCell ref="B697:B701"/>
    <mergeCell ref="C697:C701"/>
    <mergeCell ref="K697:K701"/>
    <mergeCell ref="B702:B706"/>
    <mergeCell ref="C702:C706"/>
    <mergeCell ref="K702:K706"/>
    <mergeCell ref="B687:B691"/>
    <mergeCell ref="C687:C691"/>
    <mergeCell ref="K687:K691"/>
    <mergeCell ref="B692:B696"/>
    <mergeCell ref="C692:C696"/>
    <mergeCell ref="K692:K696"/>
    <mergeCell ref="B717:B721"/>
    <mergeCell ref="C717:C721"/>
    <mergeCell ref="K717:K721"/>
    <mergeCell ref="B722:B726"/>
    <mergeCell ref="C722:C726"/>
    <mergeCell ref="K722:K726"/>
    <mergeCell ref="B707:B711"/>
    <mergeCell ref="C707:C711"/>
    <mergeCell ref="K707:K711"/>
    <mergeCell ref="B712:B716"/>
    <mergeCell ref="C712:C716"/>
    <mergeCell ref="K712:K716"/>
    <mergeCell ref="B737:B741"/>
    <mergeCell ref="C737:C741"/>
    <mergeCell ref="K737:K741"/>
    <mergeCell ref="B742:B746"/>
    <mergeCell ref="C742:C746"/>
    <mergeCell ref="K742:K746"/>
    <mergeCell ref="B727:B731"/>
    <mergeCell ref="C727:C731"/>
    <mergeCell ref="K727:K731"/>
    <mergeCell ref="B732:B736"/>
    <mergeCell ref="C732:C736"/>
    <mergeCell ref="K732:K736"/>
    <mergeCell ref="B757:B761"/>
    <mergeCell ref="C757:C761"/>
    <mergeCell ref="K757:K761"/>
    <mergeCell ref="B762:B766"/>
    <mergeCell ref="C762:C766"/>
    <mergeCell ref="K762:K766"/>
    <mergeCell ref="B747:B751"/>
    <mergeCell ref="C747:C751"/>
    <mergeCell ref="K747:K751"/>
    <mergeCell ref="B752:B756"/>
    <mergeCell ref="C752:C756"/>
    <mergeCell ref="K752:K756"/>
    <mergeCell ref="B777:B781"/>
    <mergeCell ref="C777:C781"/>
    <mergeCell ref="K777:K781"/>
    <mergeCell ref="B782:B786"/>
    <mergeCell ref="C782:C786"/>
    <mergeCell ref="K782:K786"/>
    <mergeCell ref="B767:B771"/>
    <mergeCell ref="C767:C771"/>
    <mergeCell ref="K767:K771"/>
    <mergeCell ref="B772:B776"/>
    <mergeCell ref="C772:C776"/>
    <mergeCell ref="K772:K776"/>
    <mergeCell ref="B797:B801"/>
    <mergeCell ref="C797:C801"/>
    <mergeCell ref="K797:K801"/>
    <mergeCell ref="B802:B806"/>
    <mergeCell ref="C802:C806"/>
    <mergeCell ref="K802:K806"/>
    <mergeCell ref="B787:B791"/>
    <mergeCell ref="C787:C791"/>
    <mergeCell ref="K787:K791"/>
    <mergeCell ref="B792:B796"/>
    <mergeCell ref="C792:C796"/>
    <mergeCell ref="K792:K796"/>
    <mergeCell ref="B817:B821"/>
    <mergeCell ref="C817:C821"/>
    <mergeCell ref="K817:K821"/>
    <mergeCell ref="B822:B826"/>
    <mergeCell ref="C822:C826"/>
    <mergeCell ref="K822:K826"/>
    <mergeCell ref="B807:B811"/>
    <mergeCell ref="C807:C811"/>
    <mergeCell ref="K807:K811"/>
    <mergeCell ref="B812:B816"/>
    <mergeCell ref="C812:C816"/>
    <mergeCell ref="K812:K816"/>
    <mergeCell ref="B837:B841"/>
    <mergeCell ref="C837:C841"/>
    <mergeCell ref="K837:K841"/>
    <mergeCell ref="B842:B846"/>
    <mergeCell ref="C842:C846"/>
    <mergeCell ref="K842:K846"/>
    <mergeCell ref="B827:B831"/>
    <mergeCell ref="C827:C831"/>
    <mergeCell ref="K827:K831"/>
    <mergeCell ref="B832:B836"/>
    <mergeCell ref="C832:C836"/>
    <mergeCell ref="K832:K836"/>
    <mergeCell ref="B857:B861"/>
    <mergeCell ref="C857:C861"/>
    <mergeCell ref="K857:K861"/>
    <mergeCell ref="B862:B866"/>
    <mergeCell ref="C862:C866"/>
    <mergeCell ref="K862:K866"/>
    <mergeCell ref="B847:B851"/>
    <mergeCell ref="C847:C851"/>
    <mergeCell ref="K847:K851"/>
    <mergeCell ref="B852:B856"/>
    <mergeCell ref="C852:C856"/>
    <mergeCell ref="K852:K856"/>
    <mergeCell ref="B877:B881"/>
    <mergeCell ref="C877:C881"/>
    <mergeCell ref="K877:K881"/>
    <mergeCell ref="B882:B886"/>
    <mergeCell ref="C882:C886"/>
    <mergeCell ref="K882:K886"/>
    <mergeCell ref="B867:B871"/>
    <mergeCell ref="C867:C871"/>
    <mergeCell ref="K867:K871"/>
    <mergeCell ref="B872:B876"/>
    <mergeCell ref="C872:C876"/>
    <mergeCell ref="K872:K876"/>
    <mergeCell ref="B897:B901"/>
    <mergeCell ref="C897:C901"/>
    <mergeCell ref="K897:K901"/>
    <mergeCell ref="B902:B906"/>
    <mergeCell ref="C902:C906"/>
    <mergeCell ref="K902:K906"/>
    <mergeCell ref="B887:B891"/>
    <mergeCell ref="C887:C891"/>
    <mergeCell ref="K887:K891"/>
    <mergeCell ref="B892:B896"/>
    <mergeCell ref="C892:C896"/>
    <mergeCell ref="K892:K896"/>
    <mergeCell ref="B917:B921"/>
    <mergeCell ref="C917:C921"/>
    <mergeCell ref="K917:K921"/>
    <mergeCell ref="B922:B926"/>
    <mergeCell ref="C922:C926"/>
    <mergeCell ref="K922:K926"/>
    <mergeCell ref="B907:B911"/>
    <mergeCell ref="C907:C911"/>
    <mergeCell ref="K907:K911"/>
    <mergeCell ref="B912:B916"/>
    <mergeCell ref="C912:C916"/>
    <mergeCell ref="K912:K916"/>
    <mergeCell ref="B937:B941"/>
    <mergeCell ref="C937:C941"/>
    <mergeCell ref="K937:K941"/>
    <mergeCell ref="B942:B946"/>
    <mergeCell ref="C942:C946"/>
    <mergeCell ref="K942:K946"/>
    <mergeCell ref="B927:B931"/>
    <mergeCell ref="C927:C931"/>
    <mergeCell ref="K927:K931"/>
    <mergeCell ref="B932:B936"/>
    <mergeCell ref="C932:C936"/>
    <mergeCell ref="K932:K936"/>
    <mergeCell ref="B957:B961"/>
    <mergeCell ref="C957:C961"/>
    <mergeCell ref="K957:K961"/>
    <mergeCell ref="B962:B966"/>
    <mergeCell ref="C962:C966"/>
    <mergeCell ref="K962:K966"/>
    <mergeCell ref="B947:B951"/>
    <mergeCell ref="C947:C951"/>
    <mergeCell ref="K947:K951"/>
    <mergeCell ref="B952:B956"/>
    <mergeCell ref="C952:C956"/>
    <mergeCell ref="K952:K956"/>
    <mergeCell ref="B977:B981"/>
    <mergeCell ref="C977:C981"/>
    <mergeCell ref="K977:K981"/>
    <mergeCell ref="B982:B986"/>
    <mergeCell ref="C982:C986"/>
    <mergeCell ref="K982:K986"/>
    <mergeCell ref="B967:B971"/>
    <mergeCell ref="C967:C971"/>
    <mergeCell ref="K967:K971"/>
    <mergeCell ref="B972:B976"/>
    <mergeCell ref="C972:C976"/>
    <mergeCell ref="K972:K976"/>
    <mergeCell ref="B997:B1001"/>
    <mergeCell ref="C997:C1001"/>
    <mergeCell ref="K997:K1001"/>
    <mergeCell ref="B1002:B1006"/>
    <mergeCell ref="C1002:C1006"/>
    <mergeCell ref="K1002:K1006"/>
    <mergeCell ref="B987:B991"/>
    <mergeCell ref="C987:C991"/>
    <mergeCell ref="K987:K991"/>
    <mergeCell ref="B992:B996"/>
    <mergeCell ref="C992:C996"/>
    <mergeCell ref="K992:K996"/>
    <mergeCell ref="B1017:B1021"/>
    <mergeCell ref="C1017:C1021"/>
    <mergeCell ref="K1017:K1021"/>
    <mergeCell ref="B1022:B1026"/>
    <mergeCell ref="C1022:C1026"/>
    <mergeCell ref="K1022:K1026"/>
    <mergeCell ref="B1007:B1011"/>
    <mergeCell ref="C1007:C1011"/>
    <mergeCell ref="K1007:K1011"/>
    <mergeCell ref="B1012:B1016"/>
    <mergeCell ref="C1012:C1016"/>
    <mergeCell ref="K1012:K1016"/>
    <mergeCell ref="B1037:B1041"/>
    <mergeCell ref="C1037:C1041"/>
    <mergeCell ref="K1037:K1041"/>
    <mergeCell ref="B1042:B1046"/>
    <mergeCell ref="C1042:C1046"/>
    <mergeCell ref="K1042:K1046"/>
    <mergeCell ref="B1027:B1031"/>
    <mergeCell ref="C1027:C1031"/>
    <mergeCell ref="K1027:K1031"/>
    <mergeCell ref="B1032:B1036"/>
    <mergeCell ref="C1032:C1036"/>
    <mergeCell ref="K1032:K1036"/>
    <mergeCell ref="B1057:B1061"/>
    <mergeCell ref="C1057:C1061"/>
    <mergeCell ref="K1057:K1061"/>
    <mergeCell ref="B1062:B1066"/>
    <mergeCell ref="C1062:C1066"/>
    <mergeCell ref="K1062:K1066"/>
    <mergeCell ref="B1047:B1051"/>
    <mergeCell ref="C1047:C1051"/>
    <mergeCell ref="K1047:K1051"/>
    <mergeCell ref="B1052:B1056"/>
    <mergeCell ref="C1052:C1056"/>
    <mergeCell ref="K1052:K1056"/>
    <mergeCell ref="B1077:B1081"/>
    <mergeCell ref="C1077:C1081"/>
    <mergeCell ref="K1077:K1081"/>
    <mergeCell ref="B1082:B1086"/>
    <mergeCell ref="C1082:C1086"/>
    <mergeCell ref="K1082:K1086"/>
    <mergeCell ref="B1067:B1071"/>
    <mergeCell ref="C1067:C1071"/>
    <mergeCell ref="K1067:K1071"/>
    <mergeCell ref="B1072:B1076"/>
    <mergeCell ref="C1072:C1076"/>
    <mergeCell ref="K1072:K1076"/>
    <mergeCell ref="B1097:B1101"/>
    <mergeCell ref="C1097:C1101"/>
    <mergeCell ref="K1097:K1101"/>
    <mergeCell ref="B1102:B1106"/>
    <mergeCell ref="C1102:C1106"/>
    <mergeCell ref="K1102:K1106"/>
    <mergeCell ref="B1087:B1091"/>
    <mergeCell ref="C1087:C1091"/>
    <mergeCell ref="K1087:K1091"/>
    <mergeCell ref="B1092:B1096"/>
    <mergeCell ref="C1092:C1096"/>
    <mergeCell ref="K1092:K1096"/>
    <mergeCell ref="B1117:B1121"/>
    <mergeCell ref="C1117:C1121"/>
    <mergeCell ref="K1117:K1121"/>
    <mergeCell ref="B1122:B1126"/>
    <mergeCell ref="C1122:C1126"/>
    <mergeCell ref="K1122:K1126"/>
    <mergeCell ref="B1107:B1111"/>
    <mergeCell ref="C1107:C1111"/>
    <mergeCell ref="K1107:K1111"/>
    <mergeCell ref="B1112:B1116"/>
    <mergeCell ref="C1112:C1116"/>
    <mergeCell ref="K1112:K1116"/>
    <mergeCell ref="B1137:B1141"/>
    <mergeCell ref="C1137:C1141"/>
    <mergeCell ref="K1137:K1141"/>
    <mergeCell ref="B1142:B1146"/>
    <mergeCell ref="C1142:C1146"/>
    <mergeCell ref="K1142:K1146"/>
    <mergeCell ref="B1127:B1131"/>
    <mergeCell ref="C1127:C1131"/>
    <mergeCell ref="K1127:K1131"/>
    <mergeCell ref="B1132:B1136"/>
    <mergeCell ref="C1132:C1136"/>
    <mergeCell ref="K1132:K1136"/>
    <mergeCell ref="B1157:B1161"/>
    <mergeCell ref="C1157:C1161"/>
    <mergeCell ref="K1157:K1161"/>
    <mergeCell ref="B1162:B1166"/>
    <mergeCell ref="C1162:C1166"/>
    <mergeCell ref="K1162:K1166"/>
    <mergeCell ref="B1147:B1151"/>
    <mergeCell ref="C1147:C1151"/>
    <mergeCell ref="K1147:K1151"/>
    <mergeCell ref="B1152:B1156"/>
    <mergeCell ref="C1152:C1156"/>
    <mergeCell ref="K1152:K1156"/>
    <mergeCell ref="B1177:B1181"/>
    <mergeCell ref="C1177:C1181"/>
    <mergeCell ref="K1177:K1181"/>
    <mergeCell ref="B1182:B1186"/>
    <mergeCell ref="C1182:C1186"/>
    <mergeCell ref="K1182:K1186"/>
    <mergeCell ref="B1167:B1171"/>
    <mergeCell ref="C1167:C1171"/>
    <mergeCell ref="K1167:K1171"/>
    <mergeCell ref="B1172:B1176"/>
    <mergeCell ref="C1172:C1176"/>
    <mergeCell ref="K1172:K1176"/>
    <mergeCell ref="B1197:B1201"/>
    <mergeCell ref="C1197:C1201"/>
    <mergeCell ref="K1197:K1201"/>
    <mergeCell ref="B1202:B1206"/>
    <mergeCell ref="C1202:C1206"/>
    <mergeCell ref="K1202:K1206"/>
    <mergeCell ref="B1187:B1191"/>
    <mergeCell ref="C1187:C1191"/>
    <mergeCell ref="K1187:K1191"/>
    <mergeCell ref="B1192:B1196"/>
    <mergeCell ref="C1192:C1196"/>
    <mergeCell ref="K1192:K1196"/>
    <mergeCell ref="B1217:B1221"/>
    <mergeCell ref="C1217:C1221"/>
    <mergeCell ref="K1217:K1221"/>
    <mergeCell ref="B1222:B1226"/>
    <mergeCell ref="C1222:C1226"/>
    <mergeCell ref="K1222:K1226"/>
    <mergeCell ref="B1207:B1211"/>
    <mergeCell ref="C1207:C1211"/>
    <mergeCell ref="K1207:K1211"/>
    <mergeCell ref="B1212:B1216"/>
    <mergeCell ref="C1212:C1216"/>
    <mergeCell ref="K1212:K1216"/>
    <mergeCell ref="B1237:B1241"/>
    <mergeCell ref="C1237:C1241"/>
    <mergeCell ref="K1237:K1241"/>
    <mergeCell ref="B1242:B1246"/>
    <mergeCell ref="C1242:C1246"/>
    <mergeCell ref="K1242:K1246"/>
    <mergeCell ref="B1227:B1231"/>
    <mergeCell ref="C1227:C1231"/>
    <mergeCell ref="K1227:K1231"/>
    <mergeCell ref="B1232:B1236"/>
    <mergeCell ref="C1232:C1236"/>
    <mergeCell ref="K1232:K1236"/>
    <mergeCell ref="B1257:B1261"/>
    <mergeCell ref="C1257:C1261"/>
    <mergeCell ref="K1257:K1261"/>
    <mergeCell ref="B1262:B1266"/>
    <mergeCell ref="C1262:C1266"/>
    <mergeCell ref="K1262:K1266"/>
    <mergeCell ref="B1247:B1251"/>
    <mergeCell ref="C1247:C1251"/>
    <mergeCell ref="K1247:K1251"/>
    <mergeCell ref="B1252:B1256"/>
    <mergeCell ref="C1252:C1256"/>
    <mergeCell ref="K1252:K1256"/>
    <mergeCell ref="B1277:B1281"/>
    <mergeCell ref="C1277:C1281"/>
    <mergeCell ref="K1277:K1281"/>
    <mergeCell ref="B1282:B1286"/>
    <mergeCell ref="C1282:C1286"/>
    <mergeCell ref="K1282:K1286"/>
    <mergeCell ref="B1267:B1271"/>
    <mergeCell ref="C1267:C1271"/>
    <mergeCell ref="K1267:K1271"/>
    <mergeCell ref="B1272:B1276"/>
    <mergeCell ref="C1272:C1276"/>
    <mergeCell ref="K1272:K1276"/>
    <mergeCell ref="B1297:B1301"/>
    <mergeCell ref="C1297:C1301"/>
    <mergeCell ref="K1297:K1301"/>
    <mergeCell ref="B1302:B1306"/>
    <mergeCell ref="C1302:C1306"/>
    <mergeCell ref="K1302:K1306"/>
    <mergeCell ref="B1287:B1291"/>
    <mergeCell ref="C1287:C1291"/>
    <mergeCell ref="K1287:K1291"/>
    <mergeCell ref="B1292:B1296"/>
    <mergeCell ref="C1292:C1296"/>
    <mergeCell ref="K1292:K1296"/>
    <mergeCell ref="B1317:B1321"/>
    <mergeCell ref="C1317:C1321"/>
    <mergeCell ref="K1317:K1321"/>
    <mergeCell ref="B1322:B1326"/>
    <mergeCell ref="C1322:C1326"/>
    <mergeCell ref="K1322:K1326"/>
    <mergeCell ref="B1307:B1311"/>
    <mergeCell ref="C1307:C1311"/>
    <mergeCell ref="K1307:K1311"/>
    <mergeCell ref="B1312:B1316"/>
    <mergeCell ref="C1312:C1316"/>
    <mergeCell ref="K1312:K1316"/>
    <mergeCell ref="B1337:B1341"/>
    <mergeCell ref="C1337:C1341"/>
    <mergeCell ref="K1337:K1341"/>
    <mergeCell ref="B1342:B1346"/>
    <mergeCell ref="C1342:C1346"/>
    <mergeCell ref="K1342:K1346"/>
    <mergeCell ref="B1327:B1331"/>
    <mergeCell ref="C1327:C1331"/>
    <mergeCell ref="K1327:K1331"/>
    <mergeCell ref="B1332:B1336"/>
    <mergeCell ref="C1332:C1336"/>
    <mergeCell ref="K1332:K1336"/>
    <mergeCell ref="B1357:B1361"/>
    <mergeCell ref="C1357:C1361"/>
    <mergeCell ref="K1357:K1361"/>
    <mergeCell ref="B1362:B1366"/>
    <mergeCell ref="C1362:C1366"/>
    <mergeCell ref="K1362:K1366"/>
    <mergeCell ref="B1347:B1351"/>
    <mergeCell ref="C1347:C1351"/>
    <mergeCell ref="K1347:K1351"/>
    <mergeCell ref="B1352:B1356"/>
    <mergeCell ref="C1352:C1356"/>
    <mergeCell ref="K1352:K1356"/>
    <mergeCell ref="K1392:K1396"/>
    <mergeCell ref="B1377:B1381"/>
    <mergeCell ref="C1377:C1381"/>
    <mergeCell ref="K1377:K1381"/>
    <mergeCell ref="B1382:B1386"/>
    <mergeCell ref="C1382:C1386"/>
    <mergeCell ref="K1382:K1386"/>
    <mergeCell ref="B1367:B1371"/>
    <mergeCell ref="C1367:C1371"/>
    <mergeCell ref="K1367:K1371"/>
    <mergeCell ref="B1372:B1376"/>
    <mergeCell ref="C1372:C1376"/>
    <mergeCell ref="K1372:K1376"/>
    <mergeCell ref="M5:M6"/>
    <mergeCell ref="K1422:K1426"/>
    <mergeCell ref="B1407:B1411"/>
    <mergeCell ref="C1407:C1411"/>
    <mergeCell ref="K1407:K1411"/>
    <mergeCell ref="B1412:B1416"/>
    <mergeCell ref="C1412:C1416"/>
    <mergeCell ref="K1412:K1416"/>
    <mergeCell ref="B1397:B1401"/>
    <mergeCell ref="C1397:C1401"/>
    <mergeCell ref="K1397:K1401"/>
    <mergeCell ref="B1402:B1406"/>
    <mergeCell ref="C1402:C1406"/>
    <mergeCell ref="K1402:K1406"/>
    <mergeCell ref="B1417:B1421"/>
    <mergeCell ref="C1417:C1421"/>
    <mergeCell ref="K1417:K1421"/>
    <mergeCell ref="B1422:B1426"/>
    <mergeCell ref="C1422:C1426"/>
    <mergeCell ref="B1387:B1391"/>
    <mergeCell ref="C1387:C1391"/>
    <mergeCell ref="K1387:K1391"/>
    <mergeCell ref="B1392:B1396"/>
    <mergeCell ref="C1392:C1396"/>
    <mergeCell ref="B1442:B1446"/>
    <mergeCell ref="C1442:C1446"/>
    <mergeCell ref="K1442:K1446"/>
    <mergeCell ref="B1447:B1451"/>
    <mergeCell ref="C1447:C1451"/>
    <mergeCell ref="K1447:K1451"/>
    <mergeCell ref="B1427:B1431"/>
    <mergeCell ref="C1427:C1431"/>
    <mergeCell ref="K1427:K1431"/>
    <mergeCell ref="B1432:B1436"/>
    <mergeCell ref="C1432:C1436"/>
    <mergeCell ref="K1432:K1436"/>
    <mergeCell ref="B1437:B1441"/>
    <mergeCell ref="C1437:C1441"/>
    <mergeCell ref="K1437:K1441"/>
  </mergeCells>
  <phoneticPr fontId="2"/>
  <conditionalFormatting sqref="L7:L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{AABC1566-39A7-422C-BDF6-8592ECD3B335}</x14:id>
        </ext>
      </extLst>
    </cfRule>
  </conditionalFormatting>
  <conditionalFormatting sqref="L22:L145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{9DBD5330-65FB-4065-A13F-91140A184A53}</x14:id>
        </ext>
      </extLst>
    </cfRule>
  </conditionalFormatting>
  <conditionalFormatting sqref="M7:M14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{63D3140D-93A5-47C0-83A3-F02766F82377}</x14:id>
        </ext>
      </extLst>
    </cfRule>
  </conditionalFormatting>
  <printOptions horizontalCentered="1"/>
  <pageMargins left="0.11811023622047245" right="0.11811023622047245" top="0.39370078740157483" bottom="0.27559055118110237" header="0.11811023622047245" footer="0.11811023622047245"/>
  <pageSetup paperSize="8" scale="74" orientation="portrait" r:id="rId1"/>
  <headerFooter>
    <oddHeader>&amp;C&amp;"Meiryo UI,太字"&amp;14&lt;  2404_ログイン回数_3モジュール_5職種 &gt;</oddHeader>
    <oddFooter>&amp;P / &amp;N ページ</oddFooter>
  </headerFooter>
  <rowBreaks count="18" manualBreakCount="18">
    <brk id="81" max="16383" man="1"/>
    <brk id="161" max="16383" man="1"/>
    <brk id="241" max="14" man="1"/>
    <brk id="321" max="16383" man="1"/>
    <brk id="401" max="16383" man="1"/>
    <brk id="481" max="16383" man="1"/>
    <brk id="561" max="16383" man="1"/>
    <brk id="641" max="16383" man="1"/>
    <brk id="721" max="16383" man="1"/>
    <brk id="801" max="16383" man="1"/>
    <brk id="881" max="16383" man="1"/>
    <brk id="961" max="16383" man="1"/>
    <brk id="1041" max="16383" man="1"/>
    <brk id="1121" max="16383" man="1"/>
    <brk id="1201" max="16383" man="1"/>
    <brk id="1281" max="16383" man="1"/>
    <brk id="1361" max="16383" man="1"/>
    <brk id="1441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BC1566-39A7-422C-BDF6-8592ECD3B3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L7:L21</xm:sqref>
        </x14:conditionalFormatting>
        <x14:conditionalFormatting xmlns:xm="http://schemas.microsoft.com/office/excel/2006/main">
          <x14:cfRule type="dataBar" id="{9DBD5330-65FB-4065-A13F-91140A184A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L22:L1456</xm:sqref>
        </x14:conditionalFormatting>
        <x14:conditionalFormatting xmlns:xm="http://schemas.microsoft.com/office/excel/2006/main">
          <x14:cfRule type="dataBar" id="{63D3140D-93A5-47C0-83A3-F02766F823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M7:M1456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B8386-C70B-40A8-9079-B29295320FC7}">
  <sheetPr codeName="Sheet3"/>
  <dimension ref="A1:L1456"/>
  <sheetViews>
    <sheetView view="pageBreakPreview" zoomScale="85" zoomScaleNormal="100" zoomScaleSheetLayoutView="85" workbookViewId="0">
      <pane xSplit="5" ySplit="6" topLeftCell="F7" activePane="bottomRight" state="frozen"/>
      <selection pane="topRight" activeCell="G1" sqref="G1"/>
      <selection pane="bottomLeft" activeCell="A4" sqref="A4"/>
      <selection pane="bottomRight" activeCell="J7" sqref="J7"/>
    </sheetView>
  </sheetViews>
  <sheetFormatPr defaultRowHeight="14.4" x14ac:dyDescent="0.45"/>
  <cols>
    <col min="1" max="1" width="7.59765625" style="21" customWidth="1"/>
    <col min="2" max="2" width="13.59765625" style="23" bestFit="1" customWidth="1"/>
    <col min="3" max="3" width="23.09765625" style="23" bestFit="1" customWidth="1"/>
    <col min="4" max="4" width="15.3984375" style="1" bestFit="1" customWidth="1"/>
    <col min="5" max="5" width="9.59765625" style="2" customWidth="1"/>
    <col min="6" max="7" width="9.59765625" style="7" customWidth="1"/>
    <col min="8" max="10" width="9.59765625" style="2" customWidth="1"/>
    <col min="11" max="11" width="8.796875" style="1"/>
    <col min="12" max="12" width="0" style="1" hidden="1" customWidth="1"/>
    <col min="13" max="16384" width="8.796875" style="1"/>
  </cols>
  <sheetData>
    <row r="1" spans="1:12" x14ac:dyDescent="0.45">
      <c r="A1" s="20" t="s">
        <v>446</v>
      </c>
      <c r="B1" s="22"/>
      <c r="D1" s="18"/>
    </row>
    <row r="2" spans="1:12" x14ac:dyDescent="0.45">
      <c r="A2" s="20" t="s">
        <v>326</v>
      </c>
      <c r="B2" s="22"/>
    </row>
    <row r="3" spans="1:12" x14ac:dyDescent="0.45">
      <c r="A3" s="20" t="s">
        <v>169</v>
      </c>
      <c r="B3" s="22"/>
    </row>
    <row r="4" spans="1:12" ht="33" customHeight="1" thickBot="1" x14ac:dyDescent="0.5">
      <c r="A4" s="20" t="s">
        <v>188</v>
      </c>
      <c r="B4" s="22"/>
    </row>
    <row r="5" spans="1:12" ht="18" customHeight="1" thickTop="1" x14ac:dyDescent="0.45">
      <c r="A5" s="54" t="s">
        <v>170</v>
      </c>
      <c r="B5" s="48" t="s">
        <v>101</v>
      </c>
      <c r="C5" s="48" t="s">
        <v>102</v>
      </c>
      <c r="D5" s="56" t="s">
        <v>103</v>
      </c>
      <c r="E5" s="58" t="s">
        <v>178</v>
      </c>
      <c r="F5" s="71" t="s">
        <v>181</v>
      </c>
      <c r="G5" s="72"/>
      <c r="H5" s="58" t="s">
        <v>186</v>
      </c>
      <c r="I5" s="73" t="s">
        <v>187</v>
      </c>
      <c r="J5" s="46" t="s">
        <v>179</v>
      </c>
      <c r="K5" s="63" t="s">
        <v>189</v>
      </c>
    </row>
    <row r="6" spans="1:12" ht="28.8" x14ac:dyDescent="0.45">
      <c r="A6" s="55"/>
      <c r="B6" s="49"/>
      <c r="C6" s="49"/>
      <c r="D6" s="57"/>
      <c r="E6" s="57"/>
      <c r="F6" s="3" t="s">
        <v>105</v>
      </c>
      <c r="G6" s="3" t="s">
        <v>176</v>
      </c>
      <c r="H6" s="57"/>
      <c r="I6" s="51"/>
      <c r="J6" s="47"/>
      <c r="K6" s="64"/>
    </row>
    <row r="7" spans="1:12" ht="18" customHeight="1" x14ac:dyDescent="0.45">
      <c r="A7" s="13">
        <v>1</v>
      </c>
      <c r="B7" s="40" t="s">
        <v>0</v>
      </c>
      <c r="C7" s="40" t="s">
        <v>1</v>
      </c>
      <c r="D7" s="14" t="s">
        <v>3</v>
      </c>
      <c r="E7" s="15">
        <v>1</v>
      </c>
      <c r="F7" s="17">
        <v>1</v>
      </c>
      <c r="G7" s="17">
        <v>1</v>
      </c>
      <c r="H7" s="15">
        <f>F7</f>
        <v>1</v>
      </c>
      <c r="I7" s="65" cm="1">
        <f t="array" ref="I7">IF(J7="-","-",_xlfn.IFS(K7&lt;=5,0,K7&lt;=10,1,K7&lt;=15,2,K7&gt;=16,3))</f>
        <v>0</v>
      </c>
      <c r="J7" s="29" cm="1">
        <f t="array" ref="J7">IFERROR(IF(_xlfn.XLOOKUP(L7,NC導入施設!B:B,NC導入施設!E:E)=0,_xlfn.IFS(H7&lt;=5,0,H7&lt;=10,1,H7&lt;=15,2,H7&gt;=16,3),"Null"),"-")</f>
        <v>0</v>
      </c>
      <c r="K7" s="68">
        <f>IFERROR(SUM(H7:H11),"-")</f>
        <v>2</v>
      </c>
      <c r="L7" s="1">
        <v>1110351100</v>
      </c>
    </row>
    <row r="8" spans="1:12" ht="18" customHeight="1" x14ac:dyDescent="0.45">
      <c r="A8" s="13">
        <v>2</v>
      </c>
      <c r="B8" s="41" t="str">
        <f t="shared" ref="B8:C11" si="0">B7</f>
        <v>東日本本部</v>
      </c>
      <c r="C8" s="41" t="str">
        <f t="shared" si="0"/>
        <v>そんぽの家　苗穂</v>
      </c>
      <c r="D8" s="14" t="s">
        <v>4</v>
      </c>
      <c r="E8" s="15">
        <v>2</v>
      </c>
      <c r="F8" s="17">
        <v>0</v>
      </c>
      <c r="G8" s="17">
        <v>0</v>
      </c>
      <c r="H8" s="15">
        <f t="shared" ref="H8:H71" si="1">F8</f>
        <v>0</v>
      </c>
      <c r="I8" s="66"/>
      <c r="J8" s="29" cm="1">
        <f t="array" ref="J8">IFERROR(IF(_xlfn.XLOOKUP(L8,NC導入施設!B:B,NC導入施設!E:E)=0,_xlfn.IFS(H8&lt;=5,0,H8&lt;=10,1,H8&lt;=15,2,H8&gt;=16,3),"Null"),"-")</f>
        <v>0</v>
      </c>
      <c r="K8" s="69"/>
      <c r="L8" s="1">
        <v>1110351100</v>
      </c>
    </row>
    <row r="9" spans="1:12" ht="18" customHeight="1" x14ac:dyDescent="0.45">
      <c r="A9" s="13">
        <v>3</v>
      </c>
      <c r="B9" s="41" t="str">
        <f t="shared" si="0"/>
        <v>東日本本部</v>
      </c>
      <c r="C9" s="41" t="str">
        <f t="shared" si="0"/>
        <v>そんぽの家　苗穂</v>
      </c>
      <c r="D9" s="14" t="s">
        <v>5</v>
      </c>
      <c r="E9" s="15">
        <v>2</v>
      </c>
      <c r="F9" s="17">
        <v>1</v>
      </c>
      <c r="G9" s="17">
        <v>0.5</v>
      </c>
      <c r="H9" s="15">
        <f t="shared" si="1"/>
        <v>1</v>
      </c>
      <c r="I9" s="66"/>
      <c r="J9" s="29" cm="1">
        <f t="array" ref="J9">IFERROR(IF(_xlfn.XLOOKUP(L9,NC導入施設!B:B,NC導入施設!E:E)=0,_xlfn.IFS(H9&lt;=5,0,H9&lt;=10,1,H9&lt;=15,2,H9&gt;=16,3),"Null"),"-")</f>
        <v>0</v>
      </c>
      <c r="K9" s="69"/>
      <c r="L9" s="1">
        <v>1110351100</v>
      </c>
    </row>
    <row r="10" spans="1:12" ht="18" customHeight="1" x14ac:dyDescent="0.45">
      <c r="A10" s="13">
        <v>4</v>
      </c>
      <c r="B10" s="41" t="str">
        <f t="shared" si="0"/>
        <v>東日本本部</v>
      </c>
      <c r="C10" s="41" t="str">
        <f t="shared" si="0"/>
        <v>そんぽの家　苗穂</v>
      </c>
      <c r="D10" s="14" t="s">
        <v>6</v>
      </c>
      <c r="E10" s="15">
        <v>3</v>
      </c>
      <c r="F10" s="17">
        <v>0</v>
      </c>
      <c r="G10" s="17">
        <v>0</v>
      </c>
      <c r="H10" s="15">
        <f t="shared" si="1"/>
        <v>0</v>
      </c>
      <c r="I10" s="66"/>
      <c r="J10" s="29" cm="1">
        <f t="array" ref="J10">IFERROR(IF(_xlfn.XLOOKUP(L10,NC導入施設!B:B,NC導入施設!E:E)=0,_xlfn.IFS(H10&lt;=5,0,H10&lt;=10,1,H10&lt;=15,2,H10&gt;=16,3),"Null"),"-")</f>
        <v>0</v>
      </c>
      <c r="K10" s="69"/>
      <c r="L10" s="1">
        <v>1110351100</v>
      </c>
    </row>
    <row r="11" spans="1:12" ht="18" customHeight="1" x14ac:dyDescent="0.45">
      <c r="A11" s="13">
        <v>5</v>
      </c>
      <c r="B11" s="42" t="str">
        <f t="shared" si="0"/>
        <v>東日本本部</v>
      </c>
      <c r="C11" s="42" t="str">
        <f t="shared" si="0"/>
        <v>そんぽの家　苗穂</v>
      </c>
      <c r="D11" s="14" t="s">
        <v>2</v>
      </c>
      <c r="E11" s="15">
        <v>1</v>
      </c>
      <c r="F11" s="17">
        <v>0</v>
      </c>
      <c r="G11" s="17">
        <v>0</v>
      </c>
      <c r="H11" s="15">
        <f t="shared" si="1"/>
        <v>0</v>
      </c>
      <c r="I11" s="67"/>
      <c r="J11" s="29" cm="1">
        <f t="array" ref="J11">IFERROR(IF(_xlfn.XLOOKUP(L11,NC導入施設!B:B,NC導入施設!E:E)=0,_xlfn.IFS(H11&lt;=5,0,H11&lt;=10,1,H11&lt;=15,2,H11&gt;=16,3),"Null"),"-")</f>
        <v>0</v>
      </c>
      <c r="K11" s="70"/>
      <c r="L11" s="1">
        <v>1110351100</v>
      </c>
    </row>
    <row r="12" spans="1:12" ht="18" customHeight="1" x14ac:dyDescent="0.45">
      <c r="A12" s="8">
        <v>6</v>
      </c>
      <c r="B12" s="34" t="s">
        <v>0</v>
      </c>
      <c r="C12" s="34" t="s">
        <v>192</v>
      </c>
      <c r="D12" s="9" t="s">
        <v>3</v>
      </c>
      <c r="E12" s="10">
        <v>1</v>
      </c>
      <c r="F12" s="12">
        <v>0</v>
      </c>
      <c r="G12" s="12">
        <v>0</v>
      </c>
      <c r="H12" s="10">
        <f t="shared" si="1"/>
        <v>0</v>
      </c>
      <c r="I12" s="37" t="str" cm="1">
        <f t="array" ref="I12">IF(J12="-","-",_xlfn.IFS(K12&lt;=5,0,K12&lt;=10,1,K12&lt;=15,2,K12&gt;=16,3))</f>
        <v>-</v>
      </c>
      <c r="J12" s="19" t="str" cm="1">
        <f t="array" ref="J12">IFERROR(IF(_xlfn.XLOOKUP(L12,NC導入施設!B:B,NC導入施設!E:E)=0,_xlfn.IFS(H12&lt;=5,0,H12&lt;=10,1,H12&lt;=15,2,H12&gt;=16,3),"Null"),"-")</f>
        <v>-</v>
      </c>
      <c r="K12" s="60">
        <f t="shared" ref="K12" si="2">IFERROR(SUM(H12:H16),"-")</f>
        <v>1</v>
      </c>
      <c r="L12" s="1">
        <v>1118201100</v>
      </c>
    </row>
    <row r="13" spans="1:12" ht="18" customHeight="1" x14ac:dyDescent="0.45">
      <c r="A13" s="8">
        <v>7</v>
      </c>
      <c r="B13" s="35" t="str">
        <f t="shared" ref="B13:C16" si="3">B12</f>
        <v>東日本本部</v>
      </c>
      <c r="C13" s="35" t="str">
        <f t="shared" si="3"/>
        <v>ラヴィーレ真駒内</v>
      </c>
      <c r="D13" s="9" t="s">
        <v>4</v>
      </c>
      <c r="E13" s="10">
        <v>1</v>
      </c>
      <c r="F13" s="12">
        <v>1</v>
      </c>
      <c r="G13" s="12">
        <v>1</v>
      </c>
      <c r="H13" s="10">
        <f t="shared" si="1"/>
        <v>1</v>
      </c>
      <c r="I13" s="38"/>
      <c r="J13" s="19" t="str" cm="1">
        <f t="array" ref="J13">IFERROR(IF(_xlfn.XLOOKUP(L13,NC導入施設!B:B,NC導入施設!E:E)=0,_xlfn.IFS(H13&lt;=5,0,H13&lt;=10,1,H13&lt;=15,2,H13&gt;=16,3),"Null"),"-")</f>
        <v>-</v>
      </c>
      <c r="K13" s="61"/>
      <c r="L13" s="1">
        <v>1118201100</v>
      </c>
    </row>
    <row r="14" spans="1:12" ht="18" customHeight="1" x14ac:dyDescent="0.45">
      <c r="A14" s="8">
        <v>8</v>
      </c>
      <c r="B14" s="35" t="str">
        <f t="shared" si="3"/>
        <v>東日本本部</v>
      </c>
      <c r="C14" s="35" t="str">
        <f t="shared" si="3"/>
        <v>ラヴィーレ真駒内</v>
      </c>
      <c r="D14" s="9" t="s">
        <v>5</v>
      </c>
      <c r="E14" s="10">
        <v>1</v>
      </c>
      <c r="F14" s="12">
        <v>0</v>
      </c>
      <c r="G14" s="12">
        <v>0</v>
      </c>
      <c r="H14" s="10">
        <f t="shared" si="1"/>
        <v>0</v>
      </c>
      <c r="I14" s="38"/>
      <c r="J14" s="19" t="str" cm="1">
        <f t="array" ref="J14">IFERROR(IF(_xlfn.XLOOKUP(L14,NC導入施設!B:B,NC導入施設!E:E)=0,_xlfn.IFS(H14&lt;=5,0,H14&lt;=10,1,H14&lt;=15,2,H14&gt;=16,3),"Null"),"-")</f>
        <v>-</v>
      </c>
      <c r="K14" s="61"/>
      <c r="L14" s="1">
        <v>1118201100</v>
      </c>
    </row>
    <row r="15" spans="1:12" ht="18" customHeight="1" x14ac:dyDescent="0.45">
      <c r="A15" s="8">
        <v>9</v>
      </c>
      <c r="B15" s="35" t="str">
        <f t="shared" si="3"/>
        <v>東日本本部</v>
      </c>
      <c r="C15" s="35" t="str">
        <f t="shared" si="3"/>
        <v>ラヴィーレ真駒内</v>
      </c>
      <c r="D15" s="9" t="s">
        <v>6</v>
      </c>
      <c r="E15" s="10">
        <v>6</v>
      </c>
      <c r="F15" s="12">
        <v>0</v>
      </c>
      <c r="G15" s="12">
        <v>0</v>
      </c>
      <c r="H15" s="10">
        <f t="shared" si="1"/>
        <v>0</v>
      </c>
      <c r="I15" s="38"/>
      <c r="J15" s="19" t="str" cm="1">
        <f t="array" ref="J15">IFERROR(IF(_xlfn.XLOOKUP(L15,NC導入施設!B:B,NC導入施設!E:E)=0,_xlfn.IFS(H15&lt;=5,0,H15&lt;=10,1,H15&lt;=15,2,H15&gt;=16,3),"Null"),"-")</f>
        <v>-</v>
      </c>
      <c r="K15" s="61"/>
      <c r="L15" s="1">
        <v>1118201100</v>
      </c>
    </row>
    <row r="16" spans="1:12" ht="18" customHeight="1" x14ac:dyDescent="0.45">
      <c r="A16" s="8">
        <v>10</v>
      </c>
      <c r="B16" s="36" t="str">
        <f t="shared" si="3"/>
        <v>東日本本部</v>
      </c>
      <c r="C16" s="36" t="str">
        <f t="shared" si="3"/>
        <v>ラヴィーレ真駒内</v>
      </c>
      <c r="D16" s="9" t="s">
        <v>2</v>
      </c>
      <c r="E16" s="10">
        <v>1</v>
      </c>
      <c r="F16" s="12">
        <v>0</v>
      </c>
      <c r="G16" s="12">
        <v>0</v>
      </c>
      <c r="H16" s="10">
        <f t="shared" si="1"/>
        <v>0</v>
      </c>
      <c r="I16" s="39"/>
      <c r="J16" s="19" t="str" cm="1">
        <f t="array" ref="J16">IFERROR(IF(_xlfn.XLOOKUP(L16,NC導入施設!B:B,NC導入施設!E:E)=0,_xlfn.IFS(H16&lt;=5,0,H16&lt;=10,1,H16&lt;=15,2,H16&gt;=16,3),"Null"),"-")</f>
        <v>-</v>
      </c>
      <c r="K16" s="62"/>
      <c r="L16" s="1">
        <v>1118201100</v>
      </c>
    </row>
    <row r="17" spans="1:12" ht="18" customHeight="1" x14ac:dyDescent="0.45">
      <c r="A17" s="30">
        <v>11</v>
      </c>
      <c r="B17" s="40" t="s">
        <v>0</v>
      </c>
      <c r="C17" s="40" t="s">
        <v>193</v>
      </c>
      <c r="D17" s="14" t="s">
        <v>3</v>
      </c>
      <c r="E17" s="15">
        <v>1</v>
      </c>
      <c r="F17" s="17">
        <v>0</v>
      </c>
      <c r="G17" s="17">
        <v>0</v>
      </c>
      <c r="H17" s="15">
        <f t="shared" si="1"/>
        <v>0</v>
      </c>
      <c r="I17" s="43" t="str" cm="1">
        <f t="array" ref="I17">IF(J17="-","-",_xlfn.IFS(K17&lt;=5,0,K17&lt;=10,1,K17&lt;=15,2,K17&gt;=16,3))</f>
        <v>-</v>
      </c>
      <c r="J17" s="19" t="str" cm="1">
        <f t="array" ref="J17">IFERROR(IF(_xlfn.XLOOKUP(L17,NC導入施設!B:B,NC導入施設!E:E)=0,_xlfn.IFS(H17&lt;=5,0,H17&lt;=10,1,H17&lt;=15,2,H17&gt;=16,3),"Null"),"-")</f>
        <v>-</v>
      </c>
      <c r="K17" s="60">
        <f t="shared" ref="K17" si="4">IFERROR(SUM(H17:H21),"-")</f>
        <v>2</v>
      </c>
      <c r="L17" s="1">
        <v>1118211100</v>
      </c>
    </row>
    <row r="18" spans="1:12" ht="18" customHeight="1" x14ac:dyDescent="0.45">
      <c r="A18" s="30">
        <v>12</v>
      </c>
      <c r="B18" s="41" t="str">
        <f t="shared" ref="B18:C21" si="5">B17</f>
        <v>東日本本部</v>
      </c>
      <c r="C18" s="41" t="str">
        <f t="shared" si="5"/>
        <v>ラヴィーレ白石南郷</v>
      </c>
      <c r="D18" s="14" t="s">
        <v>4</v>
      </c>
      <c r="E18" s="15">
        <v>1</v>
      </c>
      <c r="F18" s="17">
        <v>0</v>
      </c>
      <c r="G18" s="17">
        <v>0</v>
      </c>
      <c r="H18" s="15">
        <f t="shared" si="1"/>
        <v>0</v>
      </c>
      <c r="I18" s="44"/>
      <c r="J18" s="19" t="str" cm="1">
        <f t="array" ref="J18">IFERROR(IF(_xlfn.XLOOKUP(L18,NC導入施設!B:B,NC導入施設!E:E)=0,_xlfn.IFS(H18&lt;=5,0,H18&lt;=10,1,H18&lt;=15,2,H18&gt;=16,3),"Null"),"-")</f>
        <v>-</v>
      </c>
      <c r="K18" s="61"/>
      <c r="L18" s="1">
        <v>1118211100</v>
      </c>
    </row>
    <row r="19" spans="1:12" ht="18" customHeight="1" x14ac:dyDescent="0.45">
      <c r="A19" s="30">
        <v>13</v>
      </c>
      <c r="B19" s="41" t="str">
        <f t="shared" si="5"/>
        <v>東日本本部</v>
      </c>
      <c r="C19" s="41" t="str">
        <f t="shared" si="5"/>
        <v>ラヴィーレ白石南郷</v>
      </c>
      <c r="D19" s="14" t="s">
        <v>5</v>
      </c>
      <c r="E19" s="15">
        <v>2</v>
      </c>
      <c r="F19" s="17">
        <v>1</v>
      </c>
      <c r="G19" s="17">
        <v>0.5</v>
      </c>
      <c r="H19" s="15">
        <f t="shared" si="1"/>
        <v>1</v>
      </c>
      <c r="I19" s="44"/>
      <c r="J19" s="19" t="str" cm="1">
        <f t="array" ref="J19">IFERROR(IF(_xlfn.XLOOKUP(L19,NC導入施設!B:B,NC導入施設!E:E)=0,_xlfn.IFS(H19&lt;=5,0,H19&lt;=10,1,H19&lt;=15,2,H19&gt;=16,3),"Null"),"-")</f>
        <v>-</v>
      </c>
      <c r="K19" s="61"/>
      <c r="L19" s="1">
        <v>1118211100</v>
      </c>
    </row>
    <row r="20" spans="1:12" ht="18" customHeight="1" x14ac:dyDescent="0.45">
      <c r="A20" s="30">
        <v>14</v>
      </c>
      <c r="B20" s="41" t="str">
        <f t="shared" si="5"/>
        <v>東日本本部</v>
      </c>
      <c r="C20" s="41" t="str">
        <f t="shared" si="5"/>
        <v>ラヴィーレ白石南郷</v>
      </c>
      <c r="D20" s="14" t="s">
        <v>6</v>
      </c>
      <c r="E20" s="15">
        <v>9</v>
      </c>
      <c r="F20" s="17">
        <v>0</v>
      </c>
      <c r="G20" s="17">
        <v>0</v>
      </c>
      <c r="H20" s="15">
        <f t="shared" si="1"/>
        <v>0</v>
      </c>
      <c r="I20" s="44"/>
      <c r="J20" s="19" t="str" cm="1">
        <f t="array" ref="J20">IFERROR(IF(_xlfn.XLOOKUP(L20,NC導入施設!B:B,NC導入施設!E:E)=0,_xlfn.IFS(H20&lt;=5,0,H20&lt;=10,1,H20&lt;=15,2,H20&gt;=16,3),"Null"),"-")</f>
        <v>-</v>
      </c>
      <c r="K20" s="61"/>
      <c r="L20" s="1">
        <v>1118211100</v>
      </c>
    </row>
    <row r="21" spans="1:12" ht="18" customHeight="1" x14ac:dyDescent="0.45">
      <c r="A21" s="30">
        <v>15</v>
      </c>
      <c r="B21" s="42" t="str">
        <f t="shared" si="5"/>
        <v>東日本本部</v>
      </c>
      <c r="C21" s="42" t="str">
        <f t="shared" si="5"/>
        <v>ラヴィーレ白石南郷</v>
      </c>
      <c r="D21" s="14" t="s">
        <v>2</v>
      </c>
      <c r="E21" s="15">
        <v>2</v>
      </c>
      <c r="F21" s="17">
        <v>1</v>
      </c>
      <c r="G21" s="17">
        <v>0.5</v>
      </c>
      <c r="H21" s="15">
        <f t="shared" si="1"/>
        <v>1</v>
      </c>
      <c r="I21" s="45"/>
      <c r="J21" s="19" t="str" cm="1">
        <f t="array" ref="J21">IFERROR(IF(_xlfn.XLOOKUP(L21,NC導入施設!B:B,NC導入施設!E:E)=0,_xlfn.IFS(H21&lt;=5,0,H21&lt;=10,1,H21&lt;=15,2,H21&gt;=16,3),"Null"),"-")</f>
        <v>-</v>
      </c>
      <c r="K21" s="62"/>
      <c r="L21" s="1">
        <v>1118211100</v>
      </c>
    </row>
    <row r="22" spans="1:12" ht="18" customHeight="1" x14ac:dyDescent="0.45">
      <c r="A22" s="8">
        <v>16</v>
      </c>
      <c r="B22" s="34" t="s">
        <v>0</v>
      </c>
      <c r="C22" s="34" t="s">
        <v>7</v>
      </c>
      <c r="D22" s="9" t="s">
        <v>3</v>
      </c>
      <c r="E22" s="10">
        <v>1</v>
      </c>
      <c r="F22" s="12">
        <v>12</v>
      </c>
      <c r="G22" s="12">
        <v>12</v>
      </c>
      <c r="H22" s="10">
        <f t="shared" si="1"/>
        <v>12</v>
      </c>
      <c r="I22" s="37" cm="1">
        <f t="array" ref="I22">IF(J22="-","-",_xlfn.IFS(K22&lt;=5,0,K22&lt;=10,1,K22&lt;=15,2,K22&gt;=16,3))</f>
        <v>3</v>
      </c>
      <c r="J22" s="19" cm="1">
        <f t="array" ref="J22">IFERROR(IF(_xlfn.XLOOKUP(L22,NC導入施設!B:B,NC導入施設!E:E)=0,_xlfn.IFS(H22&lt;=5,0,H22&lt;=10,1,H22&lt;=15,2,H22&gt;=16,3),"Null"),"-")</f>
        <v>2</v>
      </c>
      <c r="K22" s="60">
        <f t="shared" ref="K22" si="6">IFERROR(SUM(H22:H26),"-")</f>
        <v>31</v>
      </c>
      <c r="L22" s="1">
        <v>1410581100</v>
      </c>
    </row>
    <row r="23" spans="1:12" ht="18" customHeight="1" x14ac:dyDescent="0.45">
      <c r="A23" s="8">
        <v>17</v>
      </c>
      <c r="B23" s="35" t="str">
        <f t="shared" ref="B23:C26" si="7">B22</f>
        <v>東日本本部</v>
      </c>
      <c r="C23" s="35" t="str">
        <f t="shared" si="7"/>
        <v>そんぽの家　仙台岩切</v>
      </c>
      <c r="D23" s="9" t="s">
        <v>4</v>
      </c>
      <c r="E23" s="10">
        <v>1</v>
      </c>
      <c r="F23" s="12">
        <v>4</v>
      </c>
      <c r="G23" s="12">
        <v>4</v>
      </c>
      <c r="H23" s="10">
        <f t="shared" si="1"/>
        <v>4</v>
      </c>
      <c r="I23" s="38"/>
      <c r="J23" s="19" cm="1">
        <f t="array" ref="J23">IFERROR(IF(_xlfn.XLOOKUP(L23,NC導入施設!B:B,NC導入施設!E:E)=0,_xlfn.IFS(H23&lt;=5,0,H23&lt;=10,1,H23&lt;=15,2,H23&gt;=16,3),"Null"),"-")</f>
        <v>0</v>
      </c>
      <c r="K23" s="61"/>
      <c r="L23" s="1">
        <v>1410581100</v>
      </c>
    </row>
    <row r="24" spans="1:12" ht="18" customHeight="1" x14ac:dyDescent="0.45">
      <c r="A24" s="8">
        <v>18</v>
      </c>
      <c r="B24" s="35" t="str">
        <f t="shared" si="7"/>
        <v>東日本本部</v>
      </c>
      <c r="C24" s="35" t="str">
        <f t="shared" si="7"/>
        <v>そんぽの家　仙台岩切</v>
      </c>
      <c r="D24" s="9" t="s">
        <v>5</v>
      </c>
      <c r="E24" s="10">
        <v>1</v>
      </c>
      <c r="F24" s="12">
        <v>15</v>
      </c>
      <c r="G24" s="12">
        <v>15</v>
      </c>
      <c r="H24" s="10">
        <f t="shared" si="1"/>
        <v>15</v>
      </c>
      <c r="I24" s="38"/>
      <c r="J24" s="19" cm="1">
        <f t="array" ref="J24">IFERROR(IF(_xlfn.XLOOKUP(L24,NC導入施設!B:B,NC導入施設!E:E)=0,_xlfn.IFS(H24&lt;=5,0,H24&lt;=10,1,H24&lt;=15,2,H24&gt;=16,3),"Null"),"-")</f>
        <v>2</v>
      </c>
      <c r="K24" s="61"/>
      <c r="L24" s="1">
        <v>1410581100</v>
      </c>
    </row>
    <row r="25" spans="1:12" ht="18" customHeight="1" x14ac:dyDescent="0.45">
      <c r="A25" s="8">
        <v>19</v>
      </c>
      <c r="B25" s="35" t="str">
        <f t="shared" si="7"/>
        <v>東日本本部</v>
      </c>
      <c r="C25" s="35" t="str">
        <f t="shared" si="7"/>
        <v>そんぽの家　仙台岩切</v>
      </c>
      <c r="D25" s="9" t="s">
        <v>6</v>
      </c>
      <c r="E25" s="10">
        <v>3</v>
      </c>
      <c r="F25" s="12">
        <v>0</v>
      </c>
      <c r="G25" s="12">
        <v>0</v>
      </c>
      <c r="H25" s="10">
        <f t="shared" si="1"/>
        <v>0</v>
      </c>
      <c r="I25" s="38"/>
      <c r="J25" s="19" cm="1">
        <f t="array" ref="J25">IFERROR(IF(_xlfn.XLOOKUP(L25,NC導入施設!B:B,NC導入施設!E:E)=0,_xlfn.IFS(H25&lt;=5,0,H25&lt;=10,1,H25&lt;=15,2,H25&gt;=16,3),"Null"),"-")</f>
        <v>0</v>
      </c>
      <c r="K25" s="61"/>
      <c r="L25" s="1">
        <v>1410581100</v>
      </c>
    </row>
    <row r="26" spans="1:12" ht="18" customHeight="1" x14ac:dyDescent="0.45">
      <c r="A26" s="8">
        <v>20</v>
      </c>
      <c r="B26" s="36" t="str">
        <f t="shared" si="7"/>
        <v>東日本本部</v>
      </c>
      <c r="C26" s="36" t="str">
        <f t="shared" si="7"/>
        <v>そんぽの家　仙台岩切</v>
      </c>
      <c r="D26" s="9" t="s">
        <v>2</v>
      </c>
      <c r="E26" s="10">
        <v>1</v>
      </c>
      <c r="F26" s="12">
        <v>0</v>
      </c>
      <c r="G26" s="12">
        <v>0</v>
      </c>
      <c r="H26" s="10">
        <f t="shared" si="1"/>
        <v>0</v>
      </c>
      <c r="I26" s="39"/>
      <c r="J26" s="19" cm="1">
        <f t="array" ref="J26">IFERROR(IF(_xlfn.XLOOKUP(L26,NC導入施設!B:B,NC導入施設!E:E)=0,_xlfn.IFS(H26&lt;=5,0,H26&lt;=10,1,H26&lt;=15,2,H26&gt;=16,3),"Null"),"-")</f>
        <v>0</v>
      </c>
      <c r="K26" s="62"/>
      <c r="L26" s="1">
        <v>1410581100</v>
      </c>
    </row>
    <row r="27" spans="1:12" ht="18" customHeight="1" x14ac:dyDescent="0.45">
      <c r="A27" s="13">
        <v>21</v>
      </c>
      <c r="B27" s="40" t="s">
        <v>0</v>
      </c>
      <c r="C27" s="40" t="s">
        <v>194</v>
      </c>
      <c r="D27" s="14" t="s">
        <v>3</v>
      </c>
      <c r="E27" s="15">
        <v>1</v>
      </c>
      <c r="F27" s="17">
        <v>0</v>
      </c>
      <c r="G27" s="17">
        <v>0</v>
      </c>
      <c r="H27" s="15">
        <f t="shared" si="1"/>
        <v>0</v>
      </c>
      <c r="I27" s="43" t="str" cm="1">
        <f t="array" ref="I27">IF(J27="-","-",_xlfn.IFS(K27&lt;=5,0,K27&lt;=10,1,K27&lt;=15,2,K27&gt;=16,3))</f>
        <v>-</v>
      </c>
      <c r="J27" s="19" t="str" cm="1">
        <f t="array" ref="J27">IFERROR(IF(_xlfn.XLOOKUP(L27,NC導入施設!B:B,NC導入施設!E:E)=0,_xlfn.IFS(H27&lt;=5,0,H27&lt;=10,1,H27&lt;=15,2,H27&gt;=16,3),"Null"),"-")</f>
        <v>-</v>
      </c>
      <c r="K27" s="60">
        <f t="shared" ref="K27" si="8">IFERROR(SUM(H27:H31),"-")</f>
        <v>7</v>
      </c>
      <c r="L27" s="1">
        <v>1418251100</v>
      </c>
    </row>
    <row r="28" spans="1:12" ht="18" customHeight="1" x14ac:dyDescent="0.45">
      <c r="A28" s="13">
        <v>22</v>
      </c>
      <c r="B28" s="41" t="str">
        <f t="shared" ref="B28:C31" si="9">B27</f>
        <v>東日本本部</v>
      </c>
      <c r="C28" s="41" t="str">
        <f t="shared" si="9"/>
        <v>ラヴィーレ仙台東</v>
      </c>
      <c r="D28" s="14" t="s">
        <v>4</v>
      </c>
      <c r="E28" s="15">
        <v>1</v>
      </c>
      <c r="F28" s="17">
        <v>4</v>
      </c>
      <c r="G28" s="17">
        <v>4</v>
      </c>
      <c r="H28" s="15">
        <f t="shared" si="1"/>
        <v>4</v>
      </c>
      <c r="I28" s="44"/>
      <c r="J28" s="19" t="str" cm="1">
        <f t="array" ref="J28">IFERROR(IF(_xlfn.XLOOKUP(L28,NC導入施設!B:B,NC導入施設!E:E)=0,_xlfn.IFS(H28&lt;=5,0,H28&lt;=10,1,H28&lt;=15,2,H28&gt;=16,3),"Null"),"-")</f>
        <v>-</v>
      </c>
      <c r="K28" s="61"/>
      <c r="L28" s="1">
        <v>1418251100</v>
      </c>
    </row>
    <row r="29" spans="1:12" ht="18" customHeight="1" x14ac:dyDescent="0.45">
      <c r="A29" s="13">
        <v>23</v>
      </c>
      <c r="B29" s="41" t="str">
        <f t="shared" si="9"/>
        <v>東日本本部</v>
      </c>
      <c r="C29" s="41" t="str">
        <f t="shared" si="9"/>
        <v>ラヴィーレ仙台東</v>
      </c>
      <c r="D29" s="14" t="s">
        <v>5</v>
      </c>
      <c r="E29" s="15">
        <v>2</v>
      </c>
      <c r="F29" s="17">
        <v>3</v>
      </c>
      <c r="G29" s="17">
        <v>1.5</v>
      </c>
      <c r="H29" s="15">
        <f t="shared" si="1"/>
        <v>3</v>
      </c>
      <c r="I29" s="44"/>
      <c r="J29" s="19" t="str" cm="1">
        <f t="array" ref="J29">IFERROR(IF(_xlfn.XLOOKUP(L29,NC導入施設!B:B,NC導入施設!E:E)=0,_xlfn.IFS(H29&lt;=5,0,H29&lt;=10,1,H29&lt;=15,2,H29&gt;=16,3),"Null"),"-")</f>
        <v>-</v>
      </c>
      <c r="K29" s="61"/>
      <c r="L29" s="1">
        <v>1418251100</v>
      </c>
    </row>
    <row r="30" spans="1:12" ht="18" customHeight="1" x14ac:dyDescent="0.45">
      <c r="A30" s="13">
        <v>24</v>
      </c>
      <c r="B30" s="41" t="str">
        <f t="shared" si="9"/>
        <v>東日本本部</v>
      </c>
      <c r="C30" s="41" t="str">
        <f t="shared" si="9"/>
        <v>ラヴィーレ仙台東</v>
      </c>
      <c r="D30" s="14" t="s">
        <v>6</v>
      </c>
      <c r="E30" s="15">
        <v>16</v>
      </c>
      <c r="F30" s="17">
        <v>0</v>
      </c>
      <c r="G30" s="17">
        <v>0</v>
      </c>
      <c r="H30" s="15">
        <f t="shared" si="1"/>
        <v>0</v>
      </c>
      <c r="I30" s="44"/>
      <c r="J30" s="19" t="str" cm="1">
        <f t="array" ref="J30">IFERROR(IF(_xlfn.XLOOKUP(L30,NC導入施設!B:B,NC導入施設!E:E)=0,_xlfn.IFS(H30&lt;=5,0,H30&lt;=10,1,H30&lt;=15,2,H30&gt;=16,3),"Null"),"-")</f>
        <v>-</v>
      </c>
      <c r="K30" s="61"/>
      <c r="L30" s="1">
        <v>1418251100</v>
      </c>
    </row>
    <row r="31" spans="1:12" ht="18" customHeight="1" x14ac:dyDescent="0.45">
      <c r="A31" s="13">
        <v>25</v>
      </c>
      <c r="B31" s="42" t="str">
        <f t="shared" si="9"/>
        <v>東日本本部</v>
      </c>
      <c r="C31" s="42" t="str">
        <f t="shared" si="9"/>
        <v>ラヴィーレ仙台東</v>
      </c>
      <c r="D31" s="14" t="s">
        <v>2</v>
      </c>
      <c r="E31" s="15">
        <v>4</v>
      </c>
      <c r="F31" s="17">
        <v>0</v>
      </c>
      <c r="G31" s="17">
        <v>0</v>
      </c>
      <c r="H31" s="15">
        <f t="shared" si="1"/>
        <v>0</v>
      </c>
      <c r="I31" s="45"/>
      <c r="J31" s="19" t="str" cm="1">
        <f t="array" ref="J31">IFERROR(IF(_xlfn.XLOOKUP(L31,NC導入施設!B:B,NC導入施設!E:E)=0,_xlfn.IFS(H31&lt;=5,0,H31&lt;=10,1,H31&lt;=15,2,H31&gt;=16,3),"Null"),"-")</f>
        <v>-</v>
      </c>
      <c r="K31" s="62"/>
      <c r="L31" s="1">
        <v>1418251100</v>
      </c>
    </row>
    <row r="32" spans="1:12" ht="18" customHeight="1" x14ac:dyDescent="0.45">
      <c r="A32" s="8">
        <v>26</v>
      </c>
      <c r="B32" s="34" t="s">
        <v>0</v>
      </c>
      <c r="C32" s="34" t="s">
        <v>195</v>
      </c>
      <c r="D32" s="9" t="s">
        <v>3</v>
      </c>
      <c r="E32" s="10">
        <v>1</v>
      </c>
      <c r="F32" s="12">
        <v>3</v>
      </c>
      <c r="G32" s="12">
        <v>3</v>
      </c>
      <c r="H32" s="10">
        <f t="shared" si="1"/>
        <v>3</v>
      </c>
      <c r="I32" s="37" cm="1">
        <f t="array" ref="I32">IF(J32="-","-",_xlfn.IFS(K32&lt;=5,0,K32&lt;=10,1,K32&lt;=15,2,K32&gt;=16,3))</f>
        <v>3</v>
      </c>
      <c r="J32" s="19" cm="1">
        <f t="array" ref="J32">IFERROR(IF(_xlfn.XLOOKUP(L32,NC導入施設!B:B,NC導入施設!E:E)=0,_xlfn.IFS(H32&lt;=5,0,H32&lt;=10,1,H32&lt;=15,2,H32&gt;=16,3),"Null"),"-")</f>
        <v>0</v>
      </c>
      <c r="K32" s="60">
        <f t="shared" ref="K32" si="10">IFERROR(SUM(H32:H36),"-")</f>
        <v>31</v>
      </c>
      <c r="L32" s="1">
        <v>1418431100</v>
      </c>
    </row>
    <row r="33" spans="1:12" ht="18" customHeight="1" x14ac:dyDescent="0.45">
      <c r="A33" s="8">
        <v>27</v>
      </c>
      <c r="B33" s="35" t="str">
        <f t="shared" ref="B33:C36" si="11">B32</f>
        <v>東日本本部</v>
      </c>
      <c r="C33" s="35" t="str">
        <f t="shared" si="11"/>
        <v xml:space="preserve">ラヴィーレ泉パークタウン朝日 </v>
      </c>
      <c r="D33" s="9" t="s">
        <v>4</v>
      </c>
      <c r="E33" s="10">
        <v>1</v>
      </c>
      <c r="F33" s="12">
        <v>25</v>
      </c>
      <c r="G33" s="12">
        <v>25</v>
      </c>
      <c r="H33" s="10">
        <f t="shared" si="1"/>
        <v>25</v>
      </c>
      <c r="I33" s="38"/>
      <c r="J33" s="19" cm="1">
        <f t="array" ref="J33">IFERROR(IF(_xlfn.XLOOKUP(L33,NC導入施設!B:B,NC導入施設!E:E)=0,_xlfn.IFS(H33&lt;=5,0,H33&lt;=10,1,H33&lt;=15,2,H33&gt;=16,3),"Null"),"-")</f>
        <v>3</v>
      </c>
      <c r="K33" s="61"/>
      <c r="L33" s="1">
        <v>1418431100</v>
      </c>
    </row>
    <row r="34" spans="1:12" ht="18" customHeight="1" x14ac:dyDescent="0.45">
      <c r="A34" s="8">
        <v>28</v>
      </c>
      <c r="B34" s="35" t="str">
        <f t="shared" si="11"/>
        <v>東日本本部</v>
      </c>
      <c r="C34" s="35" t="str">
        <f t="shared" si="11"/>
        <v xml:space="preserve">ラヴィーレ泉パークタウン朝日 </v>
      </c>
      <c r="D34" s="9" t="s">
        <v>5</v>
      </c>
      <c r="E34" s="10">
        <v>1</v>
      </c>
      <c r="F34" s="12">
        <v>2</v>
      </c>
      <c r="G34" s="12">
        <v>2</v>
      </c>
      <c r="H34" s="10">
        <f t="shared" si="1"/>
        <v>2</v>
      </c>
      <c r="I34" s="38"/>
      <c r="J34" s="19" cm="1">
        <f t="array" ref="J34">IFERROR(IF(_xlfn.XLOOKUP(L34,NC導入施設!B:B,NC導入施設!E:E)=0,_xlfn.IFS(H34&lt;=5,0,H34&lt;=10,1,H34&lt;=15,2,H34&gt;=16,3),"Null"),"-")</f>
        <v>0</v>
      </c>
      <c r="K34" s="61"/>
      <c r="L34" s="1">
        <v>1418431100</v>
      </c>
    </row>
    <row r="35" spans="1:12" ht="18" customHeight="1" x14ac:dyDescent="0.45">
      <c r="A35" s="8">
        <v>29</v>
      </c>
      <c r="B35" s="35" t="str">
        <f t="shared" si="11"/>
        <v>東日本本部</v>
      </c>
      <c r="C35" s="35" t="str">
        <f t="shared" si="11"/>
        <v xml:space="preserve">ラヴィーレ泉パークタウン朝日 </v>
      </c>
      <c r="D35" s="9" t="s">
        <v>6</v>
      </c>
      <c r="E35" s="10">
        <v>2</v>
      </c>
      <c r="F35" s="12">
        <v>1</v>
      </c>
      <c r="G35" s="12">
        <v>0.5</v>
      </c>
      <c r="H35" s="10">
        <f t="shared" si="1"/>
        <v>1</v>
      </c>
      <c r="I35" s="38"/>
      <c r="J35" s="19" cm="1">
        <f t="array" ref="J35">IFERROR(IF(_xlfn.XLOOKUP(L35,NC導入施設!B:B,NC導入施設!E:E)=0,_xlfn.IFS(H35&lt;=5,0,H35&lt;=10,1,H35&lt;=15,2,H35&gt;=16,3),"Null"),"-")</f>
        <v>0</v>
      </c>
      <c r="K35" s="61"/>
      <c r="L35" s="1">
        <v>1418431100</v>
      </c>
    </row>
    <row r="36" spans="1:12" ht="18" customHeight="1" x14ac:dyDescent="0.45">
      <c r="A36" s="8">
        <v>30</v>
      </c>
      <c r="B36" s="36" t="str">
        <f t="shared" si="11"/>
        <v>東日本本部</v>
      </c>
      <c r="C36" s="36" t="str">
        <f t="shared" si="11"/>
        <v xml:space="preserve">ラヴィーレ泉パークタウン朝日 </v>
      </c>
      <c r="D36" s="9" t="s">
        <v>2</v>
      </c>
      <c r="E36" s="10">
        <v>1</v>
      </c>
      <c r="F36" s="12">
        <v>0</v>
      </c>
      <c r="G36" s="12">
        <v>0</v>
      </c>
      <c r="H36" s="10">
        <f t="shared" si="1"/>
        <v>0</v>
      </c>
      <c r="I36" s="39"/>
      <c r="J36" s="19" cm="1">
        <f t="array" ref="J36">IFERROR(IF(_xlfn.XLOOKUP(L36,NC導入施設!B:B,NC導入施設!E:E)=0,_xlfn.IFS(H36&lt;=5,0,H36&lt;=10,1,H36&lt;=15,2,H36&gt;=16,3),"Null"),"-")</f>
        <v>0</v>
      </c>
      <c r="K36" s="62"/>
      <c r="L36" s="1">
        <v>1418431100</v>
      </c>
    </row>
    <row r="37" spans="1:12" ht="18" customHeight="1" x14ac:dyDescent="0.45">
      <c r="A37" s="13">
        <v>31</v>
      </c>
      <c r="B37" s="40" t="s">
        <v>8</v>
      </c>
      <c r="C37" s="40" t="s">
        <v>9</v>
      </c>
      <c r="D37" s="14" t="s">
        <v>3</v>
      </c>
      <c r="E37" s="15">
        <v>1</v>
      </c>
      <c r="F37" s="17">
        <v>2</v>
      </c>
      <c r="G37" s="17">
        <v>2</v>
      </c>
      <c r="H37" s="15">
        <f t="shared" si="1"/>
        <v>2</v>
      </c>
      <c r="I37" s="43" cm="1">
        <f t="array" ref="I37">IF(J37="-","-",_xlfn.IFS(K37&lt;=5,0,K37&lt;=10,1,K37&lt;=15,2,K37&gt;=16,3))</f>
        <v>3</v>
      </c>
      <c r="J37" s="19" cm="1">
        <f t="array" ref="J37">IFERROR(IF(_xlfn.XLOOKUP(L37,NC導入施設!B:B,NC導入施設!E:E)=0,_xlfn.IFS(H37&lt;=5,0,H37&lt;=10,1,H37&lt;=15,2,H37&gt;=16,3),"Null"),"-")</f>
        <v>0</v>
      </c>
      <c r="K37" s="60">
        <f t="shared" ref="K37" si="12">IFERROR(SUM(H37:H41),"-")</f>
        <v>65</v>
      </c>
      <c r="L37" s="1">
        <v>2311161100</v>
      </c>
    </row>
    <row r="38" spans="1:12" ht="18" customHeight="1" x14ac:dyDescent="0.45">
      <c r="A38" s="13">
        <v>32</v>
      </c>
      <c r="B38" s="41" t="str">
        <f t="shared" ref="B38:C41" si="13">B37</f>
        <v>東京本部</v>
      </c>
      <c r="C38" s="41" t="str">
        <f t="shared" si="13"/>
        <v>そんぽの家　柴又</v>
      </c>
      <c r="D38" s="14" t="s">
        <v>4</v>
      </c>
      <c r="E38" s="15">
        <v>1</v>
      </c>
      <c r="F38" s="17">
        <v>17</v>
      </c>
      <c r="G38" s="17">
        <v>17</v>
      </c>
      <c r="H38" s="15">
        <f t="shared" si="1"/>
        <v>17</v>
      </c>
      <c r="I38" s="44"/>
      <c r="J38" s="19" cm="1">
        <f t="array" ref="J38">IFERROR(IF(_xlfn.XLOOKUP(L38,NC導入施設!B:B,NC導入施設!E:E)=0,_xlfn.IFS(H38&lt;=5,0,H38&lt;=10,1,H38&lt;=15,2,H38&gt;=16,3),"Null"),"-")</f>
        <v>3</v>
      </c>
      <c r="K38" s="61"/>
      <c r="L38" s="1">
        <v>2311161100</v>
      </c>
    </row>
    <row r="39" spans="1:12" ht="18" customHeight="1" x14ac:dyDescent="0.45">
      <c r="A39" s="13">
        <v>33</v>
      </c>
      <c r="B39" s="41" t="str">
        <f t="shared" si="13"/>
        <v>東京本部</v>
      </c>
      <c r="C39" s="41" t="str">
        <f t="shared" si="13"/>
        <v>そんぽの家　柴又</v>
      </c>
      <c r="D39" s="14" t="s">
        <v>5</v>
      </c>
      <c r="E39" s="15">
        <v>2</v>
      </c>
      <c r="F39" s="17">
        <v>23</v>
      </c>
      <c r="G39" s="17">
        <v>11.5</v>
      </c>
      <c r="H39" s="15">
        <f t="shared" si="1"/>
        <v>23</v>
      </c>
      <c r="I39" s="44"/>
      <c r="J39" s="19" cm="1">
        <f t="array" ref="J39">IFERROR(IF(_xlfn.XLOOKUP(L39,NC導入施設!B:B,NC導入施設!E:E)=0,_xlfn.IFS(H39&lt;=5,0,H39&lt;=10,1,H39&lt;=15,2,H39&gt;=16,3),"Null"),"-")</f>
        <v>3</v>
      </c>
      <c r="K39" s="61"/>
      <c r="L39" s="1">
        <v>2311161100</v>
      </c>
    </row>
    <row r="40" spans="1:12" ht="18" customHeight="1" x14ac:dyDescent="0.45">
      <c r="A40" s="13">
        <v>34</v>
      </c>
      <c r="B40" s="41" t="str">
        <f t="shared" si="13"/>
        <v>東京本部</v>
      </c>
      <c r="C40" s="41" t="str">
        <f t="shared" si="13"/>
        <v>そんぽの家　柴又</v>
      </c>
      <c r="D40" s="14" t="s">
        <v>6</v>
      </c>
      <c r="E40" s="15">
        <v>3</v>
      </c>
      <c r="F40" s="17">
        <v>8</v>
      </c>
      <c r="G40" s="17">
        <v>2.7</v>
      </c>
      <c r="H40" s="15">
        <f t="shared" si="1"/>
        <v>8</v>
      </c>
      <c r="I40" s="44"/>
      <c r="J40" s="19" cm="1">
        <f t="array" ref="J40">IFERROR(IF(_xlfn.XLOOKUP(L40,NC導入施設!B:B,NC導入施設!E:E)=0,_xlfn.IFS(H40&lt;=5,0,H40&lt;=10,1,H40&lt;=15,2,H40&gt;=16,3),"Null"),"-")</f>
        <v>1</v>
      </c>
      <c r="K40" s="61"/>
      <c r="L40" s="1">
        <v>2311161100</v>
      </c>
    </row>
    <row r="41" spans="1:12" ht="18" customHeight="1" x14ac:dyDescent="0.45">
      <c r="A41" s="13">
        <v>35</v>
      </c>
      <c r="B41" s="42" t="str">
        <f t="shared" si="13"/>
        <v>東京本部</v>
      </c>
      <c r="C41" s="42" t="str">
        <f t="shared" si="13"/>
        <v>そんぽの家　柴又</v>
      </c>
      <c r="D41" s="14" t="s">
        <v>2</v>
      </c>
      <c r="E41" s="15">
        <v>1</v>
      </c>
      <c r="F41" s="17">
        <v>15</v>
      </c>
      <c r="G41" s="17">
        <v>15</v>
      </c>
      <c r="H41" s="15">
        <f t="shared" si="1"/>
        <v>15</v>
      </c>
      <c r="I41" s="45"/>
      <c r="J41" s="19" cm="1">
        <f t="array" ref="J41">IFERROR(IF(_xlfn.XLOOKUP(L41,NC導入施設!B:B,NC導入施設!E:E)=0,_xlfn.IFS(H41&lt;=5,0,H41&lt;=10,1,H41&lt;=15,2,H41&gt;=16,3),"Null"),"-")</f>
        <v>2</v>
      </c>
      <c r="K41" s="62"/>
      <c r="L41" s="1">
        <v>2311161100</v>
      </c>
    </row>
    <row r="42" spans="1:12" ht="18" customHeight="1" x14ac:dyDescent="0.45">
      <c r="A42" s="8">
        <v>36</v>
      </c>
      <c r="B42" s="34" t="s">
        <v>8</v>
      </c>
      <c r="C42" s="34" t="s">
        <v>196</v>
      </c>
      <c r="D42" s="9" t="s">
        <v>3</v>
      </c>
      <c r="E42" s="10">
        <v>1</v>
      </c>
      <c r="F42" s="12">
        <v>2</v>
      </c>
      <c r="G42" s="12">
        <v>2</v>
      </c>
      <c r="H42" s="10">
        <f t="shared" si="1"/>
        <v>2</v>
      </c>
      <c r="I42" s="43" cm="1">
        <f t="array" ref="I42">IF(J42="-","-",_xlfn.IFS(K42&lt;=5,0,K42&lt;=10,1,K42&lt;=15,2,K42&gt;=16,3))</f>
        <v>3</v>
      </c>
      <c r="J42" s="19" cm="1">
        <f t="array" ref="J42">IFERROR(IF(_xlfn.XLOOKUP(L42,NC導入施設!B:B,NC導入施設!E:E)=0,_xlfn.IFS(H42&lt;=5,0,H42&lt;=10,1,H42&lt;=15,2,H42&gt;=16,3),"Null"),"-")</f>
        <v>0</v>
      </c>
      <c r="K42" s="60">
        <f t="shared" ref="K42" si="14">IFERROR(SUM(H42:H46),"-")</f>
        <v>54</v>
      </c>
      <c r="L42" s="1">
        <v>2311181100</v>
      </c>
    </row>
    <row r="43" spans="1:12" ht="18" customHeight="1" x14ac:dyDescent="0.45">
      <c r="A43" s="8">
        <v>37</v>
      </c>
      <c r="B43" s="35" t="str">
        <f t="shared" ref="B43:C46" si="15">B42</f>
        <v>東京本部</v>
      </c>
      <c r="C43" s="35" t="str">
        <f t="shared" si="15"/>
        <v>ラヴィーレ一之江</v>
      </c>
      <c r="D43" s="9" t="s">
        <v>4</v>
      </c>
      <c r="E43" s="10">
        <v>1</v>
      </c>
      <c r="F43" s="12">
        <v>9</v>
      </c>
      <c r="G43" s="12">
        <v>9</v>
      </c>
      <c r="H43" s="10">
        <f t="shared" si="1"/>
        <v>9</v>
      </c>
      <c r="I43" s="44"/>
      <c r="J43" s="19" cm="1">
        <f t="array" ref="J43">IFERROR(IF(_xlfn.XLOOKUP(L43,NC導入施設!B:B,NC導入施設!E:E)=0,_xlfn.IFS(H43&lt;=5,0,H43&lt;=10,1,H43&lt;=15,2,H43&gt;=16,3),"Null"),"-")</f>
        <v>1</v>
      </c>
      <c r="K43" s="61"/>
      <c r="L43" s="1">
        <v>2311181100</v>
      </c>
    </row>
    <row r="44" spans="1:12" ht="18" customHeight="1" x14ac:dyDescent="0.45">
      <c r="A44" s="8">
        <v>38</v>
      </c>
      <c r="B44" s="35" t="str">
        <f t="shared" si="15"/>
        <v>東京本部</v>
      </c>
      <c r="C44" s="35" t="str">
        <f t="shared" si="15"/>
        <v>ラヴィーレ一之江</v>
      </c>
      <c r="D44" s="9" t="s">
        <v>5</v>
      </c>
      <c r="E44" s="10">
        <v>2</v>
      </c>
      <c r="F44" s="12">
        <v>1</v>
      </c>
      <c r="G44" s="12">
        <v>0.5</v>
      </c>
      <c r="H44" s="10">
        <f t="shared" si="1"/>
        <v>1</v>
      </c>
      <c r="I44" s="44"/>
      <c r="J44" s="19" cm="1">
        <f t="array" ref="J44">IFERROR(IF(_xlfn.XLOOKUP(L44,NC導入施設!B:B,NC導入施設!E:E)=0,_xlfn.IFS(H44&lt;=5,0,H44&lt;=10,1,H44&lt;=15,2,H44&gt;=16,3),"Null"),"-")</f>
        <v>0</v>
      </c>
      <c r="K44" s="61"/>
      <c r="L44" s="1">
        <v>2311181100</v>
      </c>
    </row>
    <row r="45" spans="1:12" ht="18" customHeight="1" x14ac:dyDescent="0.45">
      <c r="A45" s="8">
        <v>39</v>
      </c>
      <c r="B45" s="35" t="str">
        <f t="shared" si="15"/>
        <v>東京本部</v>
      </c>
      <c r="C45" s="35" t="str">
        <f t="shared" si="15"/>
        <v>ラヴィーレ一之江</v>
      </c>
      <c r="D45" s="9" t="s">
        <v>6</v>
      </c>
      <c r="E45" s="10">
        <v>3</v>
      </c>
      <c r="F45" s="12">
        <v>41</v>
      </c>
      <c r="G45" s="12">
        <v>13.7</v>
      </c>
      <c r="H45" s="10">
        <f t="shared" si="1"/>
        <v>41</v>
      </c>
      <c r="I45" s="44"/>
      <c r="J45" s="19" cm="1">
        <f t="array" ref="J45">IFERROR(IF(_xlfn.XLOOKUP(L45,NC導入施設!B:B,NC導入施設!E:E)=0,_xlfn.IFS(H45&lt;=5,0,H45&lt;=10,1,H45&lt;=15,2,H45&gt;=16,3),"Null"),"-")</f>
        <v>3</v>
      </c>
      <c r="K45" s="61"/>
      <c r="L45" s="1">
        <v>2311181100</v>
      </c>
    </row>
    <row r="46" spans="1:12" ht="18" customHeight="1" x14ac:dyDescent="0.45">
      <c r="A46" s="8">
        <v>40</v>
      </c>
      <c r="B46" s="36" t="str">
        <f t="shared" si="15"/>
        <v>東京本部</v>
      </c>
      <c r="C46" s="36" t="str">
        <f t="shared" si="15"/>
        <v>ラヴィーレ一之江</v>
      </c>
      <c r="D46" s="9" t="s">
        <v>2</v>
      </c>
      <c r="E46" s="10">
        <v>2</v>
      </c>
      <c r="F46" s="12">
        <v>1</v>
      </c>
      <c r="G46" s="12">
        <v>0.5</v>
      </c>
      <c r="H46" s="10">
        <f t="shared" si="1"/>
        <v>1</v>
      </c>
      <c r="I46" s="45"/>
      <c r="J46" s="19" cm="1">
        <f t="array" ref="J46">IFERROR(IF(_xlfn.XLOOKUP(L46,NC導入施設!B:B,NC導入施設!E:E)=0,_xlfn.IFS(H46&lt;=5,0,H46&lt;=10,1,H46&lt;=15,2,H46&gt;=16,3),"Null"),"-")</f>
        <v>0</v>
      </c>
      <c r="K46" s="62"/>
      <c r="L46" s="1">
        <v>2311181100</v>
      </c>
    </row>
    <row r="47" spans="1:12" ht="18" customHeight="1" x14ac:dyDescent="0.45">
      <c r="A47" s="13">
        <v>41</v>
      </c>
      <c r="B47" s="40" t="s">
        <v>8</v>
      </c>
      <c r="C47" s="40" t="s">
        <v>197</v>
      </c>
      <c r="D47" s="14" t="s">
        <v>3</v>
      </c>
      <c r="E47" s="15">
        <v>1</v>
      </c>
      <c r="F47" s="17">
        <v>0</v>
      </c>
      <c r="G47" s="17">
        <v>0</v>
      </c>
      <c r="H47" s="15">
        <f t="shared" si="1"/>
        <v>0</v>
      </c>
      <c r="I47" s="43" cm="1">
        <f t="array" ref="I47">IF(J47="-","-",_xlfn.IFS(K47&lt;=5,0,K47&lt;=10,1,K47&lt;=15,2,K47&gt;=16,3))</f>
        <v>3</v>
      </c>
      <c r="J47" s="19" cm="1">
        <f t="array" ref="J47">IFERROR(IF(_xlfn.XLOOKUP(L47,NC導入施設!B:B,NC導入施設!E:E)=0,_xlfn.IFS(H47&lt;=5,0,H47&lt;=10,1,H47&lt;=15,2,H47&gt;=16,3),"Null"),"-")</f>
        <v>0</v>
      </c>
      <c r="K47" s="60">
        <f t="shared" ref="K47" si="16">IFERROR(SUM(H47:H51),"-")</f>
        <v>21</v>
      </c>
      <c r="L47" s="1">
        <v>2311201100</v>
      </c>
    </row>
    <row r="48" spans="1:12" ht="18" customHeight="1" x14ac:dyDescent="0.45">
      <c r="A48" s="13">
        <v>42</v>
      </c>
      <c r="B48" s="41" t="str">
        <f t="shared" ref="B48:C51" si="17">B47</f>
        <v>東京本部</v>
      </c>
      <c r="C48" s="41" t="str">
        <f t="shared" si="17"/>
        <v>ラヴィーレ船堀</v>
      </c>
      <c r="D48" s="14" t="s">
        <v>4</v>
      </c>
      <c r="E48" s="15">
        <v>2</v>
      </c>
      <c r="F48" s="17">
        <v>3</v>
      </c>
      <c r="G48" s="17">
        <v>1.5</v>
      </c>
      <c r="H48" s="15">
        <f t="shared" si="1"/>
        <v>3</v>
      </c>
      <c r="I48" s="44"/>
      <c r="J48" s="19" cm="1">
        <f t="array" ref="J48">IFERROR(IF(_xlfn.XLOOKUP(L48,NC導入施設!B:B,NC導入施設!E:E)=0,_xlfn.IFS(H48&lt;=5,0,H48&lt;=10,1,H48&lt;=15,2,H48&gt;=16,3),"Null"),"-")</f>
        <v>0</v>
      </c>
      <c r="K48" s="61"/>
      <c r="L48" s="1">
        <v>2311201100</v>
      </c>
    </row>
    <row r="49" spans="1:12" ht="18" customHeight="1" x14ac:dyDescent="0.45">
      <c r="A49" s="13">
        <v>43</v>
      </c>
      <c r="B49" s="41" t="str">
        <f t="shared" si="17"/>
        <v>東京本部</v>
      </c>
      <c r="C49" s="41" t="str">
        <f t="shared" si="17"/>
        <v>ラヴィーレ船堀</v>
      </c>
      <c r="D49" s="14" t="s">
        <v>5</v>
      </c>
      <c r="E49" s="15">
        <v>3</v>
      </c>
      <c r="F49" s="17">
        <v>4</v>
      </c>
      <c r="G49" s="17">
        <v>1.3</v>
      </c>
      <c r="H49" s="15">
        <f t="shared" si="1"/>
        <v>4</v>
      </c>
      <c r="I49" s="44"/>
      <c r="J49" s="19" cm="1">
        <f t="array" ref="J49">IFERROR(IF(_xlfn.XLOOKUP(L49,NC導入施設!B:B,NC導入施設!E:E)=0,_xlfn.IFS(H49&lt;=5,0,H49&lt;=10,1,H49&lt;=15,2,H49&gt;=16,3),"Null"),"-")</f>
        <v>0</v>
      </c>
      <c r="K49" s="61"/>
      <c r="L49" s="1">
        <v>2311201100</v>
      </c>
    </row>
    <row r="50" spans="1:12" ht="18" customHeight="1" x14ac:dyDescent="0.45">
      <c r="A50" s="13">
        <v>44</v>
      </c>
      <c r="B50" s="41" t="str">
        <f t="shared" si="17"/>
        <v>東京本部</v>
      </c>
      <c r="C50" s="41" t="str">
        <f t="shared" si="17"/>
        <v>ラヴィーレ船堀</v>
      </c>
      <c r="D50" s="14" t="s">
        <v>6</v>
      </c>
      <c r="E50" s="15">
        <v>4</v>
      </c>
      <c r="F50" s="17">
        <v>0</v>
      </c>
      <c r="G50" s="17">
        <v>0</v>
      </c>
      <c r="H50" s="15">
        <f t="shared" si="1"/>
        <v>0</v>
      </c>
      <c r="I50" s="44"/>
      <c r="J50" s="19" cm="1">
        <f t="array" ref="J50">IFERROR(IF(_xlfn.XLOOKUP(L50,NC導入施設!B:B,NC導入施設!E:E)=0,_xlfn.IFS(H50&lt;=5,0,H50&lt;=10,1,H50&lt;=15,2,H50&gt;=16,3),"Null"),"-")</f>
        <v>0</v>
      </c>
      <c r="K50" s="61"/>
      <c r="L50" s="1">
        <v>2311201100</v>
      </c>
    </row>
    <row r="51" spans="1:12" ht="18" customHeight="1" x14ac:dyDescent="0.45">
      <c r="A51" s="13">
        <v>45</v>
      </c>
      <c r="B51" s="42" t="str">
        <f t="shared" si="17"/>
        <v>東京本部</v>
      </c>
      <c r="C51" s="42" t="str">
        <f t="shared" si="17"/>
        <v>ラヴィーレ船堀</v>
      </c>
      <c r="D51" s="14" t="s">
        <v>2</v>
      </c>
      <c r="E51" s="15">
        <v>2</v>
      </c>
      <c r="F51" s="17">
        <v>14</v>
      </c>
      <c r="G51" s="17">
        <v>7</v>
      </c>
      <c r="H51" s="15">
        <f t="shared" si="1"/>
        <v>14</v>
      </c>
      <c r="I51" s="45"/>
      <c r="J51" s="19" cm="1">
        <f t="array" ref="J51">IFERROR(IF(_xlfn.XLOOKUP(L51,NC導入施設!B:B,NC導入施設!E:E)=0,_xlfn.IFS(H51&lt;=5,0,H51&lt;=10,1,H51&lt;=15,2,H51&gt;=16,3),"Null"),"-")</f>
        <v>2</v>
      </c>
      <c r="K51" s="62"/>
      <c r="L51" s="1">
        <v>2311201100</v>
      </c>
    </row>
    <row r="52" spans="1:12" ht="18" customHeight="1" x14ac:dyDescent="0.45">
      <c r="A52" s="8">
        <v>46</v>
      </c>
      <c r="B52" s="34" t="s">
        <v>8</v>
      </c>
      <c r="C52" s="34" t="s">
        <v>10</v>
      </c>
      <c r="D52" s="9" t="s">
        <v>3</v>
      </c>
      <c r="E52" s="10">
        <v>1</v>
      </c>
      <c r="F52" s="12">
        <v>7</v>
      </c>
      <c r="G52" s="12">
        <v>7</v>
      </c>
      <c r="H52" s="10">
        <f t="shared" si="1"/>
        <v>7</v>
      </c>
      <c r="I52" s="37" cm="1">
        <f t="array" ref="I52">IF(J52="-","-",_xlfn.IFS(K52&lt;=5,0,K52&lt;=10,1,K52&lt;=15,2,K52&gt;=16,3))</f>
        <v>3</v>
      </c>
      <c r="J52" s="19" cm="1">
        <f t="array" ref="J52">IFERROR(IF(_xlfn.XLOOKUP(L52,NC導入施設!B:B,NC導入施設!E:E)=0,_xlfn.IFS(H52&lt;=5,0,H52&lt;=10,1,H52&lt;=15,2,H52&gt;=16,3),"Null"),"-")</f>
        <v>1</v>
      </c>
      <c r="K52" s="60">
        <f t="shared" ref="K52" si="18">IFERROR(SUM(H52:H56),"-")</f>
        <v>21</v>
      </c>
      <c r="L52" s="1">
        <v>2311221100</v>
      </c>
    </row>
    <row r="53" spans="1:12" ht="18" customHeight="1" x14ac:dyDescent="0.45">
      <c r="A53" s="8">
        <v>47</v>
      </c>
      <c r="B53" s="35" t="str">
        <f t="shared" ref="B53:C56" si="19">B52</f>
        <v>東京本部</v>
      </c>
      <c r="C53" s="35" t="str">
        <f t="shared" si="19"/>
        <v>そんぽの家　葛西</v>
      </c>
      <c r="D53" s="9" t="s">
        <v>4</v>
      </c>
      <c r="E53" s="10">
        <v>1</v>
      </c>
      <c r="F53" s="12">
        <v>1</v>
      </c>
      <c r="G53" s="12">
        <v>1</v>
      </c>
      <c r="H53" s="10">
        <f t="shared" si="1"/>
        <v>1</v>
      </c>
      <c r="I53" s="38"/>
      <c r="J53" s="19" cm="1">
        <f t="array" ref="J53">IFERROR(IF(_xlfn.XLOOKUP(L53,NC導入施設!B:B,NC導入施設!E:E)=0,_xlfn.IFS(H53&lt;=5,0,H53&lt;=10,1,H53&lt;=15,2,H53&gt;=16,3),"Null"),"-")</f>
        <v>0</v>
      </c>
      <c r="K53" s="61"/>
      <c r="L53" s="1">
        <v>2311221100</v>
      </c>
    </row>
    <row r="54" spans="1:12" ht="18" customHeight="1" x14ac:dyDescent="0.45">
      <c r="A54" s="8">
        <v>48</v>
      </c>
      <c r="B54" s="35" t="str">
        <f t="shared" si="19"/>
        <v>東京本部</v>
      </c>
      <c r="C54" s="35" t="str">
        <f t="shared" si="19"/>
        <v>そんぽの家　葛西</v>
      </c>
      <c r="D54" s="9" t="s">
        <v>5</v>
      </c>
      <c r="E54" s="10">
        <v>1</v>
      </c>
      <c r="F54" s="12">
        <v>13</v>
      </c>
      <c r="G54" s="12">
        <v>13</v>
      </c>
      <c r="H54" s="10">
        <f t="shared" si="1"/>
        <v>13</v>
      </c>
      <c r="I54" s="38"/>
      <c r="J54" s="19" cm="1">
        <f t="array" ref="J54">IFERROR(IF(_xlfn.XLOOKUP(L54,NC導入施設!B:B,NC導入施設!E:E)=0,_xlfn.IFS(H54&lt;=5,0,H54&lt;=10,1,H54&lt;=15,2,H54&gt;=16,3),"Null"),"-")</f>
        <v>2</v>
      </c>
      <c r="K54" s="61"/>
      <c r="L54" s="1">
        <v>2311221100</v>
      </c>
    </row>
    <row r="55" spans="1:12" ht="18" customHeight="1" x14ac:dyDescent="0.45">
      <c r="A55" s="8">
        <v>49</v>
      </c>
      <c r="B55" s="35" t="str">
        <f t="shared" si="19"/>
        <v>東京本部</v>
      </c>
      <c r="C55" s="35" t="str">
        <f t="shared" si="19"/>
        <v>そんぽの家　葛西</v>
      </c>
      <c r="D55" s="9" t="s">
        <v>6</v>
      </c>
      <c r="E55" s="10">
        <v>3</v>
      </c>
      <c r="F55" s="12">
        <v>0</v>
      </c>
      <c r="G55" s="12">
        <v>0</v>
      </c>
      <c r="H55" s="10">
        <f t="shared" si="1"/>
        <v>0</v>
      </c>
      <c r="I55" s="38"/>
      <c r="J55" s="19" cm="1">
        <f t="array" ref="J55">IFERROR(IF(_xlfn.XLOOKUP(L55,NC導入施設!B:B,NC導入施設!E:E)=0,_xlfn.IFS(H55&lt;=5,0,H55&lt;=10,1,H55&lt;=15,2,H55&gt;=16,3),"Null"),"-")</f>
        <v>0</v>
      </c>
      <c r="K55" s="61"/>
      <c r="L55" s="1">
        <v>2311221100</v>
      </c>
    </row>
    <row r="56" spans="1:12" ht="18" customHeight="1" x14ac:dyDescent="0.45">
      <c r="A56" s="8">
        <v>50</v>
      </c>
      <c r="B56" s="36" t="str">
        <f t="shared" si="19"/>
        <v>東京本部</v>
      </c>
      <c r="C56" s="36" t="str">
        <f t="shared" si="19"/>
        <v>そんぽの家　葛西</v>
      </c>
      <c r="D56" s="9" t="s">
        <v>2</v>
      </c>
      <c r="E56" s="10">
        <v>1</v>
      </c>
      <c r="F56" s="12">
        <v>0</v>
      </c>
      <c r="G56" s="12">
        <v>0</v>
      </c>
      <c r="H56" s="10">
        <f t="shared" si="1"/>
        <v>0</v>
      </c>
      <c r="I56" s="39"/>
      <c r="J56" s="19" cm="1">
        <f t="array" ref="J56">IFERROR(IF(_xlfn.XLOOKUP(L56,NC導入施設!B:B,NC導入施設!E:E)=0,_xlfn.IFS(H56&lt;=5,0,H56&lt;=10,1,H56&lt;=15,2,H56&gt;=16,3),"Null"),"-")</f>
        <v>0</v>
      </c>
      <c r="K56" s="62"/>
      <c r="L56" s="1">
        <v>2311221100</v>
      </c>
    </row>
    <row r="57" spans="1:12" ht="18" customHeight="1" x14ac:dyDescent="0.45">
      <c r="A57" s="13">
        <v>51</v>
      </c>
      <c r="B57" s="40" t="s">
        <v>8</v>
      </c>
      <c r="C57" s="40" t="s">
        <v>11</v>
      </c>
      <c r="D57" s="14" t="s">
        <v>3</v>
      </c>
      <c r="E57" s="15">
        <v>1</v>
      </c>
      <c r="F57" s="17">
        <v>0</v>
      </c>
      <c r="G57" s="17">
        <v>0</v>
      </c>
      <c r="H57" s="15">
        <f t="shared" si="1"/>
        <v>0</v>
      </c>
      <c r="I57" s="43" cm="1">
        <f t="array" ref="I57">IF(J57="-","-",_xlfn.IFS(K57&lt;=5,0,K57&lt;=10,1,K57&lt;=15,2,K57&gt;=16,3))</f>
        <v>0</v>
      </c>
      <c r="J57" s="19" cm="1">
        <f t="array" ref="J57">IFERROR(IF(_xlfn.XLOOKUP(L57,NC導入施設!B:B,NC導入施設!E:E)=0,_xlfn.IFS(H57&lt;=5,0,H57&lt;=10,1,H57&lt;=15,2,H57&gt;=16,3),"Null"),"-")</f>
        <v>0</v>
      </c>
      <c r="K57" s="60">
        <f t="shared" ref="K57" si="20">IFERROR(SUM(H57:H61),"-")</f>
        <v>2</v>
      </c>
      <c r="L57" s="1">
        <v>2311231100</v>
      </c>
    </row>
    <row r="58" spans="1:12" ht="18" customHeight="1" x14ac:dyDescent="0.45">
      <c r="A58" s="13">
        <v>52</v>
      </c>
      <c r="B58" s="41" t="str">
        <f t="shared" ref="B58:C61" si="21">B57</f>
        <v>東京本部</v>
      </c>
      <c r="C58" s="41" t="str">
        <f t="shared" si="21"/>
        <v>そんぽの家　錦糸町</v>
      </c>
      <c r="D58" s="14" t="s">
        <v>4</v>
      </c>
      <c r="E58" s="15">
        <v>1</v>
      </c>
      <c r="F58" s="17">
        <v>0</v>
      </c>
      <c r="G58" s="17">
        <v>0</v>
      </c>
      <c r="H58" s="15">
        <f t="shared" si="1"/>
        <v>0</v>
      </c>
      <c r="I58" s="44"/>
      <c r="J58" s="19" cm="1">
        <f t="array" ref="J58">IFERROR(IF(_xlfn.XLOOKUP(L58,NC導入施設!B:B,NC導入施設!E:E)=0,_xlfn.IFS(H58&lt;=5,0,H58&lt;=10,1,H58&lt;=15,2,H58&gt;=16,3),"Null"),"-")</f>
        <v>0</v>
      </c>
      <c r="K58" s="61"/>
      <c r="L58" s="1">
        <v>2311231100</v>
      </c>
    </row>
    <row r="59" spans="1:12" ht="18" customHeight="1" x14ac:dyDescent="0.45">
      <c r="A59" s="13">
        <v>53</v>
      </c>
      <c r="B59" s="41" t="str">
        <f t="shared" si="21"/>
        <v>東京本部</v>
      </c>
      <c r="C59" s="41" t="str">
        <f t="shared" si="21"/>
        <v>そんぽの家　錦糸町</v>
      </c>
      <c r="D59" s="14" t="s">
        <v>5</v>
      </c>
      <c r="E59" s="15">
        <v>2</v>
      </c>
      <c r="F59" s="17">
        <v>0</v>
      </c>
      <c r="G59" s="17">
        <v>0</v>
      </c>
      <c r="H59" s="15">
        <f t="shared" si="1"/>
        <v>0</v>
      </c>
      <c r="I59" s="44"/>
      <c r="J59" s="19" cm="1">
        <f t="array" ref="J59">IFERROR(IF(_xlfn.XLOOKUP(L59,NC導入施設!B:B,NC導入施設!E:E)=0,_xlfn.IFS(H59&lt;=5,0,H59&lt;=10,1,H59&lt;=15,2,H59&gt;=16,3),"Null"),"-")</f>
        <v>0</v>
      </c>
      <c r="K59" s="61"/>
      <c r="L59" s="1">
        <v>2311231100</v>
      </c>
    </row>
    <row r="60" spans="1:12" ht="18" customHeight="1" x14ac:dyDescent="0.45">
      <c r="A60" s="13">
        <v>54</v>
      </c>
      <c r="B60" s="41" t="str">
        <f t="shared" si="21"/>
        <v>東京本部</v>
      </c>
      <c r="C60" s="41" t="str">
        <f t="shared" si="21"/>
        <v>そんぽの家　錦糸町</v>
      </c>
      <c r="D60" s="14" t="s">
        <v>6</v>
      </c>
      <c r="E60" s="15">
        <v>3</v>
      </c>
      <c r="F60" s="17">
        <v>0</v>
      </c>
      <c r="G60" s="17">
        <v>0</v>
      </c>
      <c r="H60" s="15">
        <f t="shared" si="1"/>
        <v>0</v>
      </c>
      <c r="I60" s="44"/>
      <c r="J60" s="19" cm="1">
        <f t="array" ref="J60">IFERROR(IF(_xlfn.XLOOKUP(L60,NC導入施設!B:B,NC導入施設!E:E)=0,_xlfn.IFS(H60&lt;=5,0,H60&lt;=10,1,H60&lt;=15,2,H60&gt;=16,3),"Null"),"-")</f>
        <v>0</v>
      </c>
      <c r="K60" s="61"/>
      <c r="L60" s="1">
        <v>2311231100</v>
      </c>
    </row>
    <row r="61" spans="1:12" ht="18" customHeight="1" x14ac:dyDescent="0.45">
      <c r="A61" s="13">
        <v>55</v>
      </c>
      <c r="B61" s="42" t="str">
        <f t="shared" si="21"/>
        <v>東京本部</v>
      </c>
      <c r="C61" s="42" t="str">
        <f t="shared" si="21"/>
        <v>そんぽの家　錦糸町</v>
      </c>
      <c r="D61" s="14" t="s">
        <v>2</v>
      </c>
      <c r="E61" s="15">
        <v>2</v>
      </c>
      <c r="F61" s="17">
        <v>2</v>
      </c>
      <c r="G61" s="17">
        <v>1</v>
      </c>
      <c r="H61" s="15">
        <f t="shared" si="1"/>
        <v>2</v>
      </c>
      <c r="I61" s="45"/>
      <c r="J61" s="19" cm="1">
        <f t="array" ref="J61">IFERROR(IF(_xlfn.XLOOKUP(L61,NC導入施設!B:B,NC導入施設!E:E)=0,_xlfn.IFS(H61&lt;=5,0,H61&lt;=10,1,H61&lt;=15,2,H61&gt;=16,3),"Null"),"-")</f>
        <v>0</v>
      </c>
      <c r="K61" s="62"/>
      <c r="L61" s="1">
        <v>2311231100</v>
      </c>
    </row>
    <row r="62" spans="1:12" ht="18" customHeight="1" x14ac:dyDescent="0.45">
      <c r="A62" s="8">
        <v>56</v>
      </c>
      <c r="B62" s="34" t="s">
        <v>8</v>
      </c>
      <c r="C62" s="34" t="s">
        <v>12</v>
      </c>
      <c r="D62" s="9" t="s">
        <v>3</v>
      </c>
      <c r="E62" s="10">
        <v>1</v>
      </c>
      <c r="F62" s="12">
        <v>0</v>
      </c>
      <c r="G62" s="12">
        <v>0</v>
      </c>
      <c r="H62" s="10">
        <f t="shared" si="1"/>
        <v>0</v>
      </c>
      <c r="I62" s="37" cm="1">
        <f t="array" ref="I62">IF(J62="-","-",_xlfn.IFS(K62&lt;=5,0,K62&lt;=10,1,K62&lt;=15,2,K62&gt;=16,3))</f>
        <v>0</v>
      </c>
      <c r="J62" s="19" cm="1">
        <f t="array" ref="J62">IFERROR(IF(_xlfn.XLOOKUP(L62,NC導入施設!B:B,NC導入施設!E:E)=0,_xlfn.IFS(H62&lt;=5,0,H62&lt;=10,1,H62&lt;=15,2,H62&gt;=16,3),"Null"),"-")</f>
        <v>0</v>
      </c>
      <c r="K62" s="60">
        <f t="shared" ref="K62" si="22">IFERROR(SUM(H62:H66),"-")</f>
        <v>5</v>
      </c>
      <c r="L62" s="1">
        <v>2311281100</v>
      </c>
    </row>
    <row r="63" spans="1:12" ht="18" customHeight="1" x14ac:dyDescent="0.45">
      <c r="A63" s="8">
        <v>57</v>
      </c>
      <c r="B63" s="35" t="str">
        <f t="shared" ref="B63:C66" si="23">B62</f>
        <v>東京本部</v>
      </c>
      <c r="C63" s="35" t="str">
        <f t="shared" si="23"/>
        <v>そんぽの家　東砂</v>
      </c>
      <c r="D63" s="9" t="s">
        <v>4</v>
      </c>
      <c r="E63" s="10">
        <v>1</v>
      </c>
      <c r="F63" s="12">
        <v>1</v>
      </c>
      <c r="G63" s="12">
        <v>1</v>
      </c>
      <c r="H63" s="10">
        <f t="shared" si="1"/>
        <v>1</v>
      </c>
      <c r="I63" s="38"/>
      <c r="J63" s="19" cm="1">
        <f t="array" ref="J63">IFERROR(IF(_xlfn.XLOOKUP(L63,NC導入施設!B:B,NC導入施設!E:E)=0,_xlfn.IFS(H63&lt;=5,0,H63&lt;=10,1,H63&lt;=15,2,H63&gt;=16,3),"Null"),"-")</f>
        <v>0</v>
      </c>
      <c r="K63" s="61"/>
      <c r="L63" s="1">
        <v>2311281100</v>
      </c>
    </row>
    <row r="64" spans="1:12" ht="18" customHeight="1" x14ac:dyDescent="0.45">
      <c r="A64" s="8">
        <v>58</v>
      </c>
      <c r="B64" s="35" t="str">
        <f t="shared" si="23"/>
        <v>東京本部</v>
      </c>
      <c r="C64" s="35" t="str">
        <f t="shared" si="23"/>
        <v>そんぽの家　東砂</v>
      </c>
      <c r="D64" s="9" t="s">
        <v>5</v>
      </c>
      <c r="E64" s="10">
        <v>1</v>
      </c>
      <c r="F64" s="12">
        <v>0</v>
      </c>
      <c r="G64" s="12">
        <v>0</v>
      </c>
      <c r="H64" s="10">
        <f t="shared" si="1"/>
        <v>0</v>
      </c>
      <c r="I64" s="38"/>
      <c r="J64" s="19" cm="1">
        <f t="array" ref="J64">IFERROR(IF(_xlfn.XLOOKUP(L64,NC導入施設!B:B,NC導入施設!E:E)=0,_xlfn.IFS(H64&lt;=5,0,H64&lt;=10,1,H64&lt;=15,2,H64&gt;=16,3),"Null"),"-")</f>
        <v>0</v>
      </c>
      <c r="K64" s="61"/>
      <c r="L64" s="1">
        <v>2311281100</v>
      </c>
    </row>
    <row r="65" spans="1:12" ht="18" customHeight="1" x14ac:dyDescent="0.45">
      <c r="A65" s="8">
        <v>59</v>
      </c>
      <c r="B65" s="35" t="str">
        <f t="shared" si="23"/>
        <v>東京本部</v>
      </c>
      <c r="C65" s="35" t="str">
        <f t="shared" si="23"/>
        <v>そんぽの家　東砂</v>
      </c>
      <c r="D65" s="9" t="s">
        <v>6</v>
      </c>
      <c r="E65" s="10">
        <v>3</v>
      </c>
      <c r="F65" s="12">
        <v>3</v>
      </c>
      <c r="G65" s="12">
        <v>1</v>
      </c>
      <c r="H65" s="10">
        <f t="shared" si="1"/>
        <v>3</v>
      </c>
      <c r="I65" s="38"/>
      <c r="J65" s="19" cm="1">
        <f t="array" ref="J65">IFERROR(IF(_xlfn.XLOOKUP(L65,NC導入施設!B:B,NC導入施設!E:E)=0,_xlfn.IFS(H65&lt;=5,0,H65&lt;=10,1,H65&lt;=15,2,H65&gt;=16,3),"Null"),"-")</f>
        <v>0</v>
      </c>
      <c r="K65" s="61"/>
      <c r="L65" s="1">
        <v>2311281100</v>
      </c>
    </row>
    <row r="66" spans="1:12" ht="18" customHeight="1" x14ac:dyDescent="0.45">
      <c r="A66" s="8">
        <v>60</v>
      </c>
      <c r="B66" s="36" t="str">
        <f t="shared" si="23"/>
        <v>東京本部</v>
      </c>
      <c r="C66" s="36" t="str">
        <f t="shared" si="23"/>
        <v>そんぽの家　東砂</v>
      </c>
      <c r="D66" s="9" t="s">
        <v>2</v>
      </c>
      <c r="E66" s="10">
        <v>1</v>
      </c>
      <c r="F66" s="12">
        <v>1</v>
      </c>
      <c r="G66" s="12">
        <v>1</v>
      </c>
      <c r="H66" s="10">
        <f t="shared" si="1"/>
        <v>1</v>
      </c>
      <c r="I66" s="39"/>
      <c r="J66" s="19" cm="1">
        <f t="array" ref="J66">IFERROR(IF(_xlfn.XLOOKUP(L66,NC導入施設!B:B,NC導入施設!E:E)=0,_xlfn.IFS(H66&lt;=5,0,H66&lt;=10,1,H66&lt;=15,2,H66&gt;=16,3),"Null"),"-")</f>
        <v>0</v>
      </c>
      <c r="K66" s="62"/>
      <c r="L66" s="1">
        <v>2311281100</v>
      </c>
    </row>
    <row r="67" spans="1:12" ht="18" customHeight="1" x14ac:dyDescent="0.45">
      <c r="A67" s="13">
        <v>61</v>
      </c>
      <c r="B67" s="40" t="s">
        <v>8</v>
      </c>
      <c r="C67" s="40" t="s">
        <v>13</v>
      </c>
      <c r="D67" s="14" t="s">
        <v>3</v>
      </c>
      <c r="E67" s="15">
        <v>1</v>
      </c>
      <c r="F67" s="17">
        <v>7</v>
      </c>
      <c r="G67" s="17">
        <v>7</v>
      </c>
      <c r="H67" s="15">
        <f t="shared" si="1"/>
        <v>7</v>
      </c>
      <c r="I67" s="43" cm="1">
        <f t="array" ref="I67">IF(J67="-","-",_xlfn.IFS(K67&lt;=5,0,K67&lt;=10,1,K67&lt;=15,2,K67&gt;=16,3))</f>
        <v>2</v>
      </c>
      <c r="J67" s="19" cm="1">
        <f t="array" ref="J67">IFERROR(IF(_xlfn.XLOOKUP(L67,NC導入施設!B:B,NC導入施設!E:E)=0,_xlfn.IFS(H67&lt;=5,0,H67&lt;=10,1,H67&lt;=15,2,H67&gt;=16,3),"Null"),"-")</f>
        <v>1</v>
      </c>
      <c r="K67" s="60">
        <f t="shared" ref="K67" si="24">IFERROR(SUM(H67:H71),"-")</f>
        <v>12</v>
      </c>
      <c r="L67" s="1">
        <v>2311361100</v>
      </c>
    </row>
    <row r="68" spans="1:12" ht="18" customHeight="1" x14ac:dyDescent="0.45">
      <c r="A68" s="13">
        <v>62</v>
      </c>
      <c r="B68" s="41" t="str">
        <f t="shared" ref="B68:C71" si="25">B67</f>
        <v>東京本部</v>
      </c>
      <c r="C68" s="41" t="str">
        <f t="shared" si="25"/>
        <v>そんぽの家　竹ノ塚サンフラワー</v>
      </c>
      <c r="D68" s="14" t="s">
        <v>4</v>
      </c>
      <c r="E68" s="15">
        <v>1</v>
      </c>
      <c r="F68" s="17">
        <v>2</v>
      </c>
      <c r="G68" s="17">
        <v>2</v>
      </c>
      <c r="H68" s="15">
        <f t="shared" si="1"/>
        <v>2</v>
      </c>
      <c r="I68" s="44"/>
      <c r="J68" s="19" cm="1">
        <f t="array" ref="J68">IFERROR(IF(_xlfn.XLOOKUP(L68,NC導入施設!B:B,NC導入施設!E:E)=0,_xlfn.IFS(H68&lt;=5,0,H68&lt;=10,1,H68&lt;=15,2,H68&gt;=16,3),"Null"),"-")</f>
        <v>0</v>
      </c>
      <c r="K68" s="61"/>
      <c r="L68" s="1">
        <v>2311361100</v>
      </c>
    </row>
    <row r="69" spans="1:12" ht="18" customHeight="1" x14ac:dyDescent="0.45">
      <c r="A69" s="13">
        <v>63</v>
      </c>
      <c r="B69" s="41" t="str">
        <f t="shared" si="25"/>
        <v>東京本部</v>
      </c>
      <c r="C69" s="41" t="str">
        <f t="shared" si="25"/>
        <v>そんぽの家　竹ノ塚サンフラワー</v>
      </c>
      <c r="D69" s="14" t="s">
        <v>5</v>
      </c>
      <c r="E69" s="15">
        <v>2</v>
      </c>
      <c r="F69" s="17">
        <v>1</v>
      </c>
      <c r="G69" s="17">
        <v>0.5</v>
      </c>
      <c r="H69" s="15">
        <f t="shared" si="1"/>
        <v>1</v>
      </c>
      <c r="I69" s="44"/>
      <c r="J69" s="19" cm="1">
        <f t="array" ref="J69">IFERROR(IF(_xlfn.XLOOKUP(L69,NC導入施設!B:B,NC導入施設!E:E)=0,_xlfn.IFS(H69&lt;=5,0,H69&lt;=10,1,H69&lt;=15,2,H69&gt;=16,3),"Null"),"-")</f>
        <v>0</v>
      </c>
      <c r="K69" s="61"/>
      <c r="L69" s="1">
        <v>2311361100</v>
      </c>
    </row>
    <row r="70" spans="1:12" ht="18" customHeight="1" x14ac:dyDescent="0.45">
      <c r="A70" s="13">
        <v>64</v>
      </c>
      <c r="B70" s="41" t="str">
        <f t="shared" si="25"/>
        <v>東京本部</v>
      </c>
      <c r="C70" s="41" t="str">
        <f t="shared" si="25"/>
        <v>そんぽの家　竹ノ塚サンフラワー</v>
      </c>
      <c r="D70" s="14" t="s">
        <v>6</v>
      </c>
      <c r="E70" s="15">
        <v>2</v>
      </c>
      <c r="F70" s="17">
        <v>0</v>
      </c>
      <c r="G70" s="17">
        <v>0</v>
      </c>
      <c r="H70" s="15">
        <f t="shared" si="1"/>
        <v>0</v>
      </c>
      <c r="I70" s="44"/>
      <c r="J70" s="19" cm="1">
        <f t="array" ref="J70">IFERROR(IF(_xlfn.XLOOKUP(L70,NC導入施設!B:B,NC導入施設!E:E)=0,_xlfn.IFS(H70&lt;=5,0,H70&lt;=10,1,H70&lt;=15,2,H70&gt;=16,3),"Null"),"-")</f>
        <v>0</v>
      </c>
      <c r="K70" s="61"/>
      <c r="L70" s="1">
        <v>2311361100</v>
      </c>
    </row>
    <row r="71" spans="1:12" ht="18" customHeight="1" x14ac:dyDescent="0.45">
      <c r="A71" s="13">
        <v>65</v>
      </c>
      <c r="B71" s="42" t="str">
        <f t="shared" si="25"/>
        <v>東京本部</v>
      </c>
      <c r="C71" s="42" t="str">
        <f t="shared" si="25"/>
        <v>そんぽの家　竹ノ塚サンフラワー</v>
      </c>
      <c r="D71" s="14" t="s">
        <v>2</v>
      </c>
      <c r="E71" s="15">
        <v>1</v>
      </c>
      <c r="F71" s="17">
        <v>2</v>
      </c>
      <c r="G71" s="17">
        <v>2</v>
      </c>
      <c r="H71" s="15">
        <f t="shared" si="1"/>
        <v>2</v>
      </c>
      <c r="I71" s="45"/>
      <c r="J71" s="19" cm="1">
        <f t="array" ref="J71">IFERROR(IF(_xlfn.XLOOKUP(L71,NC導入施設!B:B,NC導入施設!E:E)=0,_xlfn.IFS(H71&lt;=5,0,H71&lt;=10,1,H71&lt;=15,2,H71&gt;=16,3),"Null"),"-")</f>
        <v>0</v>
      </c>
      <c r="K71" s="62"/>
      <c r="L71" s="1">
        <v>2311361100</v>
      </c>
    </row>
    <row r="72" spans="1:12" ht="18" customHeight="1" x14ac:dyDescent="0.45">
      <c r="A72" s="8">
        <v>66</v>
      </c>
      <c r="B72" s="34" t="s">
        <v>8</v>
      </c>
      <c r="C72" s="34" t="s">
        <v>198</v>
      </c>
      <c r="D72" s="9" t="s">
        <v>3</v>
      </c>
      <c r="E72" s="10">
        <v>1</v>
      </c>
      <c r="F72" s="12">
        <v>5</v>
      </c>
      <c r="G72" s="12">
        <v>5</v>
      </c>
      <c r="H72" s="10">
        <f t="shared" ref="H72:H135" si="26">F72</f>
        <v>5</v>
      </c>
      <c r="I72" s="37" cm="1">
        <f t="array" ref="I72">IF(J72="-","-",_xlfn.IFS(K72&lt;=5,0,K72&lt;=10,1,K72&lt;=15,2,K72&gt;=16,3))</f>
        <v>3</v>
      </c>
      <c r="J72" s="19" cm="1">
        <f t="array" ref="J72">IFERROR(IF(_xlfn.XLOOKUP(L72,NC導入施設!B:B,NC導入施設!E:E)=0,_xlfn.IFS(H72&lt;=5,0,H72&lt;=10,1,H72&lt;=15,2,H72&gt;=16,3),"Null"),"-")</f>
        <v>0</v>
      </c>
      <c r="K72" s="60">
        <f t="shared" ref="K72" si="27">IFERROR(SUM(H72:H76),"-")</f>
        <v>45</v>
      </c>
      <c r="L72" s="1">
        <v>2311431100</v>
      </c>
    </row>
    <row r="73" spans="1:12" ht="18" customHeight="1" x14ac:dyDescent="0.45">
      <c r="A73" s="8">
        <v>67</v>
      </c>
      <c r="B73" s="35" t="str">
        <f t="shared" ref="B73:C76" si="28">B72</f>
        <v>東京本部</v>
      </c>
      <c r="C73" s="35" t="str">
        <f t="shared" si="28"/>
        <v>ラヴィーレ錦糸町</v>
      </c>
      <c r="D73" s="9" t="s">
        <v>4</v>
      </c>
      <c r="E73" s="10">
        <v>1</v>
      </c>
      <c r="F73" s="12">
        <v>9</v>
      </c>
      <c r="G73" s="12">
        <v>9</v>
      </c>
      <c r="H73" s="10">
        <f t="shared" si="26"/>
        <v>9</v>
      </c>
      <c r="I73" s="38"/>
      <c r="J73" s="19" cm="1">
        <f t="array" ref="J73">IFERROR(IF(_xlfn.XLOOKUP(L73,NC導入施設!B:B,NC導入施設!E:E)=0,_xlfn.IFS(H73&lt;=5,0,H73&lt;=10,1,H73&lt;=15,2,H73&gt;=16,3),"Null"),"-")</f>
        <v>1</v>
      </c>
      <c r="K73" s="61"/>
      <c r="L73" s="1">
        <v>2311431100</v>
      </c>
    </row>
    <row r="74" spans="1:12" ht="18" customHeight="1" x14ac:dyDescent="0.45">
      <c r="A74" s="8">
        <v>68</v>
      </c>
      <c r="B74" s="35" t="str">
        <f t="shared" si="28"/>
        <v>東京本部</v>
      </c>
      <c r="C74" s="35" t="str">
        <f t="shared" si="28"/>
        <v>ラヴィーレ錦糸町</v>
      </c>
      <c r="D74" s="9" t="s">
        <v>5</v>
      </c>
      <c r="E74" s="10">
        <v>2</v>
      </c>
      <c r="F74" s="12">
        <v>23</v>
      </c>
      <c r="G74" s="12">
        <v>11.5</v>
      </c>
      <c r="H74" s="10">
        <f t="shared" si="26"/>
        <v>23</v>
      </c>
      <c r="I74" s="38"/>
      <c r="J74" s="19" cm="1">
        <f t="array" ref="J74">IFERROR(IF(_xlfn.XLOOKUP(L74,NC導入施設!B:B,NC導入施設!E:E)=0,_xlfn.IFS(H74&lt;=5,0,H74&lt;=10,1,H74&lt;=15,2,H74&gt;=16,3),"Null"),"-")</f>
        <v>3</v>
      </c>
      <c r="K74" s="61"/>
      <c r="L74" s="1">
        <v>2311431100</v>
      </c>
    </row>
    <row r="75" spans="1:12" ht="18" customHeight="1" x14ac:dyDescent="0.45">
      <c r="A75" s="8">
        <v>69</v>
      </c>
      <c r="B75" s="35" t="str">
        <f t="shared" si="28"/>
        <v>東京本部</v>
      </c>
      <c r="C75" s="35" t="str">
        <f t="shared" si="28"/>
        <v>ラヴィーレ錦糸町</v>
      </c>
      <c r="D75" s="9" t="s">
        <v>6</v>
      </c>
      <c r="E75" s="10">
        <v>11</v>
      </c>
      <c r="F75" s="12">
        <v>0</v>
      </c>
      <c r="G75" s="12">
        <v>0</v>
      </c>
      <c r="H75" s="10">
        <f t="shared" si="26"/>
        <v>0</v>
      </c>
      <c r="I75" s="38"/>
      <c r="J75" s="19" cm="1">
        <f t="array" ref="J75">IFERROR(IF(_xlfn.XLOOKUP(L75,NC導入施設!B:B,NC導入施設!E:E)=0,_xlfn.IFS(H75&lt;=5,0,H75&lt;=10,1,H75&lt;=15,2,H75&gt;=16,3),"Null"),"-")</f>
        <v>0</v>
      </c>
      <c r="K75" s="61"/>
      <c r="L75" s="1">
        <v>2311431100</v>
      </c>
    </row>
    <row r="76" spans="1:12" ht="18" customHeight="1" x14ac:dyDescent="0.45">
      <c r="A76" s="8">
        <v>70</v>
      </c>
      <c r="B76" s="36" t="str">
        <f t="shared" si="28"/>
        <v>東京本部</v>
      </c>
      <c r="C76" s="36" t="str">
        <f t="shared" si="28"/>
        <v>ラヴィーレ錦糸町</v>
      </c>
      <c r="D76" s="9" t="s">
        <v>2</v>
      </c>
      <c r="E76" s="10">
        <v>1</v>
      </c>
      <c r="F76" s="12">
        <v>8</v>
      </c>
      <c r="G76" s="12">
        <v>8</v>
      </c>
      <c r="H76" s="10">
        <f t="shared" si="26"/>
        <v>8</v>
      </c>
      <c r="I76" s="39"/>
      <c r="J76" s="19" cm="1">
        <f t="array" ref="J76">IFERROR(IF(_xlfn.XLOOKUP(L76,NC導入施設!B:B,NC導入施設!E:E)=0,_xlfn.IFS(H76&lt;=5,0,H76&lt;=10,1,H76&lt;=15,2,H76&gt;=16,3),"Null"),"-")</f>
        <v>1</v>
      </c>
      <c r="K76" s="62"/>
      <c r="L76" s="1">
        <v>2311431100</v>
      </c>
    </row>
    <row r="77" spans="1:12" ht="18" customHeight="1" x14ac:dyDescent="0.45">
      <c r="A77" s="13">
        <v>71</v>
      </c>
      <c r="B77" s="40" t="s">
        <v>8</v>
      </c>
      <c r="C77" s="40" t="s">
        <v>14</v>
      </c>
      <c r="D77" s="14" t="s">
        <v>3</v>
      </c>
      <c r="E77" s="15">
        <v>1</v>
      </c>
      <c r="F77" s="17">
        <v>1</v>
      </c>
      <c r="G77" s="17">
        <v>1</v>
      </c>
      <c r="H77" s="15">
        <f t="shared" si="26"/>
        <v>1</v>
      </c>
      <c r="I77" s="43" cm="1">
        <f t="array" ref="I77">IF(J77="-","-",_xlfn.IFS(K77&lt;=5,0,K77&lt;=10,1,K77&lt;=15,2,K77&gt;=16,3))</f>
        <v>3</v>
      </c>
      <c r="J77" s="19" cm="1">
        <f t="array" ref="J77">IFERROR(IF(_xlfn.XLOOKUP(L77,NC導入施設!B:B,NC導入施設!E:E)=0,_xlfn.IFS(H77&lt;=5,0,H77&lt;=10,1,H77&lt;=15,2,H77&gt;=16,3),"Null"),"-")</f>
        <v>0</v>
      </c>
      <c r="K77" s="60">
        <f t="shared" ref="K77" si="29">IFERROR(SUM(H77:H81),"-")</f>
        <v>39</v>
      </c>
      <c r="L77" s="1">
        <v>2311491100</v>
      </c>
    </row>
    <row r="78" spans="1:12" ht="18" customHeight="1" x14ac:dyDescent="0.45">
      <c r="A78" s="13">
        <v>72</v>
      </c>
      <c r="B78" s="41" t="str">
        <f t="shared" ref="B78:C81" si="30">B77</f>
        <v>東京本部</v>
      </c>
      <c r="C78" s="41" t="str">
        <f t="shared" si="30"/>
        <v>そんぽの家　隅田公園</v>
      </c>
      <c r="D78" s="14" t="s">
        <v>4</v>
      </c>
      <c r="E78" s="15">
        <v>3</v>
      </c>
      <c r="F78" s="17">
        <v>3</v>
      </c>
      <c r="G78" s="17">
        <v>1</v>
      </c>
      <c r="H78" s="15">
        <f t="shared" si="26"/>
        <v>3</v>
      </c>
      <c r="I78" s="44"/>
      <c r="J78" s="19" cm="1">
        <f t="array" ref="J78">IFERROR(IF(_xlfn.XLOOKUP(L78,NC導入施設!B:B,NC導入施設!E:E)=0,_xlfn.IFS(H78&lt;=5,0,H78&lt;=10,1,H78&lt;=15,2,H78&gt;=16,3),"Null"),"-")</f>
        <v>0</v>
      </c>
      <c r="K78" s="61"/>
      <c r="L78" s="1">
        <v>2311491100</v>
      </c>
    </row>
    <row r="79" spans="1:12" ht="18" customHeight="1" x14ac:dyDescent="0.45">
      <c r="A79" s="13">
        <v>73</v>
      </c>
      <c r="B79" s="41" t="str">
        <f t="shared" si="30"/>
        <v>東京本部</v>
      </c>
      <c r="C79" s="41" t="str">
        <f t="shared" si="30"/>
        <v>そんぽの家　隅田公園</v>
      </c>
      <c r="D79" s="14" t="s">
        <v>5</v>
      </c>
      <c r="E79" s="15">
        <v>3</v>
      </c>
      <c r="F79" s="17">
        <v>12</v>
      </c>
      <c r="G79" s="17">
        <v>4</v>
      </c>
      <c r="H79" s="15">
        <f t="shared" si="26"/>
        <v>12</v>
      </c>
      <c r="I79" s="44"/>
      <c r="J79" s="19" cm="1">
        <f t="array" ref="J79">IFERROR(IF(_xlfn.XLOOKUP(L79,NC導入施設!B:B,NC導入施設!E:E)=0,_xlfn.IFS(H79&lt;=5,0,H79&lt;=10,1,H79&lt;=15,2,H79&gt;=16,3),"Null"),"-")</f>
        <v>2</v>
      </c>
      <c r="K79" s="61"/>
      <c r="L79" s="1">
        <v>2311491100</v>
      </c>
    </row>
    <row r="80" spans="1:12" ht="18" customHeight="1" x14ac:dyDescent="0.45">
      <c r="A80" s="13">
        <v>74</v>
      </c>
      <c r="B80" s="41" t="str">
        <f t="shared" si="30"/>
        <v>東京本部</v>
      </c>
      <c r="C80" s="41" t="str">
        <f t="shared" si="30"/>
        <v>そんぽの家　隅田公園</v>
      </c>
      <c r="D80" s="14" t="s">
        <v>6</v>
      </c>
      <c r="E80" s="15">
        <v>5</v>
      </c>
      <c r="F80" s="17">
        <v>1</v>
      </c>
      <c r="G80" s="17">
        <v>0.2</v>
      </c>
      <c r="H80" s="15">
        <f t="shared" si="26"/>
        <v>1</v>
      </c>
      <c r="I80" s="44"/>
      <c r="J80" s="19" cm="1">
        <f t="array" ref="J80">IFERROR(IF(_xlfn.XLOOKUP(L80,NC導入施設!B:B,NC導入施設!E:E)=0,_xlfn.IFS(H80&lt;=5,0,H80&lt;=10,1,H80&lt;=15,2,H80&gt;=16,3),"Null"),"-")</f>
        <v>0</v>
      </c>
      <c r="K80" s="61"/>
      <c r="L80" s="1">
        <v>2311491100</v>
      </c>
    </row>
    <row r="81" spans="1:12" ht="18" customHeight="1" x14ac:dyDescent="0.45">
      <c r="A81" s="13">
        <v>75</v>
      </c>
      <c r="B81" s="42" t="str">
        <f t="shared" si="30"/>
        <v>東京本部</v>
      </c>
      <c r="C81" s="42" t="str">
        <f t="shared" si="30"/>
        <v>そんぽの家　隅田公園</v>
      </c>
      <c r="D81" s="14" t="s">
        <v>2</v>
      </c>
      <c r="E81" s="15">
        <v>4</v>
      </c>
      <c r="F81" s="17">
        <v>22</v>
      </c>
      <c r="G81" s="17">
        <v>5.5</v>
      </c>
      <c r="H81" s="15">
        <f t="shared" si="26"/>
        <v>22</v>
      </c>
      <c r="I81" s="45"/>
      <c r="J81" s="19" cm="1">
        <f t="array" ref="J81">IFERROR(IF(_xlfn.XLOOKUP(L81,NC導入施設!B:B,NC導入施設!E:E)=0,_xlfn.IFS(H81&lt;=5,0,H81&lt;=10,1,H81&lt;=15,2,H81&gt;=16,3),"Null"),"-")</f>
        <v>3</v>
      </c>
      <c r="K81" s="62"/>
      <c r="L81" s="1">
        <v>2311491100</v>
      </c>
    </row>
    <row r="82" spans="1:12" ht="18" customHeight="1" x14ac:dyDescent="0.45">
      <c r="A82" s="8">
        <v>76</v>
      </c>
      <c r="B82" s="34" t="s">
        <v>8</v>
      </c>
      <c r="C82" s="34" t="s">
        <v>199</v>
      </c>
      <c r="D82" s="9" t="s">
        <v>3</v>
      </c>
      <c r="E82" s="10">
        <v>1</v>
      </c>
      <c r="F82" s="12">
        <v>0</v>
      </c>
      <c r="G82" s="12">
        <v>0</v>
      </c>
      <c r="H82" s="10">
        <f t="shared" si="26"/>
        <v>0</v>
      </c>
      <c r="I82" s="37" cm="1">
        <f t="array" ref="I82">IF(J82="-","-",_xlfn.IFS(K82&lt;=5,0,K82&lt;=10,1,K82&lt;=15,2,K82&gt;=16,3))</f>
        <v>3</v>
      </c>
      <c r="J82" s="19" cm="1">
        <f t="array" ref="J82">IFERROR(IF(_xlfn.XLOOKUP(L82,NC導入施設!B:B,NC導入施設!E:E)=0,_xlfn.IFS(H82&lt;=5,0,H82&lt;=10,1,H82&lt;=15,2,H82&gt;=16,3),"Null"),"-")</f>
        <v>0</v>
      </c>
      <c r="K82" s="60">
        <f t="shared" ref="K82" si="31">IFERROR(SUM(H82:H86),"-")</f>
        <v>45</v>
      </c>
      <c r="L82" s="1">
        <v>2311531100</v>
      </c>
    </row>
    <row r="83" spans="1:12" ht="18" customHeight="1" x14ac:dyDescent="0.45">
      <c r="A83" s="8">
        <v>77</v>
      </c>
      <c r="B83" s="35" t="str">
        <f t="shared" ref="B83:C86" si="32">B82</f>
        <v>東京本部</v>
      </c>
      <c r="C83" s="35" t="str">
        <f t="shared" si="32"/>
        <v>ラヴィーレ羽田</v>
      </c>
      <c r="D83" s="9" t="s">
        <v>4</v>
      </c>
      <c r="E83" s="10">
        <v>2</v>
      </c>
      <c r="F83" s="12">
        <v>16</v>
      </c>
      <c r="G83" s="12">
        <v>8</v>
      </c>
      <c r="H83" s="10">
        <f t="shared" si="26"/>
        <v>16</v>
      </c>
      <c r="I83" s="38"/>
      <c r="J83" s="19" cm="1">
        <f t="array" ref="J83">IFERROR(IF(_xlfn.XLOOKUP(L83,NC導入施設!B:B,NC導入施設!E:E)=0,_xlfn.IFS(H83&lt;=5,0,H83&lt;=10,1,H83&lt;=15,2,H83&gt;=16,3),"Null"),"-")</f>
        <v>3</v>
      </c>
      <c r="K83" s="61"/>
      <c r="L83" s="1">
        <v>2311531100</v>
      </c>
    </row>
    <row r="84" spans="1:12" ht="18" customHeight="1" x14ac:dyDescent="0.45">
      <c r="A84" s="8">
        <v>78</v>
      </c>
      <c r="B84" s="35" t="str">
        <f t="shared" si="32"/>
        <v>東京本部</v>
      </c>
      <c r="C84" s="35" t="str">
        <f t="shared" si="32"/>
        <v>ラヴィーレ羽田</v>
      </c>
      <c r="D84" s="9" t="s">
        <v>5</v>
      </c>
      <c r="E84" s="10">
        <v>2</v>
      </c>
      <c r="F84" s="12">
        <v>19</v>
      </c>
      <c r="G84" s="12">
        <v>9.5</v>
      </c>
      <c r="H84" s="10">
        <f t="shared" si="26"/>
        <v>19</v>
      </c>
      <c r="I84" s="38"/>
      <c r="J84" s="19" cm="1">
        <f t="array" ref="J84">IFERROR(IF(_xlfn.XLOOKUP(L84,NC導入施設!B:B,NC導入施設!E:E)=0,_xlfn.IFS(H84&lt;=5,0,H84&lt;=10,1,H84&lt;=15,2,H84&gt;=16,3),"Null"),"-")</f>
        <v>3</v>
      </c>
      <c r="K84" s="61"/>
      <c r="L84" s="1">
        <v>2311531100</v>
      </c>
    </row>
    <row r="85" spans="1:12" ht="18" customHeight="1" x14ac:dyDescent="0.45">
      <c r="A85" s="8">
        <v>79</v>
      </c>
      <c r="B85" s="35" t="str">
        <f t="shared" si="32"/>
        <v>東京本部</v>
      </c>
      <c r="C85" s="35" t="str">
        <f t="shared" si="32"/>
        <v>ラヴィーレ羽田</v>
      </c>
      <c r="D85" s="9" t="s">
        <v>6</v>
      </c>
      <c r="E85" s="10">
        <v>5</v>
      </c>
      <c r="F85" s="12">
        <v>0</v>
      </c>
      <c r="G85" s="12">
        <v>0</v>
      </c>
      <c r="H85" s="10">
        <f t="shared" si="26"/>
        <v>0</v>
      </c>
      <c r="I85" s="38"/>
      <c r="J85" s="19" cm="1">
        <f t="array" ref="J85">IFERROR(IF(_xlfn.XLOOKUP(L85,NC導入施設!B:B,NC導入施設!E:E)=0,_xlfn.IFS(H85&lt;=5,0,H85&lt;=10,1,H85&lt;=15,2,H85&gt;=16,3),"Null"),"-")</f>
        <v>0</v>
      </c>
      <c r="K85" s="61"/>
      <c r="L85" s="1">
        <v>2311531100</v>
      </c>
    </row>
    <row r="86" spans="1:12" ht="18" customHeight="1" x14ac:dyDescent="0.45">
      <c r="A86" s="8">
        <v>80</v>
      </c>
      <c r="B86" s="36" t="str">
        <f t="shared" si="32"/>
        <v>東京本部</v>
      </c>
      <c r="C86" s="36" t="str">
        <f t="shared" si="32"/>
        <v>ラヴィーレ羽田</v>
      </c>
      <c r="D86" s="9" t="s">
        <v>2</v>
      </c>
      <c r="E86" s="10">
        <v>2</v>
      </c>
      <c r="F86" s="12">
        <v>10</v>
      </c>
      <c r="G86" s="12">
        <v>5</v>
      </c>
      <c r="H86" s="10">
        <f t="shared" si="26"/>
        <v>10</v>
      </c>
      <c r="I86" s="39"/>
      <c r="J86" s="19" cm="1">
        <f t="array" ref="J86">IFERROR(IF(_xlfn.XLOOKUP(L86,NC導入施設!B:B,NC導入施設!E:E)=0,_xlfn.IFS(H86&lt;=5,0,H86&lt;=10,1,H86&lt;=15,2,H86&gt;=16,3),"Null"),"-")</f>
        <v>1</v>
      </c>
      <c r="K86" s="62"/>
      <c r="L86" s="1">
        <v>2311531100</v>
      </c>
    </row>
    <row r="87" spans="1:12" ht="18" customHeight="1" x14ac:dyDescent="0.45">
      <c r="A87" s="13">
        <v>81</v>
      </c>
      <c r="B87" s="40" t="s">
        <v>8</v>
      </c>
      <c r="C87" s="40" t="s">
        <v>15</v>
      </c>
      <c r="D87" s="14" t="s">
        <v>3</v>
      </c>
      <c r="E87" s="15">
        <v>1</v>
      </c>
      <c r="F87" s="17">
        <v>1</v>
      </c>
      <c r="G87" s="17">
        <v>1</v>
      </c>
      <c r="H87" s="15">
        <f t="shared" si="26"/>
        <v>1</v>
      </c>
      <c r="I87" s="43" cm="1">
        <f t="array" ref="I87">IF(J87="-","-",_xlfn.IFS(K87&lt;=5,0,K87&lt;=10,1,K87&lt;=15,2,K87&gt;=16,3))</f>
        <v>0</v>
      </c>
      <c r="J87" s="19" cm="1">
        <f t="array" ref="J87">IFERROR(IF(_xlfn.XLOOKUP(L87,NC導入施設!B:B,NC導入施設!E:E)=0,_xlfn.IFS(H87&lt;=5,0,H87&lt;=10,1,H87&lt;=15,2,H87&gt;=16,3),"Null"),"-")</f>
        <v>0</v>
      </c>
      <c r="K87" s="60">
        <f t="shared" ref="K87" si="33">IFERROR(SUM(H87:H91),"-")</f>
        <v>2</v>
      </c>
      <c r="L87" s="1">
        <v>2311551100</v>
      </c>
    </row>
    <row r="88" spans="1:12" ht="18" customHeight="1" x14ac:dyDescent="0.45">
      <c r="A88" s="13">
        <v>82</v>
      </c>
      <c r="B88" s="41" t="str">
        <f t="shared" ref="B88:C91" si="34">B87</f>
        <v>東京本部</v>
      </c>
      <c r="C88" s="41" t="str">
        <f t="shared" si="34"/>
        <v>そんぽの家　大鳥居</v>
      </c>
      <c r="D88" s="14" t="s">
        <v>4</v>
      </c>
      <c r="E88" s="15">
        <v>1</v>
      </c>
      <c r="F88" s="17">
        <v>1</v>
      </c>
      <c r="G88" s="17">
        <v>1</v>
      </c>
      <c r="H88" s="15">
        <f t="shared" si="26"/>
        <v>1</v>
      </c>
      <c r="I88" s="44"/>
      <c r="J88" s="19" cm="1">
        <f t="array" ref="J88">IFERROR(IF(_xlfn.XLOOKUP(L88,NC導入施設!B:B,NC導入施設!E:E)=0,_xlfn.IFS(H88&lt;=5,0,H88&lt;=10,1,H88&lt;=15,2,H88&gt;=16,3),"Null"),"-")</f>
        <v>0</v>
      </c>
      <c r="K88" s="61"/>
      <c r="L88" s="1">
        <v>2311551100</v>
      </c>
    </row>
    <row r="89" spans="1:12" ht="18" customHeight="1" x14ac:dyDescent="0.45">
      <c r="A89" s="13">
        <v>83</v>
      </c>
      <c r="B89" s="41" t="str">
        <f t="shared" si="34"/>
        <v>東京本部</v>
      </c>
      <c r="C89" s="41" t="str">
        <f t="shared" si="34"/>
        <v>そんぽの家　大鳥居</v>
      </c>
      <c r="D89" s="14" t="s">
        <v>5</v>
      </c>
      <c r="E89" s="15">
        <v>1</v>
      </c>
      <c r="F89" s="17">
        <v>0</v>
      </c>
      <c r="G89" s="17">
        <v>0</v>
      </c>
      <c r="H89" s="15">
        <f t="shared" si="26"/>
        <v>0</v>
      </c>
      <c r="I89" s="44"/>
      <c r="J89" s="19" cm="1">
        <f t="array" ref="J89">IFERROR(IF(_xlfn.XLOOKUP(L89,NC導入施設!B:B,NC導入施設!E:E)=0,_xlfn.IFS(H89&lt;=5,0,H89&lt;=10,1,H89&lt;=15,2,H89&gt;=16,3),"Null"),"-")</f>
        <v>0</v>
      </c>
      <c r="K89" s="61"/>
      <c r="L89" s="1">
        <v>2311551100</v>
      </c>
    </row>
    <row r="90" spans="1:12" ht="18" customHeight="1" x14ac:dyDescent="0.45">
      <c r="A90" s="13">
        <v>84</v>
      </c>
      <c r="B90" s="41" t="str">
        <f t="shared" si="34"/>
        <v>東京本部</v>
      </c>
      <c r="C90" s="41" t="str">
        <f t="shared" si="34"/>
        <v>そんぽの家　大鳥居</v>
      </c>
      <c r="D90" s="14" t="s">
        <v>6</v>
      </c>
      <c r="E90" s="15">
        <v>4</v>
      </c>
      <c r="F90" s="17">
        <v>0</v>
      </c>
      <c r="G90" s="17">
        <v>0</v>
      </c>
      <c r="H90" s="15">
        <f t="shared" si="26"/>
        <v>0</v>
      </c>
      <c r="I90" s="44"/>
      <c r="J90" s="19" cm="1">
        <f t="array" ref="J90">IFERROR(IF(_xlfn.XLOOKUP(L90,NC導入施設!B:B,NC導入施設!E:E)=0,_xlfn.IFS(H90&lt;=5,0,H90&lt;=10,1,H90&lt;=15,2,H90&gt;=16,3),"Null"),"-")</f>
        <v>0</v>
      </c>
      <c r="K90" s="61"/>
      <c r="L90" s="1">
        <v>2311551100</v>
      </c>
    </row>
    <row r="91" spans="1:12" ht="18" customHeight="1" x14ac:dyDescent="0.45">
      <c r="A91" s="13">
        <v>85</v>
      </c>
      <c r="B91" s="42" t="str">
        <f t="shared" si="34"/>
        <v>東京本部</v>
      </c>
      <c r="C91" s="42" t="str">
        <f t="shared" si="34"/>
        <v>そんぽの家　大鳥居</v>
      </c>
      <c r="D91" s="14" t="s">
        <v>2</v>
      </c>
      <c r="E91" s="15">
        <v>2</v>
      </c>
      <c r="F91" s="17">
        <v>0</v>
      </c>
      <c r="G91" s="17">
        <v>0</v>
      </c>
      <c r="H91" s="15">
        <f t="shared" si="26"/>
        <v>0</v>
      </c>
      <c r="I91" s="45"/>
      <c r="J91" s="19" cm="1">
        <f t="array" ref="J91">IFERROR(IF(_xlfn.XLOOKUP(L91,NC導入施設!B:B,NC導入施設!E:E)=0,_xlfn.IFS(H91&lt;=5,0,H91&lt;=10,1,H91&lt;=15,2,H91&gt;=16,3),"Null"),"-")</f>
        <v>0</v>
      </c>
      <c r="K91" s="62"/>
      <c r="L91" s="1">
        <v>2311551100</v>
      </c>
    </row>
    <row r="92" spans="1:12" ht="18" customHeight="1" x14ac:dyDescent="0.45">
      <c r="A92" s="8">
        <v>86</v>
      </c>
      <c r="B92" s="34" t="s">
        <v>8</v>
      </c>
      <c r="C92" s="34" t="s">
        <v>16</v>
      </c>
      <c r="D92" s="9" t="s">
        <v>3</v>
      </c>
      <c r="E92" s="10">
        <v>1</v>
      </c>
      <c r="F92" s="12">
        <v>1</v>
      </c>
      <c r="G92" s="12">
        <v>1</v>
      </c>
      <c r="H92" s="10">
        <f t="shared" si="26"/>
        <v>1</v>
      </c>
      <c r="I92" s="37" cm="1">
        <f t="array" ref="I92">IF(J92="-","-",_xlfn.IFS(K92&lt;=5,0,K92&lt;=10,1,K92&lt;=15,2,K92&gt;=16,3))</f>
        <v>2</v>
      </c>
      <c r="J92" s="19" cm="1">
        <f t="array" ref="J92">IFERROR(IF(_xlfn.XLOOKUP(L92,NC導入施設!B:B,NC導入施設!E:E)=0,_xlfn.IFS(H92&lt;=5,0,H92&lt;=10,1,H92&lt;=15,2,H92&gt;=16,3),"Null"),"-")</f>
        <v>0</v>
      </c>
      <c r="K92" s="60">
        <f t="shared" ref="K92" si="35">IFERROR(SUM(H92:H96),"-")</f>
        <v>12</v>
      </c>
      <c r="L92" s="1">
        <v>2311661100</v>
      </c>
    </row>
    <row r="93" spans="1:12" ht="18" customHeight="1" x14ac:dyDescent="0.45">
      <c r="A93" s="8">
        <v>87</v>
      </c>
      <c r="B93" s="35" t="str">
        <f t="shared" ref="B93:C96" si="36">B92</f>
        <v>東京本部</v>
      </c>
      <c r="C93" s="35" t="str">
        <f t="shared" si="36"/>
        <v>そんぽの家　東六郷</v>
      </c>
      <c r="D93" s="9" t="s">
        <v>4</v>
      </c>
      <c r="E93" s="10">
        <v>1</v>
      </c>
      <c r="F93" s="12">
        <v>0</v>
      </c>
      <c r="G93" s="12">
        <v>0</v>
      </c>
      <c r="H93" s="10">
        <f t="shared" si="26"/>
        <v>0</v>
      </c>
      <c r="I93" s="38"/>
      <c r="J93" s="19" cm="1">
        <f t="array" ref="J93">IFERROR(IF(_xlfn.XLOOKUP(L93,NC導入施設!B:B,NC導入施設!E:E)=0,_xlfn.IFS(H93&lt;=5,0,H93&lt;=10,1,H93&lt;=15,2,H93&gt;=16,3),"Null"),"-")</f>
        <v>0</v>
      </c>
      <c r="K93" s="61"/>
      <c r="L93" s="1">
        <v>2311661100</v>
      </c>
    </row>
    <row r="94" spans="1:12" ht="18" customHeight="1" x14ac:dyDescent="0.45">
      <c r="A94" s="8">
        <v>88</v>
      </c>
      <c r="B94" s="35" t="str">
        <f t="shared" si="36"/>
        <v>東京本部</v>
      </c>
      <c r="C94" s="35" t="str">
        <f t="shared" si="36"/>
        <v>そんぽの家　東六郷</v>
      </c>
      <c r="D94" s="9" t="s">
        <v>5</v>
      </c>
      <c r="E94" s="10">
        <v>1</v>
      </c>
      <c r="F94" s="12">
        <v>11</v>
      </c>
      <c r="G94" s="12">
        <v>11</v>
      </c>
      <c r="H94" s="10">
        <f t="shared" si="26"/>
        <v>11</v>
      </c>
      <c r="I94" s="38"/>
      <c r="J94" s="19" cm="1">
        <f t="array" ref="J94">IFERROR(IF(_xlfn.XLOOKUP(L94,NC導入施設!B:B,NC導入施設!E:E)=0,_xlfn.IFS(H94&lt;=5,0,H94&lt;=10,1,H94&lt;=15,2,H94&gt;=16,3),"Null"),"-")</f>
        <v>2</v>
      </c>
      <c r="K94" s="61"/>
      <c r="L94" s="1">
        <v>2311661100</v>
      </c>
    </row>
    <row r="95" spans="1:12" ht="18" customHeight="1" x14ac:dyDescent="0.45">
      <c r="A95" s="8">
        <v>89</v>
      </c>
      <c r="B95" s="35" t="str">
        <f t="shared" si="36"/>
        <v>東京本部</v>
      </c>
      <c r="C95" s="35" t="str">
        <f t="shared" si="36"/>
        <v>そんぽの家　東六郷</v>
      </c>
      <c r="D95" s="9" t="s">
        <v>6</v>
      </c>
      <c r="E95" s="10">
        <v>3</v>
      </c>
      <c r="F95" s="12">
        <v>0</v>
      </c>
      <c r="G95" s="12">
        <v>0</v>
      </c>
      <c r="H95" s="10">
        <f t="shared" si="26"/>
        <v>0</v>
      </c>
      <c r="I95" s="38"/>
      <c r="J95" s="19" cm="1">
        <f t="array" ref="J95">IFERROR(IF(_xlfn.XLOOKUP(L95,NC導入施設!B:B,NC導入施設!E:E)=0,_xlfn.IFS(H95&lt;=5,0,H95&lt;=10,1,H95&lt;=15,2,H95&gt;=16,3),"Null"),"-")</f>
        <v>0</v>
      </c>
      <c r="K95" s="61"/>
      <c r="L95" s="1">
        <v>2311661100</v>
      </c>
    </row>
    <row r="96" spans="1:12" ht="18" customHeight="1" x14ac:dyDescent="0.45">
      <c r="A96" s="8">
        <v>90</v>
      </c>
      <c r="B96" s="36" t="str">
        <f t="shared" si="36"/>
        <v>東京本部</v>
      </c>
      <c r="C96" s="36" t="str">
        <f t="shared" si="36"/>
        <v>そんぽの家　東六郷</v>
      </c>
      <c r="D96" s="9" t="s">
        <v>2</v>
      </c>
      <c r="E96" s="10">
        <v>1</v>
      </c>
      <c r="F96" s="12">
        <v>0</v>
      </c>
      <c r="G96" s="12">
        <v>0</v>
      </c>
      <c r="H96" s="10">
        <f t="shared" si="26"/>
        <v>0</v>
      </c>
      <c r="I96" s="39"/>
      <c r="J96" s="19" cm="1">
        <f t="array" ref="J96">IFERROR(IF(_xlfn.XLOOKUP(L96,NC導入施設!B:B,NC導入施設!E:E)=0,_xlfn.IFS(H96&lt;=5,0,H96&lt;=10,1,H96&lt;=15,2,H96&gt;=16,3),"Null"),"-")</f>
        <v>0</v>
      </c>
      <c r="K96" s="62"/>
      <c r="L96" s="1">
        <v>2311661100</v>
      </c>
    </row>
    <row r="97" spans="1:12" ht="18" customHeight="1" x14ac:dyDescent="0.45">
      <c r="A97" s="13">
        <v>91</v>
      </c>
      <c r="B97" s="40" t="s">
        <v>8</v>
      </c>
      <c r="C97" s="40" t="s">
        <v>200</v>
      </c>
      <c r="D97" s="14" t="s">
        <v>3</v>
      </c>
      <c r="E97" s="15">
        <v>1</v>
      </c>
      <c r="F97" s="17">
        <v>0</v>
      </c>
      <c r="G97" s="17">
        <v>0</v>
      </c>
      <c r="H97" s="15">
        <f t="shared" si="26"/>
        <v>0</v>
      </c>
      <c r="I97" s="43" cm="1">
        <f t="array" ref="I97">IF(J97="-","-",_xlfn.IFS(K97&lt;=5,0,K97&lt;=10,1,K97&lt;=15,2,K97&gt;=16,3))</f>
        <v>3</v>
      </c>
      <c r="J97" s="19" cm="1">
        <f t="array" ref="J97">IFERROR(IF(_xlfn.XLOOKUP(L97,NC導入施設!B:B,NC導入施設!E:E)=0,_xlfn.IFS(H97&lt;=5,0,H97&lt;=10,1,H97&lt;=15,2,H97&gt;=16,3),"Null"),"-")</f>
        <v>0</v>
      </c>
      <c r="K97" s="60">
        <f t="shared" ref="K97" si="37">IFERROR(SUM(H97:H101),"-")</f>
        <v>18</v>
      </c>
      <c r="L97" s="1">
        <v>2311691100</v>
      </c>
    </row>
    <row r="98" spans="1:12" ht="18" customHeight="1" x14ac:dyDescent="0.45">
      <c r="A98" s="13">
        <v>92</v>
      </c>
      <c r="B98" s="41" t="str">
        <f t="shared" ref="B98:C101" si="38">B97</f>
        <v>東京本部</v>
      </c>
      <c r="C98" s="41" t="str">
        <f t="shared" si="38"/>
        <v>ラヴィーレ多摩川</v>
      </c>
      <c r="D98" s="14" t="s">
        <v>4</v>
      </c>
      <c r="E98" s="15">
        <v>2</v>
      </c>
      <c r="F98" s="17">
        <v>2</v>
      </c>
      <c r="G98" s="17">
        <v>1</v>
      </c>
      <c r="H98" s="15">
        <f t="shared" si="26"/>
        <v>2</v>
      </c>
      <c r="I98" s="44"/>
      <c r="J98" s="19" cm="1">
        <f t="array" ref="J98">IFERROR(IF(_xlfn.XLOOKUP(L98,NC導入施設!B:B,NC導入施設!E:E)=0,_xlfn.IFS(H98&lt;=5,0,H98&lt;=10,1,H98&lt;=15,2,H98&gt;=16,3),"Null"),"-")</f>
        <v>0</v>
      </c>
      <c r="K98" s="61"/>
      <c r="L98" s="1">
        <v>2311691100</v>
      </c>
    </row>
    <row r="99" spans="1:12" ht="18" customHeight="1" x14ac:dyDescent="0.45">
      <c r="A99" s="13">
        <v>93</v>
      </c>
      <c r="B99" s="41" t="str">
        <f t="shared" si="38"/>
        <v>東京本部</v>
      </c>
      <c r="C99" s="41" t="str">
        <f t="shared" si="38"/>
        <v>ラヴィーレ多摩川</v>
      </c>
      <c r="D99" s="14" t="s">
        <v>5</v>
      </c>
      <c r="E99" s="15">
        <v>2</v>
      </c>
      <c r="F99" s="17">
        <v>4</v>
      </c>
      <c r="G99" s="17">
        <v>2</v>
      </c>
      <c r="H99" s="15">
        <f t="shared" si="26"/>
        <v>4</v>
      </c>
      <c r="I99" s="44"/>
      <c r="J99" s="19" cm="1">
        <f t="array" ref="J99">IFERROR(IF(_xlfn.XLOOKUP(L99,NC導入施設!B:B,NC導入施設!E:E)=0,_xlfn.IFS(H99&lt;=5,0,H99&lt;=10,1,H99&lt;=15,2,H99&gt;=16,3),"Null"),"-")</f>
        <v>0</v>
      </c>
      <c r="K99" s="61"/>
      <c r="L99" s="1">
        <v>2311691100</v>
      </c>
    </row>
    <row r="100" spans="1:12" ht="18" customHeight="1" x14ac:dyDescent="0.45">
      <c r="A100" s="13">
        <v>94</v>
      </c>
      <c r="B100" s="41" t="str">
        <f t="shared" si="38"/>
        <v>東京本部</v>
      </c>
      <c r="C100" s="41" t="str">
        <f t="shared" si="38"/>
        <v>ラヴィーレ多摩川</v>
      </c>
      <c r="D100" s="14" t="s">
        <v>6</v>
      </c>
      <c r="E100" s="15">
        <v>5</v>
      </c>
      <c r="F100" s="17">
        <v>12</v>
      </c>
      <c r="G100" s="17">
        <v>2.4</v>
      </c>
      <c r="H100" s="15">
        <f t="shared" si="26"/>
        <v>12</v>
      </c>
      <c r="I100" s="44"/>
      <c r="J100" s="19" cm="1">
        <f t="array" ref="J100">IFERROR(IF(_xlfn.XLOOKUP(L100,NC導入施設!B:B,NC導入施設!E:E)=0,_xlfn.IFS(H100&lt;=5,0,H100&lt;=10,1,H100&lt;=15,2,H100&gt;=16,3),"Null"),"-")</f>
        <v>2</v>
      </c>
      <c r="K100" s="61"/>
      <c r="L100" s="1">
        <v>2311691100</v>
      </c>
    </row>
    <row r="101" spans="1:12" ht="18" customHeight="1" x14ac:dyDescent="0.45">
      <c r="A101" s="13">
        <v>95</v>
      </c>
      <c r="B101" s="42" t="str">
        <f t="shared" si="38"/>
        <v>東京本部</v>
      </c>
      <c r="C101" s="42" t="str">
        <f t="shared" si="38"/>
        <v>ラヴィーレ多摩川</v>
      </c>
      <c r="D101" s="14" t="s">
        <v>2</v>
      </c>
      <c r="E101" s="15">
        <v>2</v>
      </c>
      <c r="F101" s="17">
        <v>0</v>
      </c>
      <c r="G101" s="17">
        <v>0</v>
      </c>
      <c r="H101" s="15">
        <f t="shared" si="26"/>
        <v>0</v>
      </c>
      <c r="I101" s="45"/>
      <c r="J101" s="19" cm="1">
        <f t="array" ref="J101">IFERROR(IF(_xlfn.XLOOKUP(L101,NC導入施設!B:B,NC導入施設!E:E)=0,_xlfn.IFS(H101&lt;=5,0,H101&lt;=10,1,H101&lt;=15,2,H101&gt;=16,3),"Null"),"-")</f>
        <v>0</v>
      </c>
      <c r="K101" s="62"/>
      <c r="L101" s="1">
        <v>2311691100</v>
      </c>
    </row>
    <row r="102" spans="1:12" ht="18" customHeight="1" x14ac:dyDescent="0.45">
      <c r="A102" s="8">
        <v>96</v>
      </c>
      <c r="B102" s="34" t="s">
        <v>8</v>
      </c>
      <c r="C102" s="34" t="s">
        <v>17</v>
      </c>
      <c r="D102" s="9" t="s">
        <v>3</v>
      </c>
      <c r="E102" s="10">
        <v>1</v>
      </c>
      <c r="F102" s="12">
        <v>18</v>
      </c>
      <c r="G102" s="12">
        <v>18</v>
      </c>
      <c r="H102" s="10">
        <f t="shared" si="26"/>
        <v>18</v>
      </c>
      <c r="I102" s="37" cm="1">
        <f t="array" ref="I102">IF(J102="-","-",_xlfn.IFS(K102&lt;=5,0,K102&lt;=10,1,K102&lt;=15,2,K102&gt;=16,3))</f>
        <v>3</v>
      </c>
      <c r="J102" s="19" cm="1">
        <f t="array" ref="J102">IFERROR(IF(_xlfn.XLOOKUP(L102,NC導入施設!B:B,NC導入施設!E:E)=0,_xlfn.IFS(H102&lt;=5,0,H102&lt;=10,1,H102&lt;=15,2,H102&gt;=16,3),"Null"),"-")</f>
        <v>3</v>
      </c>
      <c r="K102" s="60">
        <f t="shared" ref="K102" si="39">IFERROR(SUM(H102:H106),"-")</f>
        <v>28</v>
      </c>
      <c r="L102" s="1">
        <v>2311761100</v>
      </c>
    </row>
    <row r="103" spans="1:12" ht="18" customHeight="1" x14ac:dyDescent="0.45">
      <c r="A103" s="8">
        <v>97</v>
      </c>
      <c r="B103" s="35" t="str">
        <f t="shared" ref="B103:C106" si="40">B102</f>
        <v>東京本部</v>
      </c>
      <c r="C103" s="35" t="str">
        <f t="shared" si="40"/>
        <v>そんぽの家　経堂</v>
      </c>
      <c r="D103" s="9" t="s">
        <v>4</v>
      </c>
      <c r="E103" s="10">
        <v>1</v>
      </c>
      <c r="F103" s="12">
        <v>0</v>
      </c>
      <c r="G103" s="12">
        <v>0</v>
      </c>
      <c r="H103" s="10">
        <f t="shared" si="26"/>
        <v>0</v>
      </c>
      <c r="I103" s="38"/>
      <c r="J103" s="19" cm="1">
        <f t="array" ref="J103">IFERROR(IF(_xlfn.XLOOKUP(L103,NC導入施設!B:B,NC導入施設!E:E)=0,_xlfn.IFS(H103&lt;=5,0,H103&lt;=10,1,H103&lt;=15,2,H103&gt;=16,3),"Null"),"-")</f>
        <v>0</v>
      </c>
      <c r="K103" s="61"/>
      <c r="L103" s="1">
        <v>2311761100</v>
      </c>
    </row>
    <row r="104" spans="1:12" ht="18" customHeight="1" x14ac:dyDescent="0.45">
      <c r="A104" s="8">
        <v>98</v>
      </c>
      <c r="B104" s="35" t="str">
        <f t="shared" si="40"/>
        <v>東京本部</v>
      </c>
      <c r="C104" s="35" t="str">
        <f t="shared" si="40"/>
        <v>そんぽの家　経堂</v>
      </c>
      <c r="D104" s="9" t="s">
        <v>5</v>
      </c>
      <c r="E104" s="10">
        <v>1</v>
      </c>
      <c r="F104" s="12">
        <v>7</v>
      </c>
      <c r="G104" s="12">
        <v>7</v>
      </c>
      <c r="H104" s="10">
        <f t="shared" si="26"/>
        <v>7</v>
      </c>
      <c r="I104" s="38"/>
      <c r="J104" s="19" cm="1">
        <f t="array" ref="J104">IFERROR(IF(_xlfn.XLOOKUP(L104,NC導入施設!B:B,NC導入施設!E:E)=0,_xlfn.IFS(H104&lt;=5,0,H104&lt;=10,1,H104&lt;=15,2,H104&gt;=16,3),"Null"),"-")</f>
        <v>1</v>
      </c>
      <c r="K104" s="61"/>
      <c r="L104" s="1">
        <v>2311761100</v>
      </c>
    </row>
    <row r="105" spans="1:12" ht="18" customHeight="1" x14ac:dyDescent="0.45">
      <c r="A105" s="8">
        <v>99</v>
      </c>
      <c r="B105" s="35" t="str">
        <f t="shared" si="40"/>
        <v>東京本部</v>
      </c>
      <c r="C105" s="35" t="str">
        <f t="shared" si="40"/>
        <v>そんぽの家　経堂</v>
      </c>
      <c r="D105" s="9" t="s">
        <v>6</v>
      </c>
      <c r="E105" s="10">
        <v>4</v>
      </c>
      <c r="F105" s="12">
        <v>2</v>
      </c>
      <c r="G105" s="12">
        <v>0.5</v>
      </c>
      <c r="H105" s="10">
        <f t="shared" si="26"/>
        <v>2</v>
      </c>
      <c r="I105" s="38"/>
      <c r="J105" s="19" cm="1">
        <f t="array" ref="J105">IFERROR(IF(_xlfn.XLOOKUP(L105,NC導入施設!B:B,NC導入施設!E:E)=0,_xlfn.IFS(H105&lt;=5,0,H105&lt;=10,1,H105&lt;=15,2,H105&gt;=16,3),"Null"),"-")</f>
        <v>0</v>
      </c>
      <c r="K105" s="61"/>
      <c r="L105" s="1">
        <v>2311761100</v>
      </c>
    </row>
    <row r="106" spans="1:12" ht="18" customHeight="1" x14ac:dyDescent="0.45">
      <c r="A106" s="8">
        <v>100</v>
      </c>
      <c r="B106" s="36" t="str">
        <f t="shared" si="40"/>
        <v>東京本部</v>
      </c>
      <c r="C106" s="36" t="str">
        <f t="shared" si="40"/>
        <v>そんぽの家　経堂</v>
      </c>
      <c r="D106" s="9" t="s">
        <v>2</v>
      </c>
      <c r="E106" s="10">
        <v>1</v>
      </c>
      <c r="F106" s="12">
        <v>1</v>
      </c>
      <c r="G106" s="12">
        <v>1</v>
      </c>
      <c r="H106" s="10">
        <f t="shared" si="26"/>
        <v>1</v>
      </c>
      <c r="I106" s="39"/>
      <c r="J106" s="19" cm="1">
        <f t="array" ref="J106">IFERROR(IF(_xlfn.XLOOKUP(L106,NC導入施設!B:B,NC導入施設!E:E)=0,_xlfn.IFS(H106&lt;=5,0,H106&lt;=10,1,H106&lt;=15,2,H106&gt;=16,3),"Null"),"-")</f>
        <v>0</v>
      </c>
      <c r="K106" s="62"/>
      <c r="L106" s="1">
        <v>2311761100</v>
      </c>
    </row>
    <row r="107" spans="1:12" ht="18" customHeight="1" x14ac:dyDescent="0.45">
      <c r="A107" s="13">
        <v>101</v>
      </c>
      <c r="B107" s="40" t="s">
        <v>8</v>
      </c>
      <c r="C107" s="40" t="s">
        <v>201</v>
      </c>
      <c r="D107" s="14" t="s">
        <v>3</v>
      </c>
      <c r="E107" s="15">
        <v>1</v>
      </c>
      <c r="F107" s="17">
        <v>0</v>
      </c>
      <c r="G107" s="17">
        <v>0</v>
      </c>
      <c r="H107" s="15">
        <f t="shared" si="26"/>
        <v>0</v>
      </c>
      <c r="I107" s="43" cm="1">
        <f t="array" ref="I107">IF(J107="-","-",_xlfn.IFS(K107&lt;=5,0,K107&lt;=10,1,K107&lt;=15,2,K107&gt;=16,3))</f>
        <v>2</v>
      </c>
      <c r="J107" s="19" cm="1">
        <f t="array" ref="J107">IFERROR(IF(_xlfn.XLOOKUP(L107,NC導入施設!B:B,NC導入施設!E:E)=0,_xlfn.IFS(H107&lt;=5,0,H107&lt;=10,1,H107&lt;=15,2,H107&gt;=16,3),"Null"),"-")</f>
        <v>0</v>
      </c>
      <c r="K107" s="60">
        <f t="shared" ref="K107" si="41">IFERROR(SUM(H107:H111),"-")</f>
        <v>12</v>
      </c>
      <c r="L107" s="1">
        <v>2311771100</v>
      </c>
    </row>
    <row r="108" spans="1:12" ht="18" customHeight="1" x14ac:dyDescent="0.45">
      <c r="A108" s="13">
        <v>102</v>
      </c>
      <c r="B108" s="41" t="str">
        <f t="shared" ref="B108:C111" si="42">B107</f>
        <v>東京本部</v>
      </c>
      <c r="C108" s="41" t="str">
        <f t="shared" si="42"/>
        <v>ラヴィーレ世田谷船橋</v>
      </c>
      <c r="D108" s="14" t="s">
        <v>4</v>
      </c>
      <c r="E108" s="15">
        <v>1</v>
      </c>
      <c r="F108" s="17">
        <v>2</v>
      </c>
      <c r="G108" s="17">
        <v>2</v>
      </c>
      <c r="H108" s="15">
        <f t="shared" si="26"/>
        <v>2</v>
      </c>
      <c r="I108" s="44"/>
      <c r="J108" s="19" cm="1">
        <f t="array" ref="J108">IFERROR(IF(_xlfn.XLOOKUP(L108,NC導入施設!B:B,NC導入施設!E:E)=0,_xlfn.IFS(H108&lt;=5,0,H108&lt;=10,1,H108&lt;=15,2,H108&gt;=16,3),"Null"),"-")</f>
        <v>0</v>
      </c>
      <c r="K108" s="61"/>
      <c r="L108" s="1">
        <v>2311771100</v>
      </c>
    </row>
    <row r="109" spans="1:12" ht="18" customHeight="1" x14ac:dyDescent="0.45">
      <c r="A109" s="13">
        <v>103</v>
      </c>
      <c r="B109" s="41" t="str">
        <f t="shared" si="42"/>
        <v>東京本部</v>
      </c>
      <c r="C109" s="41" t="str">
        <f t="shared" si="42"/>
        <v>ラヴィーレ世田谷船橋</v>
      </c>
      <c r="D109" s="14" t="s">
        <v>5</v>
      </c>
      <c r="E109" s="15">
        <v>2</v>
      </c>
      <c r="F109" s="17">
        <v>1</v>
      </c>
      <c r="G109" s="17">
        <v>0.5</v>
      </c>
      <c r="H109" s="15">
        <f t="shared" si="26"/>
        <v>1</v>
      </c>
      <c r="I109" s="44"/>
      <c r="J109" s="19" cm="1">
        <f t="array" ref="J109">IFERROR(IF(_xlfn.XLOOKUP(L109,NC導入施設!B:B,NC導入施設!E:E)=0,_xlfn.IFS(H109&lt;=5,0,H109&lt;=10,1,H109&lt;=15,2,H109&gt;=16,3),"Null"),"-")</f>
        <v>0</v>
      </c>
      <c r="K109" s="61"/>
      <c r="L109" s="1">
        <v>2311771100</v>
      </c>
    </row>
    <row r="110" spans="1:12" ht="18" customHeight="1" x14ac:dyDescent="0.45">
      <c r="A110" s="13">
        <v>104</v>
      </c>
      <c r="B110" s="41" t="str">
        <f t="shared" si="42"/>
        <v>東京本部</v>
      </c>
      <c r="C110" s="41" t="str">
        <f t="shared" si="42"/>
        <v>ラヴィーレ世田谷船橋</v>
      </c>
      <c r="D110" s="14" t="s">
        <v>6</v>
      </c>
      <c r="E110" s="15">
        <v>7</v>
      </c>
      <c r="F110" s="17">
        <v>0</v>
      </c>
      <c r="G110" s="17">
        <v>0</v>
      </c>
      <c r="H110" s="15">
        <f t="shared" si="26"/>
        <v>0</v>
      </c>
      <c r="I110" s="44"/>
      <c r="J110" s="19" cm="1">
        <f t="array" ref="J110">IFERROR(IF(_xlfn.XLOOKUP(L110,NC導入施設!B:B,NC導入施設!E:E)=0,_xlfn.IFS(H110&lt;=5,0,H110&lt;=10,1,H110&lt;=15,2,H110&gt;=16,3),"Null"),"-")</f>
        <v>0</v>
      </c>
      <c r="K110" s="61"/>
      <c r="L110" s="1">
        <v>2311771100</v>
      </c>
    </row>
    <row r="111" spans="1:12" ht="18" customHeight="1" x14ac:dyDescent="0.45">
      <c r="A111" s="13">
        <v>105</v>
      </c>
      <c r="B111" s="42" t="str">
        <f t="shared" si="42"/>
        <v>東京本部</v>
      </c>
      <c r="C111" s="42" t="str">
        <f t="shared" si="42"/>
        <v>ラヴィーレ世田谷船橋</v>
      </c>
      <c r="D111" s="14" t="s">
        <v>2</v>
      </c>
      <c r="E111" s="15">
        <v>2</v>
      </c>
      <c r="F111" s="17">
        <v>9</v>
      </c>
      <c r="G111" s="17">
        <v>4.5</v>
      </c>
      <c r="H111" s="15">
        <f t="shared" si="26"/>
        <v>9</v>
      </c>
      <c r="I111" s="45"/>
      <c r="J111" s="19" cm="1">
        <f t="array" ref="J111">IFERROR(IF(_xlfn.XLOOKUP(L111,NC導入施設!B:B,NC導入施設!E:E)=0,_xlfn.IFS(H111&lt;=5,0,H111&lt;=10,1,H111&lt;=15,2,H111&gt;=16,3),"Null"),"-")</f>
        <v>1</v>
      </c>
      <c r="K111" s="62"/>
      <c r="L111" s="1">
        <v>2311771100</v>
      </c>
    </row>
    <row r="112" spans="1:12" ht="18" customHeight="1" x14ac:dyDescent="0.45">
      <c r="A112" s="8">
        <v>106</v>
      </c>
      <c r="B112" s="34" t="s">
        <v>8</v>
      </c>
      <c r="C112" s="34" t="s">
        <v>202</v>
      </c>
      <c r="D112" s="9" t="s">
        <v>3</v>
      </c>
      <c r="E112" s="10">
        <v>1</v>
      </c>
      <c r="F112" s="12">
        <v>2</v>
      </c>
      <c r="G112" s="12">
        <v>2</v>
      </c>
      <c r="H112" s="10">
        <f t="shared" si="26"/>
        <v>2</v>
      </c>
      <c r="I112" s="37" cm="1">
        <f t="array" ref="I112">IF(J112="-","-",_xlfn.IFS(K112&lt;=5,0,K112&lt;=10,1,K112&lt;=15,2,K112&gt;=16,3))</f>
        <v>3</v>
      </c>
      <c r="J112" s="19" cm="1">
        <f t="array" ref="J112">IFERROR(IF(_xlfn.XLOOKUP(L112,NC導入施設!B:B,NC導入施設!E:E)=0,_xlfn.IFS(H112&lt;=5,0,H112&lt;=10,1,H112&lt;=15,2,H112&gt;=16,3),"Null"),"-")</f>
        <v>0</v>
      </c>
      <c r="K112" s="60">
        <f t="shared" ref="K112" si="43">IFERROR(SUM(H112:H116),"-")</f>
        <v>29</v>
      </c>
      <c r="L112" s="1">
        <v>2311811100</v>
      </c>
    </row>
    <row r="113" spans="1:12" ht="18" customHeight="1" x14ac:dyDescent="0.45">
      <c r="A113" s="8">
        <v>107</v>
      </c>
      <c r="B113" s="35" t="str">
        <f t="shared" ref="B113:C116" si="44">B112</f>
        <v>東京本部</v>
      </c>
      <c r="C113" s="35" t="str">
        <f t="shared" si="44"/>
        <v>ラヴィーレ駒沢公園</v>
      </c>
      <c r="D113" s="9" t="s">
        <v>4</v>
      </c>
      <c r="E113" s="10">
        <v>1</v>
      </c>
      <c r="F113" s="12">
        <v>0</v>
      </c>
      <c r="G113" s="12">
        <v>0</v>
      </c>
      <c r="H113" s="10">
        <f t="shared" si="26"/>
        <v>0</v>
      </c>
      <c r="I113" s="38"/>
      <c r="J113" s="19" cm="1">
        <f t="array" ref="J113">IFERROR(IF(_xlfn.XLOOKUP(L113,NC導入施設!B:B,NC導入施設!E:E)=0,_xlfn.IFS(H113&lt;=5,0,H113&lt;=10,1,H113&lt;=15,2,H113&gt;=16,3),"Null"),"-")</f>
        <v>0</v>
      </c>
      <c r="K113" s="61"/>
      <c r="L113" s="1">
        <v>2311811100</v>
      </c>
    </row>
    <row r="114" spans="1:12" ht="18" customHeight="1" x14ac:dyDescent="0.45">
      <c r="A114" s="8">
        <v>108</v>
      </c>
      <c r="B114" s="35" t="str">
        <f t="shared" si="44"/>
        <v>東京本部</v>
      </c>
      <c r="C114" s="35" t="str">
        <f t="shared" si="44"/>
        <v>ラヴィーレ駒沢公園</v>
      </c>
      <c r="D114" s="9" t="s">
        <v>5</v>
      </c>
      <c r="E114" s="10">
        <v>1</v>
      </c>
      <c r="F114" s="12">
        <v>24</v>
      </c>
      <c r="G114" s="12">
        <v>24</v>
      </c>
      <c r="H114" s="10">
        <f t="shared" si="26"/>
        <v>24</v>
      </c>
      <c r="I114" s="38"/>
      <c r="J114" s="19" cm="1">
        <f t="array" ref="J114">IFERROR(IF(_xlfn.XLOOKUP(L114,NC導入施設!B:B,NC導入施設!E:E)=0,_xlfn.IFS(H114&lt;=5,0,H114&lt;=10,1,H114&lt;=15,2,H114&gt;=16,3),"Null"),"-")</f>
        <v>3</v>
      </c>
      <c r="K114" s="61"/>
      <c r="L114" s="1">
        <v>2311811100</v>
      </c>
    </row>
    <row r="115" spans="1:12" ht="18" customHeight="1" x14ac:dyDescent="0.45">
      <c r="A115" s="8">
        <v>109</v>
      </c>
      <c r="B115" s="35" t="str">
        <f t="shared" si="44"/>
        <v>東京本部</v>
      </c>
      <c r="C115" s="35" t="str">
        <f t="shared" si="44"/>
        <v>ラヴィーレ駒沢公園</v>
      </c>
      <c r="D115" s="9" t="s">
        <v>6</v>
      </c>
      <c r="E115" s="10">
        <v>3</v>
      </c>
      <c r="F115" s="12">
        <v>0</v>
      </c>
      <c r="G115" s="12">
        <v>0</v>
      </c>
      <c r="H115" s="10">
        <f t="shared" si="26"/>
        <v>0</v>
      </c>
      <c r="I115" s="38"/>
      <c r="J115" s="19" cm="1">
        <f t="array" ref="J115">IFERROR(IF(_xlfn.XLOOKUP(L115,NC導入施設!B:B,NC導入施設!E:E)=0,_xlfn.IFS(H115&lt;=5,0,H115&lt;=10,1,H115&lt;=15,2,H115&gt;=16,3),"Null"),"-")</f>
        <v>0</v>
      </c>
      <c r="K115" s="61"/>
      <c r="L115" s="1">
        <v>2311811100</v>
      </c>
    </row>
    <row r="116" spans="1:12" ht="18" customHeight="1" x14ac:dyDescent="0.45">
      <c r="A116" s="8">
        <v>110</v>
      </c>
      <c r="B116" s="36" t="str">
        <f t="shared" si="44"/>
        <v>東京本部</v>
      </c>
      <c r="C116" s="36" t="str">
        <f t="shared" si="44"/>
        <v>ラヴィーレ駒沢公園</v>
      </c>
      <c r="D116" s="9" t="s">
        <v>2</v>
      </c>
      <c r="E116" s="10">
        <v>1</v>
      </c>
      <c r="F116" s="12">
        <v>3</v>
      </c>
      <c r="G116" s="12">
        <v>3</v>
      </c>
      <c r="H116" s="10">
        <f t="shared" si="26"/>
        <v>3</v>
      </c>
      <c r="I116" s="39"/>
      <c r="J116" s="19" cm="1">
        <f t="array" ref="J116">IFERROR(IF(_xlfn.XLOOKUP(L116,NC導入施設!B:B,NC導入施設!E:E)=0,_xlfn.IFS(H116&lt;=5,0,H116&lt;=10,1,H116&lt;=15,2,H116&gt;=16,3),"Null"),"-")</f>
        <v>0</v>
      </c>
      <c r="K116" s="62"/>
      <c r="L116" s="1">
        <v>2311811100</v>
      </c>
    </row>
    <row r="117" spans="1:12" ht="18" customHeight="1" x14ac:dyDescent="0.45">
      <c r="A117" s="13">
        <v>111</v>
      </c>
      <c r="B117" s="40" t="s">
        <v>8</v>
      </c>
      <c r="C117" s="40" t="s">
        <v>18</v>
      </c>
      <c r="D117" s="14" t="s">
        <v>3</v>
      </c>
      <c r="E117" s="15">
        <v>1</v>
      </c>
      <c r="F117" s="17">
        <v>6</v>
      </c>
      <c r="G117" s="17">
        <v>6</v>
      </c>
      <c r="H117" s="15">
        <f t="shared" si="26"/>
        <v>6</v>
      </c>
      <c r="I117" s="43" cm="1">
        <f t="array" ref="I117">IF(J117="-","-",_xlfn.IFS(K117&lt;=5,0,K117&lt;=10,1,K117&lt;=15,2,K117&gt;=16,3))</f>
        <v>3</v>
      </c>
      <c r="J117" s="19" cm="1">
        <f t="array" ref="J117">IFERROR(IF(_xlfn.XLOOKUP(L117,NC導入施設!B:B,NC導入施設!E:E)=0,_xlfn.IFS(H117&lt;=5,0,H117&lt;=10,1,H117&lt;=15,2,H117&gt;=16,3),"Null"),"-")</f>
        <v>1</v>
      </c>
      <c r="K117" s="60">
        <f t="shared" ref="K117" si="45">IFERROR(SUM(H117:H121),"-")</f>
        <v>32</v>
      </c>
      <c r="L117" s="1">
        <v>2311841100</v>
      </c>
    </row>
    <row r="118" spans="1:12" ht="18" customHeight="1" x14ac:dyDescent="0.45">
      <c r="A118" s="13">
        <v>112</v>
      </c>
      <c r="B118" s="41" t="str">
        <f t="shared" ref="B118:C121" si="46">B117</f>
        <v>東京本部</v>
      </c>
      <c r="C118" s="41" t="str">
        <f t="shared" si="46"/>
        <v>そんぽの家　成城南</v>
      </c>
      <c r="D118" s="14" t="s">
        <v>4</v>
      </c>
      <c r="E118" s="15">
        <v>2</v>
      </c>
      <c r="F118" s="17">
        <v>9</v>
      </c>
      <c r="G118" s="17">
        <v>4.5</v>
      </c>
      <c r="H118" s="15">
        <f t="shared" si="26"/>
        <v>9</v>
      </c>
      <c r="I118" s="44"/>
      <c r="J118" s="19" cm="1">
        <f t="array" ref="J118">IFERROR(IF(_xlfn.XLOOKUP(L118,NC導入施設!B:B,NC導入施設!E:E)=0,_xlfn.IFS(H118&lt;=5,0,H118&lt;=10,1,H118&lt;=15,2,H118&gt;=16,3),"Null"),"-")</f>
        <v>1</v>
      </c>
      <c r="K118" s="61"/>
      <c r="L118" s="1">
        <v>2311841100</v>
      </c>
    </row>
    <row r="119" spans="1:12" ht="18" customHeight="1" x14ac:dyDescent="0.45">
      <c r="A119" s="13">
        <v>113</v>
      </c>
      <c r="B119" s="41" t="str">
        <f t="shared" si="46"/>
        <v>東京本部</v>
      </c>
      <c r="C119" s="41" t="str">
        <f t="shared" si="46"/>
        <v>そんぽの家　成城南</v>
      </c>
      <c r="D119" s="14" t="s">
        <v>5</v>
      </c>
      <c r="E119" s="15">
        <v>1</v>
      </c>
      <c r="F119" s="17">
        <v>5</v>
      </c>
      <c r="G119" s="17">
        <v>5</v>
      </c>
      <c r="H119" s="15">
        <f t="shared" si="26"/>
        <v>5</v>
      </c>
      <c r="I119" s="44"/>
      <c r="J119" s="19" cm="1">
        <f t="array" ref="J119">IFERROR(IF(_xlfn.XLOOKUP(L119,NC導入施設!B:B,NC導入施設!E:E)=0,_xlfn.IFS(H119&lt;=5,0,H119&lt;=10,1,H119&lt;=15,2,H119&gt;=16,3),"Null"),"-")</f>
        <v>0</v>
      </c>
      <c r="K119" s="61"/>
      <c r="L119" s="1">
        <v>2311841100</v>
      </c>
    </row>
    <row r="120" spans="1:12" ht="18" customHeight="1" x14ac:dyDescent="0.45">
      <c r="A120" s="13">
        <v>114</v>
      </c>
      <c r="B120" s="41" t="str">
        <f t="shared" si="46"/>
        <v>東京本部</v>
      </c>
      <c r="C120" s="41" t="str">
        <f t="shared" si="46"/>
        <v>そんぽの家　成城南</v>
      </c>
      <c r="D120" s="14" t="s">
        <v>6</v>
      </c>
      <c r="E120" s="15">
        <v>6</v>
      </c>
      <c r="F120" s="17">
        <v>0</v>
      </c>
      <c r="G120" s="17">
        <v>0</v>
      </c>
      <c r="H120" s="15">
        <f t="shared" si="26"/>
        <v>0</v>
      </c>
      <c r="I120" s="44"/>
      <c r="J120" s="19" cm="1">
        <f t="array" ref="J120">IFERROR(IF(_xlfn.XLOOKUP(L120,NC導入施設!B:B,NC導入施設!E:E)=0,_xlfn.IFS(H120&lt;=5,0,H120&lt;=10,1,H120&lt;=15,2,H120&gt;=16,3),"Null"),"-")</f>
        <v>0</v>
      </c>
      <c r="K120" s="61"/>
      <c r="L120" s="1">
        <v>2311841100</v>
      </c>
    </row>
    <row r="121" spans="1:12" ht="18" customHeight="1" x14ac:dyDescent="0.45">
      <c r="A121" s="13">
        <v>115</v>
      </c>
      <c r="B121" s="42" t="str">
        <f t="shared" si="46"/>
        <v>東京本部</v>
      </c>
      <c r="C121" s="42" t="str">
        <f t="shared" si="46"/>
        <v>そんぽの家　成城南</v>
      </c>
      <c r="D121" s="14" t="s">
        <v>2</v>
      </c>
      <c r="E121" s="15">
        <v>3</v>
      </c>
      <c r="F121" s="17">
        <v>12</v>
      </c>
      <c r="G121" s="17">
        <v>4</v>
      </c>
      <c r="H121" s="15">
        <f t="shared" si="26"/>
        <v>12</v>
      </c>
      <c r="I121" s="45"/>
      <c r="J121" s="19" cm="1">
        <f t="array" ref="J121">IFERROR(IF(_xlfn.XLOOKUP(L121,NC導入施設!B:B,NC導入施設!E:E)=0,_xlfn.IFS(H121&lt;=5,0,H121&lt;=10,1,H121&lt;=15,2,H121&gt;=16,3),"Null"),"-")</f>
        <v>2</v>
      </c>
      <c r="K121" s="62"/>
      <c r="L121" s="1">
        <v>2311841100</v>
      </c>
    </row>
    <row r="122" spans="1:12" ht="18" customHeight="1" x14ac:dyDescent="0.45">
      <c r="A122" s="8">
        <v>116</v>
      </c>
      <c r="B122" s="34" t="s">
        <v>8</v>
      </c>
      <c r="C122" s="34" t="s">
        <v>203</v>
      </c>
      <c r="D122" s="9" t="s">
        <v>3</v>
      </c>
      <c r="E122" s="10">
        <v>1</v>
      </c>
      <c r="F122" s="12">
        <v>8</v>
      </c>
      <c r="G122" s="12">
        <v>8</v>
      </c>
      <c r="H122" s="10">
        <f t="shared" si="26"/>
        <v>8</v>
      </c>
      <c r="I122" s="37" cm="1">
        <f t="array" ref="I122">IF(J122="-","-",_xlfn.IFS(K122&lt;=5,0,K122&lt;=10,1,K122&lt;=15,2,K122&gt;=16,3))</f>
        <v>2</v>
      </c>
      <c r="J122" s="19" cm="1">
        <f t="array" ref="J122">IFERROR(IF(_xlfn.XLOOKUP(L122,NC導入施設!B:B,NC導入施設!E:E)=0,_xlfn.IFS(H122&lt;=5,0,H122&lt;=10,1,H122&lt;=15,2,H122&gt;=16,3),"Null"),"-")</f>
        <v>1</v>
      </c>
      <c r="K122" s="60">
        <f t="shared" ref="K122" si="47">IFERROR(SUM(H122:H126),"-")</f>
        <v>12</v>
      </c>
      <c r="L122" s="1">
        <v>2311851100</v>
      </c>
    </row>
    <row r="123" spans="1:12" ht="18" customHeight="1" x14ac:dyDescent="0.45">
      <c r="A123" s="8">
        <v>117</v>
      </c>
      <c r="B123" s="35" t="str">
        <f t="shared" ref="B123:C126" si="48">B122</f>
        <v>東京本部</v>
      </c>
      <c r="C123" s="35" t="str">
        <f t="shared" si="48"/>
        <v>ラヴィーレ成城南</v>
      </c>
      <c r="D123" s="9" t="s">
        <v>4</v>
      </c>
      <c r="E123" s="10">
        <v>1</v>
      </c>
      <c r="F123" s="12">
        <v>3</v>
      </c>
      <c r="G123" s="12">
        <v>3</v>
      </c>
      <c r="H123" s="10">
        <f t="shared" si="26"/>
        <v>3</v>
      </c>
      <c r="I123" s="38"/>
      <c r="J123" s="19" cm="1">
        <f t="array" ref="J123">IFERROR(IF(_xlfn.XLOOKUP(L123,NC導入施設!B:B,NC導入施設!E:E)=0,_xlfn.IFS(H123&lt;=5,0,H123&lt;=10,1,H123&lt;=15,2,H123&gt;=16,3),"Null"),"-")</f>
        <v>0</v>
      </c>
      <c r="K123" s="61"/>
      <c r="L123" s="1">
        <v>2311851100</v>
      </c>
    </row>
    <row r="124" spans="1:12" ht="18" customHeight="1" x14ac:dyDescent="0.45">
      <c r="A124" s="8">
        <v>118</v>
      </c>
      <c r="B124" s="35" t="str">
        <f t="shared" si="48"/>
        <v>東京本部</v>
      </c>
      <c r="C124" s="35" t="str">
        <f t="shared" si="48"/>
        <v>ラヴィーレ成城南</v>
      </c>
      <c r="D124" s="9" t="s">
        <v>5</v>
      </c>
      <c r="E124" s="10">
        <v>2</v>
      </c>
      <c r="F124" s="12">
        <v>0</v>
      </c>
      <c r="G124" s="12">
        <v>0</v>
      </c>
      <c r="H124" s="10">
        <f t="shared" si="26"/>
        <v>0</v>
      </c>
      <c r="I124" s="38"/>
      <c r="J124" s="19" cm="1">
        <f t="array" ref="J124">IFERROR(IF(_xlfn.XLOOKUP(L124,NC導入施設!B:B,NC導入施設!E:E)=0,_xlfn.IFS(H124&lt;=5,0,H124&lt;=10,1,H124&lt;=15,2,H124&gt;=16,3),"Null"),"-")</f>
        <v>0</v>
      </c>
      <c r="K124" s="61"/>
      <c r="L124" s="1">
        <v>2311851100</v>
      </c>
    </row>
    <row r="125" spans="1:12" ht="18" customHeight="1" x14ac:dyDescent="0.45">
      <c r="A125" s="8">
        <v>119</v>
      </c>
      <c r="B125" s="35" t="str">
        <f t="shared" si="48"/>
        <v>東京本部</v>
      </c>
      <c r="C125" s="35" t="str">
        <f t="shared" si="48"/>
        <v>ラヴィーレ成城南</v>
      </c>
      <c r="D125" s="9" t="s">
        <v>6</v>
      </c>
      <c r="E125" s="10">
        <v>7</v>
      </c>
      <c r="F125" s="12">
        <v>0</v>
      </c>
      <c r="G125" s="12">
        <v>0</v>
      </c>
      <c r="H125" s="10">
        <f t="shared" si="26"/>
        <v>0</v>
      </c>
      <c r="I125" s="38"/>
      <c r="J125" s="19" cm="1">
        <f t="array" ref="J125">IFERROR(IF(_xlfn.XLOOKUP(L125,NC導入施設!B:B,NC導入施設!E:E)=0,_xlfn.IFS(H125&lt;=5,0,H125&lt;=10,1,H125&lt;=15,2,H125&gt;=16,3),"Null"),"-")</f>
        <v>0</v>
      </c>
      <c r="K125" s="61"/>
      <c r="L125" s="1">
        <v>2311851100</v>
      </c>
    </row>
    <row r="126" spans="1:12" ht="18" customHeight="1" x14ac:dyDescent="0.45">
      <c r="A126" s="8">
        <v>120</v>
      </c>
      <c r="B126" s="36" t="str">
        <f t="shared" si="48"/>
        <v>東京本部</v>
      </c>
      <c r="C126" s="36" t="str">
        <f t="shared" si="48"/>
        <v>ラヴィーレ成城南</v>
      </c>
      <c r="D126" s="9" t="s">
        <v>2</v>
      </c>
      <c r="E126" s="10">
        <v>3</v>
      </c>
      <c r="F126" s="12">
        <v>1</v>
      </c>
      <c r="G126" s="12">
        <v>0.3</v>
      </c>
      <c r="H126" s="10">
        <f t="shared" si="26"/>
        <v>1</v>
      </c>
      <c r="I126" s="39"/>
      <c r="J126" s="19" cm="1">
        <f t="array" ref="J126">IFERROR(IF(_xlfn.XLOOKUP(L126,NC導入施設!B:B,NC導入施設!E:E)=0,_xlfn.IFS(H126&lt;=5,0,H126&lt;=10,1,H126&lt;=15,2,H126&gt;=16,3),"Null"),"-")</f>
        <v>0</v>
      </c>
      <c r="K126" s="62"/>
      <c r="L126" s="1">
        <v>2311851100</v>
      </c>
    </row>
    <row r="127" spans="1:12" ht="18" customHeight="1" x14ac:dyDescent="0.45">
      <c r="A127" s="13">
        <v>121</v>
      </c>
      <c r="B127" s="40" t="s">
        <v>8</v>
      </c>
      <c r="C127" s="40" t="s">
        <v>19</v>
      </c>
      <c r="D127" s="14" t="s">
        <v>3</v>
      </c>
      <c r="E127" s="15">
        <v>1</v>
      </c>
      <c r="F127" s="17">
        <v>22</v>
      </c>
      <c r="G127" s="17">
        <v>22</v>
      </c>
      <c r="H127" s="15">
        <f t="shared" si="26"/>
        <v>22</v>
      </c>
      <c r="I127" s="43" cm="1">
        <f t="array" ref="I127">IF(J127="-","-",_xlfn.IFS(K127&lt;=5,0,K127&lt;=10,1,K127&lt;=15,2,K127&gt;=16,3))</f>
        <v>3</v>
      </c>
      <c r="J127" s="19" cm="1">
        <f t="array" ref="J127">IFERROR(IF(_xlfn.XLOOKUP(L127,NC導入施設!B:B,NC導入施設!E:E)=0,_xlfn.IFS(H127&lt;=5,0,H127&lt;=10,1,H127&lt;=15,2,H127&gt;=16,3),"Null"),"-")</f>
        <v>3</v>
      </c>
      <c r="K127" s="60">
        <f t="shared" ref="K127" si="49">IFERROR(SUM(H127:H131),"-")</f>
        <v>28</v>
      </c>
      <c r="L127" s="1">
        <v>2311871100</v>
      </c>
    </row>
    <row r="128" spans="1:12" ht="18" customHeight="1" x14ac:dyDescent="0.45">
      <c r="A128" s="13">
        <v>122</v>
      </c>
      <c r="B128" s="41" t="str">
        <f t="shared" ref="B128:C131" si="50">B127</f>
        <v>東京本部</v>
      </c>
      <c r="C128" s="41" t="str">
        <f t="shared" si="50"/>
        <v>そんぽの家　砧南</v>
      </c>
      <c r="D128" s="14" t="s">
        <v>4</v>
      </c>
      <c r="E128" s="15">
        <v>1</v>
      </c>
      <c r="F128" s="17">
        <v>5</v>
      </c>
      <c r="G128" s="17">
        <v>5</v>
      </c>
      <c r="H128" s="15">
        <f t="shared" si="26"/>
        <v>5</v>
      </c>
      <c r="I128" s="44"/>
      <c r="J128" s="19" cm="1">
        <f t="array" ref="J128">IFERROR(IF(_xlfn.XLOOKUP(L128,NC導入施設!B:B,NC導入施設!E:E)=0,_xlfn.IFS(H128&lt;=5,0,H128&lt;=10,1,H128&lt;=15,2,H128&gt;=16,3),"Null"),"-")</f>
        <v>0</v>
      </c>
      <c r="K128" s="61"/>
      <c r="L128" s="1">
        <v>2311871100</v>
      </c>
    </row>
    <row r="129" spans="1:12" ht="18" customHeight="1" x14ac:dyDescent="0.45">
      <c r="A129" s="13">
        <v>123</v>
      </c>
      <c r="B129" s="41" t="str">
        <f t="shared" si="50"/>
        <v>東京本部</v>
      </c>
      <c r="C129" s="41" t="str">
        <f t="shared" si="50"/>
        <v>そんぽの家　砧南</v>
      </c>
      <c r="D129" s="14" t="s">
        <v>5</v>
      </c>
      <c r="E129" s="15">
        <v>1</v>
      </c>
      <c r="F129" s="17">
        <v>0</v>
      </c>
      <c r="G129" s="17">
        <v>0</v>
      </c>
      <c r="H129" s="15">
        <f t="shared" si="26"/>
        <v>0</v>
      </c>
      <c r="I129" s="44"/>
      <c r="J129" s="19" cm="1">
        <f t="array" ref="J129">IFERROR(IF(_xlfn.XLOOKUP(L129,NC導入施設!B:B,NC導入施設!E:E)=0,_xlfn.IFS(H129&lt;=5,0,H129&lt;=10,1,H129&lt;=15,2,H129&gt;=16,3),"Null"),"-")</f>
        <v>0</v>
      </c>
      <c r="K129" s="61"/>
      <c r="L129" s="1">
        <v>2311871100</v>
      </c>
    </row>
    <row r="130" spans="1:12" ht="18" customHeight="1" x14ac:dyDescent="0.45">
      <c r="A130" s="13">
        <v>124</v>
      </c>
      <c r="B130" s="41" t="str">
        <f t="shared" si="50"/>
        <v>東京本部</v>
      </c>
      <c r="C130" s="41" t="str">
        <f t="shared" si="50"/>
        <v>そんぽの家　砧南</v>
      </c>
      <c r="D130" s="14" t="s">
        <v>6</v>
      </c>
      <c r="E130" s="15">
        <v>2</v>
      </c>
      <c r="F130" s="17">
        <v>0</v>
      </c>
      <c r="G130" s="17">
        <v>0</v>
      </c>
      <c r="H130" s="15">
        <f t="shared" si="26"/>
        <v>0</v>
      </c>
      <c r="I130" s="44"/>
      <c r="J130" s="19" cm="1">
        <f t="array" ref="J130">IFERROR(IF(_xlfn.XLOOKUP(L130,NC導入施設!B:B,NC導入施設!E:E)=0,_xlfn.IFS(H130&lt;=5,0,H130&lt;=10,1,H130&lt;=15,2,H130&gt;=16,3),"Null"),"-")</f>
        <v>0</v>
      </c>
      <c r="K130" s="61"/>
      <c r="L130" s="1">
        <v>2311871100</v>
      </c>
    </row>
    <row r="131" spans="1:12" ht="18" customHeight="1" x14ac:dyDescent="0.45">
      <c r="A131" s="13">
        <v>125</v>
      </c>
      <c r="B131" s="42" t="str">
        <f t="shared" si="50"/>
        <v>東京本部</v>
      </c>
      <c r="C131" s="42" t="str">
        <f t="shared" si="50"/>
        <v>そんぽの家　砧南</v>
      </c>
      <c r="D131" s="14" t="s">
        <v>2</v>
      </c>
      <c r="E131" s="15">
        <v>1</v>
      </c>
      <c r="F131" s="17">
        <v>1</v>
      </c>
      <c r="G131" s="17">
        <v>1</v>
      </c>
      <c r="H131" s="15">
        <f t="shared" si="26"/>
        <v>1</v>
      </c>
      <c r="I131" s="45"/>
      <c r="J131" s="19" cm="1">
        <f t="array" ref="J131">IFERROR(IF(_xlfn.XLOOKUP(L131,NC導入施設!B:B,NC導入施設!E:E)=0,_xlfn.IFS(H131&lt;=5,0,H131&lt;=10,1,H131&lt;=15,2,H131&gt;=16,3),"Null"),"-")</f>
        <v>0</v>
      </c>
      <c r="K131" s="62"/>
      <c r="L131" s="1">
        <v>2311871100</v>
      </c>
    </row>
    <row r="132" spans="1:12" ht="18" customHeight="1" x14ac:dyDescent="0.45">
      <c r="A132" s="8">
        <v>126</v>
      </c>
      <c r="B132" s="34" t="s">
        <v>8</v>
      </c>
      <c r="C132" s="34" t="s">
        <v>204</v>
      </c>
      <c r="D132" s="9" t="s">
        <v>3</v>
      </c>
      <c r="E132" s="10">
        <v>1</v>
      </c>
      <c r="F132" s="12">
        <v>9</v>
      </c>
      <c r="G132" s="12">
        <v>9</v>
      </c>
      <c r="H132" s="10">
        <f t="shared" si="26"/>
        <v>9</v>
      </c>
      <c r="I132" s="37" cm="1">
        <f t="array" ref="I132">IF(J132="-","-",_xlfn.IFS(K132&lt;=5,0,K132&lt;=10,1,K132&lt;=15,2,K132&gt;=16,3))</f>
        <v>2</v>
      </c>
      <c r="J132" s="19" cm="1">
        <f t="array" ref="J132">IFERROR(IF(_xlfn.XLOOKUP(L132,NC導入施設!B:B,NC導入施設!E:E)=0,_xlfn.IFS(H132&lt;=5,0,H132&lt;=10,1,H132&lt;=15,2,H132&gt;=16,3),"Null"),"-")</f>
        <v>1</v>
      </c>
      <c r="K132" s="60">
        <f t="shared" ref="K132" si="51">IFERROR(SUM(H132:H136),"-")</f>
        <v>11</v>
      </c>
      <c r="L132" s="1">
        <v>2311881100</v>
      </c>
    </row>
    <row r="133" spans="1:12" ht="18" customHeight="1" x14ac:dyDescent="0.45">
      <c r="A133" s="8">
        <v>127</v>
      </c>
      <c r="B133" s="35" t="str">
        <f t="shared" ref="B133:C136" si="52">B132</f>
        <v>東京本部</v>
      </c>
      <c r="C133" s="35" t="str">
        <f t="shared" si="52"/>
        <v>ラヴィーレ二子玉川</v>
      </c>
      <c r="D133" s="9" t="s">
        <v>4</v>
      </c>
      <c r="E133" s="10">
        <v>1</v>
      </c>
      <c r="F133" s="12">
        <v>0</v>
      </c>
      <c r="G133" s="12">
        <v>0</v>
      </c>
      <c r="H133" s="10">
        <f t="shared" si="26"/>
        <v>0</v>
      </c>
      <c r="I133" s="38"/>
      <c r="J133" s="19" cm="1">
        <f t="array" ref="J133">IFERROR(IF(_xlfn.XLOOKUP(L133,NC導入施設!B:B,NC導入施設!E:E)=0,_xlfn.IFS(H133&lt;=5,0,H133&lt;=10,1,H133&lt;=15,2,H133&gt;=16,3),"Null"),"-")</f>
        <v>0</v>
      </c>
      <c r="K133" s="61"/>
      <c r="L133" s="1">
        <v>2311881100</v>
      </c>
    </row>
    <row r="134" spans="1:12" ht="18" customHeight="1" x14ac:dyDescent="0.45">
      <c r="A134" s="8">
        <v>128</v>
      </c>
      <c r="B134" s="35" t="str">
        <f t="shared" si="52"/>
        <v>東京本部</v>
      </c>
      <c r="C134" s="35" t="str">
        <f t="shared" si="52"/>
        <v>ラヴィーレ二子玉川</v>
      </c>
      <c r="D134" s="9" t="s">
        <v>5</v>
      </c>
      <c r="E134" s="10">
        <v>1</v>
      </c>
      <c r="F134" s="12">
        <v>0</v>
      </c>
      <c r="G134" s="12">
        <v>0</v>
      </c>
      <c r="H134" s="10">
        <f t="shared" si="26"/>
        <v>0</v>
      </c>
      <c r="I134" s="38"/>
      <c r="J134" s="19" cm="1">
        <f t="array" ref="J134">IFERROR(IF(_xlfn.XLOOKUP(L134,NC導入施設!B:B,NC導入施設!E:E)=0,_xlfn.IFS(H134&lt;=5,0,H134&lt;=10,1,H134&lt;=15,2,H134&gt;=16,3),"Null"),"-")</f>
        <v>0</v>
      </c>
      <c r="K134" s="61"/>
      <c r="L134" s="1">
        <v>2311881100</v>
      </c>
    </row>
    <row r="135" spans="1:12" ht="18" customHeight="1" x14ac:dyDescent="0.45">
      <c r="A135" s="8">
        <v>129</v>
      </c>
      <c r="B135" s="35" t="str">
        <f t="shared" si="52"/>
        <v>東京本部</v>
      </c>
      <c r="C135" s="35" t="str">
        <f t="shared" si="52"/>
        <v>ラヴィーレ二子玉川</v>
      </c>
      <c r="D135" s="9" t="s">
        <v>6</v>
      </c>
      <c r="E135" s="10">
        <v>5</v>
      </c>
      <c r="F135" s="12">
        <v>0</v>
      </c>
      <c r="G135" s="12">
        <v>0</v>
      </c>
      <c r="H135" s="10">
        <f t="shared" si="26"/>
        <v>0</v>
      </c>
      <c r="I135" s="38"/>
      <c r="J135" s="19" cm="1">
        <f t="array" ref="J135">IFERROR(IF(_xlfn.XLOOKUP(L135,NC導入施設!B:B,NC導入施設!E:E)=0,_xlfn.IFS(H135&lt;=5,0,H135&lt;=10,1,H135&lt;=15,2,H135&gt;=16,3),"Null"),"-")</f>
        <v>0</v>
      </c>
      <c r="K135" s="61"/>
      <c r="L135" s="1">
        <v>2311881100</v>
      </c>
    </row>
    <row r="136" spans="1:12" ht="18" customHeight="1" x14ac:dyDescent="0.45">
      <c r="A136" s="8">
        <v>130</v>
      </c>
      <c r="B136" s="36" t="str">
        <f t="shared" si="52"/>
        <v>東京本部</v>
      </c>
      <c r="C136" s="36" t="str">
        <f t="shared" si="52"/>
        <v>ラヴィーレ二子玉川</v>
      </c>
      <c r="D136" s="9" t="s">
        <v>2</v>
      </c>
      <c r="E136" s="10">
        <v>1</v>
      </c>
      <c r="F136" s="12">
        <v>2</v>
      </c>
      <c r="G136" s="12">
        <v>2</v>
      </c>
      <c r="H136" s="10">
        <f t="shared" ref="H136:H199" si="53">F136</f>
        <v>2</v>
      </c>
      <c r="I136" s="39"/>
      <c r="J136" s="19" cm="1">
        <f t="array" ref="J136">IFERROR(IF(_xlfn.XLOOKUP(L136,NC導入施設!B:B,NC導入施設!E:E)=0,_xlfn.IFS(H136&lt;=5,0,H136&lt;=10,1,H136&lt;=15,2,H136&gt;=16,3),"Null"),"-")</f>
        <v>0</v>
      </c>
      <c r="K136" s="62"/>
      <c r="L136" s="1">
        <v>2311881100</v>
      </c>
    </row>
    <row r="137" spans="1:12" ht="18" customHeight="1" x14ac:dyDescent="0.45">
      <c r="A137" s="13">
        <v>131</v>
      </c>
      <c r="B137" s="40" t="s">
        <v>8</v>
      </c>
      <c r="C137" s="40" t="s">
        <v>20</v>
      </c>
      <c r="D137" s="14" t="s">
        <v>3</v>
      </c>
      <c r="E137" s="15">
        <v>1</v>
      </c>
      <c r="F137" s="17">
        <v>2</v>
      </c>
      <c r="G137" s="17">
        <v>2</v>
      </c>
      <c r="H137" s="15">
        <f t="shared" si="53"/>
        <v>2</v>
      </c>
      <c r="I137" s="43" cm="1">
        <f t="array" ref="I137">IF(J137="-","-",_xlfn.IFS(K137&lt;=5,0,K137&lt;=10,1,K137&lt;=15,2,K137&gt;=16,3))</f>
        <v>2</v>
      </c>
      <c r="J137" s="19" cm="1">
        <f t="array" ref="J137">IFERROR(IF(_xlfn.XLOOKUP(L137,NC導入施設!B:B,NC導入施設!E:E)=0,_xlfn.IFS(H137&lt;=5,0,H137&lt;=10,1,H137&lt;=15,2,H137&gt;=16,3),"Null"),"-")</f>
        <v>0</v>
      </c>
      <c r="K137" s="60">
        <f t="shared" ref="K137" si="54">IFERROR(SUM(H137:H141),"-")</f>
        <v>13</v>
      </c>
      <c r="L137" s="1">
        <v>2312001100</v>
      </c>
    </row>
    <row r="138" spans="1:12" ht="18" customHeight="1" x14ac:dyDescent="0.45">
      <c r="A138" s="13">
        <v>132</v>
      </c>
      <c r="B138" s="41" t="str">
        <f t="shared" ref="B138:C141" si="55">B137</f>
        <v>東京本部</v>
      </c>
      <c r="C138" s="41" t="str">
        <f t="shared" si="55"/>
        <v>そんぽの家　ときわ台</v>
      </c>
      <c r="D138" s="14" t="s">
        <v>4</v>
      </c>
      <c r="E138" s="15">
        <v>1</v>
      </c>
      <c r="F138" s="17">
        <v>7</v>
      </c>
      <c r="G138" s="17">
        <v>7</v>
      </c>
      <c r="H138" s="15">
        <f t="shared" si="53"/>
        <v>7</v>
      </c>
      <c r="I138" s="44"/>
      <c r="J138" s="19" cm="1">
        <f t="array" ref="J138">IFERROR(IF(_xlfn.XLOOKUP(L138,NC導入施設!B:B,NC導入施設!E:E)=0,_xlfn.IFS(H138&lt;=5,0,H138&lt;=10,1,H138&lt;=15,2,H138&gt;=16,3),"Null"),"-")</f>
        <v>1</v>
      </c>
      <c r="K138" s="61"/>
      <c r="L138" s="1">
        <v>2312001100</v>
      </c>
    </row>
    <row r="139" spans="1:12" ht="18" customHeight="1" x14ac:dyDescent="0.45">
      <c r="A139" s="13">
        <v>133</v>
      </c>
      <c r="B139" s="41" t="str">
        <f t="shared" si="55"/>
        <v>東京本部</v>
      </c>
      <c r="C139" s="41" t="str">
        <f t="shared" si="55"/>
        <v>そんぽの家　ときわ台</v>
      </c>
      <c r="D139" s="14" t="s">
        <v>5</v>
      </c>
      <c r="E139" s="15">
        <v>2</v>
      </c>
      <c r="F139" s="17">
        <v>3</v>
      </c>
      <c r="G139" s="17">
        <v>1.5</v>
      </c>
      <c r="H139" s="15">
        <f t="shared" si="53"/>
        <v>3</v>
      </c>
      <c r="I139" s="44"/>
      <c r="J139" s="19" cm="1">
        <f t="array" ref="J139">IFERROR(IF(_xlfn.XLOOKUP(L139,NC導入施設!B:B,NC導入施設!E:E)=0,_xlfn.IFS(H139&lt;=5,0,H139&lt;=10,1,H139&lt;=15,2,H139&gt;=16,3),"Null"),"-")</f>
        <v>0</v>
      </c>
      <c r="K139" s="61"/>
      <c r="L139" s="1">
        <v>2312001100</v>
      </c>
    </row>
    <row r="140" spans="1:12" ht="18" customHeight="1" x14ac:dyDescent="0.45">
      <c r="A140" s="13">
        <v>134</v>
      </c>
      <c r="B140" s="41" t="str">
        <f t="shared" si="55"/>
        <v>東京本部</v>
      </c>
      <c r="C140" s="41" t="str">
        <f t="shared" si="55"/>
        <v>そんぽの家　ときわ台</v>
      </c>
      <c r="D140" s="14" t="s">
        <v>6</v>
      </c>
      <c r="E140" s="15">
        <v>3</v>
      </c>
      <c r="F140" s="17">
        <v>1</v>
      </c>
      <c r="G140" s="17">
        <v>0.3</v>
      </c>
      <c r="H140" s="15">
        <f t="shared" si="53"/>
        <v>1</v>
      </c>
      <c r="I140" s="44"/>
      <c r="J140" s="19" cm="1">
        <f t="array" ref="J140">IFERROR(IF(_xlfn.XLOOKUP(L140,NC導入施設!B:B,NC導入施設!E:E)=0,_xlfn.IFS(H140&lt;=5,0,H140&lt;=10,1,H140&lt;=15,2,H140&gt;=16,3),"Null"),"-")</f>
        <v>0</v>
      </c>
      <c r="K140" s="61"/>
      <c r="L140" s="1">
        <v>2312001100</v>
      </c>
    </row>
    <row r="141" spans="1:12" ht="18" customHeight="1" x14ac:dyDescent="0.45">
      <c r="A141" s="13">
        <v>135</v>
      </c>
      <c r="B141" s="42" t="str">
        <f t="shared" si="55"/>
        <v>東京本部</v>
      </c>
      <c r="C141" s="42" t="str">
        <f t="shared" si="55"/>
        <v>そんぽの家　ときわ台</v>
      </c>
      <c r="D141" s="14" t="s">
        <v>2</v>
      </c>
      <c r="E141" s="15">
        <v>2</v>
      </c>
      <c r="F141" s="17">
        <v>0</v>
      </c>
      <c r="G141" s="17">
        <v>0</v>
      </c>
      <c r="H141" s="15">
        <f t="shared" si="53"/>
        <v>0</v>
      </c>
      <c r="I141" s="45"/>
      <c r="J141" s="19" cm="1">
        <f t="array" ref="J141">IFERROR(IF(_xlfn.XLOOKUP(L141,NC導入施設!B:B,NC導入施設!E:E)=0,_xlfn.IFS(H141&lt;=5,0,H141&lt;=10,1,H141&lt;=15,2,H141&gt;=16,3),"Null"),"-")</f>
        <v>0</v>
      </c>
      <c r="K141" s="62"/>
      <c r="L141" s="1">
        <v>2312001100</v>
      </c>
    </row>
    <row r="142" spans="1:12" ht="18" customHeight="1" x14ac:dyDescent="0.45">
      <c r="A142" s="8">
        <v>136</v>
      </c>
      <c r="B142" s="34" t="s">
        <v>8</v>
      </c>
      <c r="C142" s="34" t="s">
        <v>21</v>
      </c>
      <c r="D142" s="9" t="s">
        <v>3</v>
      </c>
      <c r="E142" s="10">
        <v>1</v>
      </c>
      <c r="F142" s="12">
        <v>4</v>
      </c>
      <c r="G142" s="12">
        <v>4</v>
      </c>
      <c r="H142" s="10">
        <f t="shared" si="53"/>
        <v>4</v>
      </c>
      <c r="I142" s="37" cm="1">
        <f t="array" ref="I142">IF(J142="-","-",_xlfn.IFS(K142&lt;=5,0,K142&lt;=10,1,K142&lt;=15,2,K142&gt;=16,3))</f>
        <v>1</v>
      </c>
      <c r="J142" s="19" cm="1">
        <f t="array" ref="J142">IFERROR(IF(_xlfn.XLOOKUP(L142,NC導入施設!B:B,NC導入施設!E:E)=0,_xlfn.IFS(H142&lt;=5,0,H142&lt;=10,1,H142&lt;=15,2,H142&gt;=16,3),"Null"),"-")</f>
        <v>0</v>
      </c>
      <c r="K142" s="60">
        <f t="shared" ref="K142" si="56">IFERROR(SUM(H142:H146),"-")</f>
        <v>9</v>
      </c>
      <c r="L142" s="1">
        <v>2312041100</v>
      </c>
    </row>
    <row r="143" spans="1:12" ht="18" customHeight="1" x14ac:dyDescent="0.45">
      <c r="A143" s="8">
        <v>137</v>
      </c>
      <c r="B143" s="35" t="str">
        <f t="shared" ref="B143:C146" si="57">B142</f>
        <v>東京本部</v>
      </c>
      <c r="C143" s="35" t="str">
        <f t="shared" si="57"/>
        <v>そんぽの家　板橋徳丸</v>
      </c>
      <c r="D143" s="9" t="s">
        <v>4</v>
      </c>
      <c r="E143" s="10">
        <v>1</v>
      </c>
      <c r="F143" s="12">
        <v>2</v>
      </c>
      <c r="G143" s="12">
        <v>2</v>
      </c>
      <c r="H143" s="10">
        <f t="shared" si="53"/>
        <v>2</v>
      </c>
      <c r="I143" s="38"/>
      <c r="J143" s="19" cm="1">
        <f t="array" ref="J143">IFERROR(IF(_xlfn.XLOOKUP(L143,NC導入施設!B:B,NC導入施設!E:E)=0,_xlfn.IFS(H143&lt;=5,0,H143&lt;=10,1,H143&lt;=15,2,H143&gt;=16,3),"Null"),"-")</f>
        <v>0</v>
      </c>
      <c r="K143" s="61"/>
      <c r="L143" s="1">
        <v>2312041100</v>
      </c>
    </row>
    <row r="144" spans="1:12" ht="18" customHeight="1" x14ac:dyDescent="0.45">
      <c r="A144" s="8">
        <v>138</v>
      </c>
      <c r="B144" s="35" t="str">
        <f t="shared" si="57"/>
        <v>東京本部</v>
      </c>
      <c r="C144" s="35" t="str">
        <f t="shared" si="57"/>
        <v>そんぽの家　板橋徳丸</v>
      </c>
      <c r="D144" s="9" t="s">
        <v>5</v>
      </c>
      <c r="E144" s="10">
        <v>1</v>
      </c>
      <c r="F144" s="12">
        <v>0</v>
      </c>
      <c r="G144" s="12">
        <v>0</v>
      </c>
      <c r="H144" s="10">
        <f t="shared" si="53"/>
        <v>0</v>
      </c>
      <c r="I144" s="38"/>
      <c r="J144" s="19" cm="1">
        <f t="array" ref="J144">IFERROR(IF(_xlfn.XLOOKUP(L144,NC導入施設!B:B,NC導入施設!E:E)=0,_xlfn.IFS(H144&lt;=5,0,H144&lt;=10,1,H144&lt;=15,2,H144&gt;=16,3),"Null"),"-")</f>
        <v>0</v>
      </c>
      <c r="K144" s="61"/>
      <c r="L144" s="1">
        <v>2312041100</v>
      </c>
    </row>
    <row r="145" spans="1:12" ht="18" customHeight="1" x14ac:dyDescent="0.45">
      <c r="A145" s="8">
        <v>139</v>
      </c>
      <c r="B145" s="35" t="str">
        <f t="shared" si="57"/>
        <v>東京本部</v>
      </c>
      <c r="C145" s="35" t="str">
        <f t="shared" si="57"/>
        <v>そんぽの家　板橋徳丸</v>
      </c>
      <c r="D145" s="9" t="s">
        <v>6</v>
      </c>
      <c r="E145" s="10">
        <v>3</v>
      </c>
      <c r="F145" s="12">
        <v>0</v>
      </c>
      <c r="G145" s="12">
        <v>0</v>
      </c>
      <c r="H145" s="10">
        <f t="shared" si="53"/>
        <v>0</v>
      </c>
      <c r="I145" s="38"/>
      <c r="J145" s="19" cm="1">
        <f t="array" ref="J145">IFERROR(IF(_xlfn.XLOOKUP(L145,NC導入施設!B:B,NC導入施設!E:E)=0,_xlfn.IFS(H145&lt;=5,0,H145&lt;=10,1,H145&lt;=15,2,H145&gt;=16,3),"Null"),"-")</f>
        <v>0</v>
      </c>
      <c r="K145" s="61"/>
      <c r="L145" s="1">
        <v>2312041100</v>
      </c>
    </row>
    <row r="146" spans="1:12" ht="18" customHeight="1" x14ac:dyDescent="0.45">
      <c r="A146" s="8">
        <v>140</v>
      </c>
      <c r="B146" s="36" t="str">
        <f t="shared" si="57"/>
        <v>東京本部</v>
      </c>
      <c r="C146" s="36" t="str">
        <f t="shared" si="57"/>
        <v>そんぽの家　板橋徳丸</v>
      </c>
      <c r="D146" s="9" t="s">
        <v>2</v>
      </c>
      <c r="E146" s="10">
        <v>2</v>
      </c>
      <c r="F146" s="12">
        <v>3</v>
      </c>
      <c r="G146" s="12">
        <v>1.5</v>
      </c>
      <c r="H146" s="10">
        <f t="shared" si="53"/>
        <v>3</v>
      </c>
      <c r="I146" s="39"/>
      <c r="J146" s="19" cm="1">
        <f t="array" ref="J146">IFERROR(IF(_xlfn.XLOOKUP(L146,NC導入施設!B:B,NC導入施設!E:E)=0,_xlfn.IFS(H146&lt;=5,0,H146&lt;=10,1,H146&lt;=15,2,H146&gt;=16,3),"Null"),"-")</f>
        <v>0</v>
      </c>
      <c r="K146" s="62"/>
      <c r="L146" s="1">
        <v>2312041100</v>
      </c>
    </row>
    <row r="147" spans="1:12" ht="18" customHeight="1" x14ac:dyDescent="0.45">
      <c r="A147" s="13">
        <v>141</v>
      </c>
      <c r="B147" s="40" t="s">
        <v>8</v>
      </c>
      <c r="C147" s="40" t="s">
        <v>205</v>
      </c>
      <c r="D147" s="14" t="s">
        <v>3</v>
      </c>
      <c r="E147" s="15">
        <v>1</v>
      </c>
      <c r="F147" s="17">
        <v>8</v>
      </c>
      <c r="G147" s="17">
        <v>8</v>
      </c>
      <c r="H147" s="15">
        <f t="shared" si="53"/>
        <v>8</v>
      </c>
      <c r="I147" s="43" cm="1">
        <f t="array" ref="I147">IF(J147="-","-",_xlfn.IFS(K147&lt;=5,0,K147&lt;=10,1,K147&lt;=15,2,K147&gt;=16,3))</f>
        <v>3</v>
      </c>
      <c r="J147" s="19" cm="1">
        <f t="array" ref="J147">IFERROR(IF(_xlfn.XLOOKUP(L147,NC導入施設!B:B,NC導入施設!E:E)=0,_xlfn.IFS(H147&lt;=5,0,H147&lt;=10,1,H147&lt;=15,2,H147&gt;=16,3),"Null"),"-")</f>
        <v>1</v>
      </c>
      <c r="K147" s="60">
        <f t="shared" ref="K147" si="58">IFERROR(SUM(H147:H151),"-")</f>
        <v>47</v>
      </c>
      <c r="L147" s="1">
        <v>2312071100</v>
      </c>
    </row>
    <row r="148" spans="1:12" ht="18" customHeight="1" x14ac:dyDescent="0.45">
      <c r="A148" s="13">
        <v>142</v>
      </c>
      <c r="B148" s="41" t="str">
        <f t="shared" ref="B148:C151" si="59">B147</f>
        <v>東京本部</v>
      </c>
      <c r="C148" s="41" t="str">
        <f t="shared" si="59"/>
        <v>ラヴィーレ高島平</v>
      </c>
      <c r="D148" s="14" t="s">
        <v>4</v>
      </c>
      <c r="E148" s="15">
        <v>2</v>
      </c>
      <c r="F148" s="17">
        <v>0</v>
      </c>
      <c r="G148" s="17">
        <v>0</v>
      </c>
      <c r="H148" s="15">
        <f t="shared" si="53"/>
        <v>0</v>
      </c>
      <c r="I148" s="44"/>
      <c r="J148" s="19" cm="1">
        <f t="array" ref="J148">IFERROR(IF(_xlfn.XLOOKUP(L148,NC導入施設!B:B,NC導入施設!E:E)=0,_xlfn.IFS(H148&lt;=5,0,H148&lt;=10,1,H148&lt;=15,2,H148&gt;=16,3),"Null"),"-")</f>
        <v>0</v>
      </c>
      <c r="K148" s="61"/>
      <c r="L148" s="1">
        <v>2312071100</v>
      </c>
    </row>
    <row r="149" spans="1:12" ht="18" customHeight="1" x14ac:dyDescent="0.45">
      <c r="A149" s="13">
        <v>143</v>
      </c>
      <c r="B149" s="41" t="str">
        <f t="shared" si="59"/>
        <v>東京本部</v>
      </c>
      <c r="C149" s="41" t="str">
        <f t="shared" si="59"/>
        <v>ラヴィーレ高島平</v>
      </c>
      <c r="D149" s="14" t="s">
        <v>5</v>
      </c>
      <c r="E149" s="15">
        <v>1</v>
      </c>
      <c r="F149" s="17">
        <v>23</v>
      </c>
      <c r="G149" s="17">
        <v>23</v>
      </c>
      <c r="H149" s="15">
        <f t="shared" si="53"/>
        <v>23</v>
      </c>
      <c r="I149" s="44"/>
      <c r="J149" s="19" cm="1">
        <f t="array" ref="J149">IFERROR(IF(_xlfn.XLOOKUP(L149,NC導入施設!B:B,NC導入施設!E:E)=0,_xlfn.IFS(H149&lt;=5,0,H149&lt;=10,1,H149&lt;=15,2,H149&gt;=16,3),"Null"),"-")</f>
        <v>3</v>
      </c>
      <c r="K149" s="61"/>
      <c r="L149" s="1">
        <v>2312071100</v>
      </c>
    </row>
    <row r="150" spans="1:12" ht="18" customHeight="1" x14ac:dyDescent="0.45">
      <c r="A150" s="13">
        <v>144</v>
      </c>
      <c r="B150" s="41" t="str">
        <f t="shared" si="59"/>
        <v>東京本部</v>
      </c>
      <c r="C150" s="41" t="str">
        <f t="shared" si="59"/>
        <v>ラヴィーレ高島平</v>
      </c>
      <c r="D150" s="14" t="s">
        <v>6</v>
      </c>
      <c r="E150" s="15">
        <v>3</v>
      </c>
      <c r="F150" s="17">
        <v>1</v>
      </c>
      <c r="G150" s="17">
        <v>0.3</v>
      </c>
      <c r="H150" s="15">
        <f t="shared" si="53"/>
        <v>1</v>
      </c>
      <c r="I150" s="44"/>
      <c r="J150" s="19" cm="1">
        <f t="array" ref="J150">IFERROR(IF(_xlfn.XLOOKUP(L150,NC導入施設!B:B,NC導入施設!E:E)=0,_xlfn.IFS(H150&lt;=5,0,H150&lt;=10,1,H150&lt;=15,2,H150&gt;=16,3),"Null"),"-")</f>
        <v>0</v>
      </c>
      <c r="K150" s="61"/>
      <c r="L150" s="1">
        <v>2312071100</v>
      </c>
    </row>
    <row r="151" spans="1:12" ht="18" customHeight="1" x14ac:dyDescent="0.45">
      <c r="A151" s="13">
        <v>145</v>
      </c>
      <c r="B151" s="42" t="str">
        <f t="shared" si="59"/>
        <v>東京本部</v>
      </c>
      <c r="C151" s="42" t="str">
        <f t="shared" si="59"/>
        <v>ラヴィーレ高島平</v>
      </c>
      <c r="D151" s="14" t="s">
        <v>2</v>
      </c>
      <c r="E151" s="15">
        <v>2</v>
      </c>
      <c r="F151" s="17">
        <v>15</v>
      </c>
      <c r="G151" s="17">
        <v>7.5</v>
      </c>
      <c r="H151" s="15">
        <f t="shared" si="53"/>
        <v>15</v>
      </c>
      <c r="I151" s="45"/>
      <c r="J151" s="19" cm="1">
        <f t="array" ref="J151">IFERROR(IF(_xlfn.XLOOKUP(L151,NC導入施設!B:B,NC導入施設!E:E)=0,_xlfn.IFS(H151&lt;=5,0,H151&lt;=10,1,H151&lt;=15,2,H151&gt;=16,3),"Null"),"-")</f>
        <v>2</v>
      </c>
      <c r="K151" s="62"/>
      <c r="L151" s="1">
        <v>2312071100</v>
      </c>
    </row>
    <row r="152" spans="1:12" ht="18" customHeight="1" x14ac:dyDescent="0.45">
      <c r="A152" s="8">
        <v>146</v>
      </c>
      <c r="B152" s="34" t="s">
        <v>8</v>
      </c>
      <c r="C152" s="34" t="s">
        <v>206</v>
      </c>
      <c r="D152" s="9" t="s">
        <v>3</v>
      </c>
      <c r="E152" s="10">
        <v>1</v>
      </c>
      <c r="F152" s="12">
        <v>3</v>
      </c>
      <c r="G152" s="12">
        <v>3</v>
      </c>
      <c r="H152" s="10">
        <f t="shared" si="53"/>
        <v>3</v>
      </c>
      <c r="I152" s="37" cm="1">
        <f t="array" ref="I152">IF(J152="-","-",_xlfn.IFS(K152&lt;=5,0,K152&lt;=10,1,K152&lt;=15,2,K152&gt;=16,3))</f>
        <v>1</v>
      </c>
      <c r="J152" s="19" cm="1">
        <f t="array" ref="J152">IFERROR(IF(_xlfn.XLOOKUP(L152,NC導入施設!B:B,NC導入施設!E:E)=0,_xlfn.IFS(H152&lt;=5,0,H152&lt;=10,1,H152&lt;=15,2,H152&gt;=16,3),"Null"),"-")</f>
        <v>0</v>
      </c>
      <c r="K152" s="60">
        <f t="shared" ref="K152" si="60">IFERROR(SUM(H152:H156),"-")</f>
        <v>9</v>
      </c>
      <c r="L152" s="1">
        <v>2312101100</v>
      </c>
    </row>
    <row r="153" spans="1:12" ht="18" customHeight="1" x14ac:dyDescent="0.45">
      <c r="A153" s="8">
        <v>147</v>
      </c>
      <c r="B153" s="35" t="str">
        <f t="shared" ref="B153:C156" si="61">B152</f>
        <v>東京本部</v>
      </c>
      <c r="C153" s="35" t="str">
        <f t="shared" si="61"/>
        <v>ラヴィーレ赤塚公園</v>
      </c>
      <c r="D153" s="9" t="s">
        <v>4</v>
      </c>
      <c r="E153" s="10">
        <v>1</v>
      </c>
      <c r="F153" s="12">
        <v>1</v>
      </c>
      <c r="G153" s="12">
        <v>1</v>
      </c>
      <c r="H153" s="10">
        <f t="shared" si="53"/>
        <v>1</v>
      </c>
      <c r="I153" s="38"/>
      <c r="J153" s="19" cm="1">
        <f t="array" ref="J153">IFERROR(IF(_xlfn.XLOOKUP(L153,NC導入施設!B:B,NC導入施設!E:E)=0,_xlfn.IFS(H153&lt;=5,0,H153&lt;=10,1,H153&lt;=15,2,H153&gt;=16,3),"Null"),"-")</f>
        <v>0</v>
      </c>
      <c r="K153" s="61"/>
      <c r="L153" s="1">
        <v>2312101100</v>
      </c>
    </row>
    <row r="154" spans="1:12" ht="18" customHeight="1" x14ac:dyDescent="0.45">
      <c r="A154" s="8">
        <v>148</v>
      </c>
      <c r="B154" s="35" t="str">
        <f t="shared" si="61"/>
        <v>東京本部</v>
      </c>
      <c r="C154" s="35" t="str">
        <f t="shared" si="61"/>
        <v>ラヴィーレ赤塚公園</v>
      </c>
      <c r="D154" s="9" t="s">
        <v>5</v>
      </c>
      <c r="E154" s="10">
        <v>2</v>
      </c>
      <c r="F154" s="12">
        <v>3</v>
      </c>
      <c r="G154" s="12">
        <v>1.5</v>
      </c>
      <c r="H154" s="10">
        <f t="shared" si="53"/>
        <v>3</v>
      </c>
      <c r="I154" s="38"/>
      <c r="J154" s="19" cm="1">
        <f t="array" ref="J154">IFERROR(IF(_xlfn.XLOOKUP(L154,NC導入施設!B:B,NC導入施設!E:E)=0,_xlfn.IFS(H154&lt;=5,0,H154&lt;=10,1,H154&lt;=15,2,H154&gt;=16,3),"Null"),"-")</f>
        <v>0</v>
      </c>
      <c r="K154" s="61"/>
      <c r="L154" s="1">
        <v>2312101100</v>
      </c>
    </row>
    <row r="155" spans="1:12" ht="18" customHeight="1" x14ac:dyDescent="0.45">
      <c r="A155" s="8">
        <v>149</v>
      </c>
      <c r="B155" s="35" t="str">
        <f t="shared" si="61"/>
        <v>東京本部</v>
      </c>
      <c r="C155" s="35" t="str">
        <f t="shared" si="61"/>
        <v>ラヴィーレ赤塚公園</v>
      </c>
      <c r="D155" s="9" t="s">
        <v>6</v>
      </c>
      <c r="E155" s="10">
        <v>3</v>
      </c>
      <c r="F155" s="12">
        <v>0</v>
      </c>
      <c r="G155" s="12">
        <v>0</v>
      </c>
      <c r="H155" s="10">
        <f t="shared" si="53"/>
        <v>0</v>
      </c>
      <c r="I155" s="38"/>
      <c r="J155" s="19" cm="1">
        <f t="array" ref="J155">IFERROR(IF(_xlfn.XLOOKUP(L155,NC導入施設!B:B,NC導入施設!E:E)=0,_xlfn.IFS(H155&lt;=5,0,H155&lt;=10,1,H155&lt;=15,2,H155&gt;=16,3),"Null"),"-")</f>
        <v>0</v>
      </c>
      <c r="K155" s="61"/>
      <c r="L155" s="1">
        <v>2312101100</v>
      </c>
    </row>
    <row r="156" spans="1:12" ht="18" customHeight="1" x14ac:dyDescent="0.45">
      <c r="A156" s="8">
        <v>150</v>
      </c>
      <c r="B156" s="36" t="str">
        <f t="shared" si="61"/>
        <v>東京本部</v>
      </c>
      <c r="C156" s="36" t="str">
        <f t="shared" si="61"/>
        <v>ラヴィーレ赤塚公園</v>
      </c>
      <c r="D156" s="9" t="s">
        <v>2</v>
      </c>
      <c r="E156" s="10">
        <v>2</v>
      </c>
      <c r="F156" s="12">
        <v>2</v>
      </c>
      <c r="G156" s="12">
        <v>1</v>
      </c>
      <c r="H156" s="10">
        <f t="shared" si="53"/>
        <v>2</v>
      </c>
      <c r="I156" s="39"/>
      <c r="J156" s="19" cm="1">
        <f t="array" ref="J156">IFERROR(IF(_xlfn.XLOOKUP(L156,NC導入施設!B:B,NC導入施設!E:E)=0,_xlfn.IFS(H156&lt;=5,0,H156&lt;=10,1,H156&lt;=15,2,H156&gt;=16,3),"Null"),"-")</f>
        <v>0</v>
      </c>
      <c r="K156" s="62"/>
      <c r="L156" s="1">
        <v>2312101100</v>
      </c>
    </row>
    <row r="157" spans="1:12" ht="18" customHeight="1" x14ac:dyDescent="0.45">
      <c r="A157" s="13">
        <v>151</v>
      </c>
      <c r="B157" s="40" t="s">
        <v>8</v>
      </c>
      <c r="C157" s="40" t="s">
        <v>22</v>
      </c>
      <c r="D157" s="14" t="s">
        <v>3</v>
      </c>
      <c r="E157" s="15">
        <v>1</v>
      </c>
      <c r="F157" s="17">
        <v>5</v>
      </c>
      <c r="G157" s="17">
        <v>5</v>
      </c>
      <c r="H157" s="15">
        <f t="shared" si="53"/>
        <v>5</v>
      </c>
      <c r="I157" s="43" cm="1">
        <f t="array" ref="I157">IF(J157="-","-",_xlfn.IFS(K157&lt;=5,0,K157&lt;=10,1,K157&lt;=15,2,K157&gt;=16,3))</f>
        <v>2</v>
      </c>
      <c r="J157" s="19" cm="1">
        <f t="array" ref="J157">IFERROR(IF(_xlfn.XLOOKUP(L157,NC導入施設!B:B,NC導入施設!E:E)=0,_xlfn.IFS(H157&lt;=5,0,H157&lt;=10,1,H157&lt;=15,2,H157&gt;=16,3),"Null"),"-")</f>
        <v>0</v>
      </c>
      <c r="K157" s="60">
        <f t="shared" ref="K157" si="62">IFERROR(SUM(H157:H161),"-")</f>
        <v>11</v>
      </c>
      <c r="L157" s="1">
        <v>2312111100</v>
      </c>
    </row>
    <row r="158" spans="1:12" ht="18" customHeight="1" x14ac:dyDescent="0.45">
      <c r="A158" s="13">
        <v>152</v>
      </c>
      <c r="B158" s="41" t="str">
        <f t="shared" ref="B158:C161" si="63">B157</f>
        <v>東京本部</v>
      </c>
      <c r="C158" s="41" t="str">
        <f t="shared" si="63"/>
        <v>そんぽの家　板橋三園</v>
      </c>
      <c r="D158" s="14" t="s">
        <v>4</v>
      </c>
      <c r="E158" s="15">
        <v>1</v>
      </c>
      <c r="F158" s="17">
        <v>0</v>
      </c>
      <c r="G158" s="17">
        <v>0</v>
      </c>
      <c r="H158" s="15">
        <f t="shared" si="53"/>
        <v>0</v>
      </c>
      <c r="I158" s="44"/>
      <c r="J158" s="19" cm="1">
        <f t="array" ref="J158">IFERROR(IF(_xlfn.XLOOKUP(L158,NC導入施設!B:B,NC導入施設!E:E)=0,_xlfn.IFS(H158&lt;=5,0,H158&lt;=10,1,H158&lt;=15,2,H158&gt;=16,3),"Null"),"-")</f>
        <v>0</v>
      </c>
      <c r="K158" s="61"/>
      <c r="L158" s="1">
        <v>2312111100</v>
      </c>
    </row>
    <row r="159" spans="1:12" ht="18" customHeight="1" x14ac:dyDescent="0.45">
      <c r="A159" s="13">
        <v>153</v>
      </c>
      <c r="B159" s="41" t="str">
        <f t="shared" si="63"/>
        <v>東京本部</v>
      </c>
      <c r="C159" s="41" t="str">
        <f t="shared" si="63"/>
        <v>そんぽの家　板橋三園</v>
      </c>
      <c r="D159" s="14" t="s">
        <v>5</v>
      </c>
      <c r="E159" s="15">
        <v>1</v>
      </c>
      <c r="F159" s="17">
        <v>4</v>
      </c>
      <c r="G159" s="17">
        <v>4</v>
      </c>
      <c r="H159" s="15">
        <f t="shared" si="53"/>
        <v>4</v>
      </c>
      <c r="I159" s="44"/>
      <c r="J159" s="19" cm="1">
        <f t="array" ref="J159">IFERROR(IF(_xlfn.XLOOKUP(L159,NC導入施設!B:B,NC導入施設!E:E)=0,_xlfn.IFS(H159&lt;=5,0,H159&lt;=10,1,H159&lt;=15,2,H159&gt;=16,3),"Null"),"-")</f>
        <v>0</v>
      </c>
      <c r="K159" s="61"/>
      <c r="L159" s="1">
        <v>2312111100</v>
      </c>
    </row>
    <row r="160" spans="1:12" ht="18" customHeight="1" x14ac:dyDescent="0.45">
      <c r="A160" s="13">
        <v>154</v>
      </c>
      <c r="B160" s="41" t="str">
        <f t="shared" si="63"/>
        <v>東京本部</v>
      </c>
      <c r="C160" s="41" t="str">
        <f t="shared" si="63"/>
        <v>そんぽの家　板橋三園</v>
      </c>
      <c r="D160" s="14" t="s">
        <v>6</v>
      </c>
      <c r="E160" s="15">
        <v>3</v>
      </c>
      <c r="F160" s="17">
        <v>0</v>
      </c>
      <c r="G160" s="17">
        <v>0</v>
      </c>
      <c r="H160" s="15">
        <f t="shared" si="53"/>
        <v>0</v>
      </c>
      <c r="I160" s="44"/>
      <c r="J160" s="19" cm="1">
        <f t="array" ref="J160">IFERROR(IF(_xlfn.XLOOKUP(L160,NC導入施設!B:B,NC導入施設!E:E)=0,_xlfn.IFS(H160&lt;=5,0,H160&lt;=10,1,H160&lt;=15,2,H160&gt;=16,3),"Null"),"-")</f>
        <v>0</v>
      </c>
      <c r="K160" s="61"/>
      <c r="L160" s="1">
        <v>2312111100</v>
      </c>
    </row>
    <row r="161" spans="1:12" ht="18" customHeight="1" x14ac:dyDescent="0.45">
      <c r="A161" s="13">
        <v>155</v>
      </c>
      <c r="B161" s="42" t="str">
        <f t="shared" si="63"/>
        <v>東京本部</v>
      </c>
      <c r="C161" s="42" t="str">
        <f t="shared" si="63"/>
        <v>そんぽの家　板橋三園</v>
      </c>
      <c r="D161" s="14" t="s">
        <v>2</v>
      </c>
      <c r="E161" s="15">
        <v>2</v>
      </c>
      <c r="F161" s="17">
        <v>2</v>
      </c>
      <c r="G161" s="17">
        <v>1</v>
      </c>
      <c r="H161" s="15">
        <f t="shared" si="53"/>
        <v>2</v>
      </c>
      <c r="I161" s="45"/>
      <c r="J161" s="19" cm="1">
        <f t="array" ref="J161">IFERROR(IF(_xlfn.XLOOKUP(L161,NC導入施設!B:B,NC導入施設!E:E)=0,_xlfn.IFS(H161&lt;=5,0,H161&lt;=10,1,H161&lt;=15,2,H161&gt;=16,3),"Null"),"-")</f>
        <v>0</v>
      </c>
      <c r="K161" s="62"/>
      <c r="L161" s="1">
        <v>2312111100</v>
      </c>
    </row>
    <row r="162" spans="1:12" ht="18" customHeight="1" x14ac:dyDescent="0.45">
      <c r="A162" s="8">
        <v>156</v>
      </c>
      <c r="B162" s="34" t="s">
        <v>8</v>
      </c>
      <c r="C162" s="34" t="s">
        <v>207</v>
      </c>
      <c r="D162" s="9" t="s">
        <v>3</v>
      </c>
      <c r="E162" s="10">
        <v>1</v>
      </c>
      <c r="F162" s="12">
        <v>0</v>
      </c>
      <c r="G162" s="12">
        <v>0</v>
      </c>
      <c r="H162" s="10">
        <f t="shared" si="53"/>
        <v>0</v>
      </c>
      <c r="I162" s="37" cm="1">
        <f t="array" ref="I162">IF(J162="-","-",_xlfn.IFS(K162&lt;=5,0,K162&lt;=10,1,K162&lt;=15,2,K162&gt;=16,3))</f>
        <v>1</v>
      </c>
      <c r="J162" s="19" cm="1">
        <f t="array" ref="J162">IFERROR(IF(_xlfn.XLOOKUP(L162,NC導入施設!B:B,NC導入施設!E:E)=0,_xlfn.IFS(H162&lt;=5,0,H162&lt;=10,1,H162&lt;=15,2,H162&gt;=16,3),"Null"),"-")</f>
        <v>0</v>
      </c>
      <c r="K162" s="60">
        <f t="shared" ref="K162" si="64">IFERROR(SUM(H162:H166),"-")</f>
        <v>10</v>
      </c>
      <c r="L162" s="1">
        <v>2312121100</v>
      </c>
    </row>
    <row r="163" spans="1:12" ht="18" customHeight="1" x14ac:dyDescent="0.45">
      <c r="A163" s="8">
        <v>157</v>
      </c>
      <c r="B163" s="35" t="str">
        <f t="shared" ref="B163:C166" si="65">B162</f>
        <v>東京本部</v>
      </c>
      <c r="C163" s="35" t="str">
        <f t="shared" si="65"/>
        <v>ラヴィーレ光が丘公園</v>
      </c>
      <c r="D163" s="9" t="s">
        <v>4</v>
      </c>
      <c r="E163" s="10">
        <v>1</v>
      </c>
      <c r="F163" s="12">
        <v>2</v>
      </c>
      <c r="G163" s="12">
        <v>2</v>
      </c>
      <c r="H163" s="10">
        <f t="shared" si="53"/>
        <v>2</v>
      </c>
      <c r="I163" s="38"/>
      <c r="J163" s="19" cm="1">
        <f t="array" ref="J163">IFERROR(IF(_xlfn.XLOOKUP(L163,NC導入施設!B:B,NC導入施設!E:E)=0,_xlfn.IFS(H163&lt;=5,0,H163&lt;=10,1,H163&lt;=15,2,H163&gt;=16,3),"Null"),"-")</f>
        <v>0</v>
      </c>
      <c r="K163" s="61"/>
      <c r="L163" s="1">
        <v>2312121100</v>
      </c>
    </row>
    <row r="164" spans="1:12" ht="18" customHeight="1" x14ac:dyDescent="0.45">
      <c r="A164" s="8">
        <v>158</v>
      </c>
      <c r="B164" s="35" t="str">
        <f t="shared" si="65"/>
        <v>東京本部</v>
      </c>
      <c r="C164" s="35" t="str">
        <f t="shared" si="65"/>
        <v>ラヴィーレ光が丘公園</v>
      </c>
      <c r="D164" s="9" t="s">
        <v>5</v>
      </c>
      <c r="E164" s="10">
        <v>3</v>
      </c>
      <c r="F164" s="12">
        <v>4</v>
      </c>
      <c r="G164" s="12">
        <v>1.3</v>
      </c>
      <c r="H164" s="10">
        <f t="shared" si="53"/>
        <v>4</v>
      </c>
      <c r="I164" s="38"/>
      <c r="J164" s="19" cm="1">
        <f t="array" ref="J164">IFERROR(IF(_xlfn.XLOOKUP(L164,NC導入施設!B:B,NC導入施設!E:E)=0,_xlfn.IFS(H164&lt;=5,0,H164&lt;=10,1,H164&lt;=15,2,H164&gt;=16,3),"Null"),"-")</f>
        <v>0</v>
      </c>
      <c r="K164" s="61"/>
      <c r="L164" s="1">
        <v>2312121100</v>
      </c>
    </row>
    <row r="165" spans="1:12" ht="18" customHeight="1" x14ac:dyDescent="0.45">
      <c r="A165" s="8">
        <v>159</v>
      </c>
      <c r="B165" s="35" t="str">
        <f t="shared" si="65"/>
        <v>東京本部</v>
      </c>
      <c r="C165" s="35" t="str">
        <f t="shared" si="65"/>
        <v>ラヴィーレ光が丘公園</v>
      </c>
      <c r="D165" s="9" t="s">
        <v>6</v>
      </c>
      <c r="E165" s="10">
        <v>8</v>
      </c>
      <c r="F165" s="12">
        <v>0</v>
      </c>
      <c r="G165" s="12">
        <v>0</v>
      </c>
      <c r="H165" s="10">
        <f t="shared" si="53"/>
        <v>0</v>
      </c>
      <c r="I165" s="38"/>
      <c r="J165" s="19" cm="1">
        <f t="array" ref="J165">IFERROR(IF(_xlfn.XLOOKUP(L165,NC導入施設!B:B,NC導入施設!E:E)=0,_xlfn.IFS(H165&lt;=5,0,H165&lt;=10,1,H165&lt;=15,2,H165&gt;=16,3),"Null"),"-")</f>
        <v>0</v>
      </c>
      <c r="K165" s="61"/>
      <c r="L165" s="1">
        <v>2312121100</v>
      </c>
    </row>
    <row r="166" spans="1:12" ht="18" customHeight="1" x14ac:dyDescent="0.45">
      <c r="A166" s="8">
        <v>160</v>
      </c>
      <c r="B166" s="36" t="str">
        <f t="shared" si="65"/>
        <v>東京本部</v>
      </c>
      <c r="C166" s="36" t="str">
        <f t="shared" si="65"/>
        <v>ラヴィーレ光が丘公園</v>
      </c>
      <c r="D166" s="9" t="s">
        <v>2</v>
      </c>
      <c r="E166" s="10">
        <v>1</v>
      </c>
      <c r="F166" s="12">
        <v>4</v>
      </c>
      <c r="G166" s="12">
        <v>4</v>
      </c>
      <c r="H166" s="10">
        <f t="shared" si="53"/>
        <v>4</v>
      </c>
      <c r="I166" s="39"/>
      <c r="J166" s="19" cm="1">
        <f t="array" ref="J166">IFERROR(IF(_xlfn.XLOOKUP(L166,NC導入施設!B:B,NC導入施設!E:E)=0,_xlfn.IFS(H166&lt;=5,0,H166&lt;=10,1,H166&lt;=15,2,H166&gt;=16,3),"Null"),"-")</f>
        <v>0</v>
      </c>
      <c r="K166" s="62"/>
      <c r="L166" s="1">
        <v>2312121100</v>
      </c>
    </row>
    <row r="167" spans="1:12" ht="18" customHeight="1" x14ac:dyDescent="0.45">
      <c r="A167" s="13">
        <v>161</v>
      </c>
      <c r="B167" s="40" t="s">
        <v>8</v>
      </c>
      <c r="C167" s="40" t="s">
        <v>208</v>
      </c>
      <c r="D167" s="14" t="s">
        <v>3</v>
      </c>
      <c r="E167" s="15">
        <v>1</v>
      </c>
      <c r="F167" s="17">
        <v>0</v>
      </c>
      <c r="G167" s="17">
        <v>0</v>
      </c>
      <c r="H167" s="15">
        <f t="shared" si="53"/>
        <v>0</v>
      </c>
      <c r="I167" s="43" cm="1">
        <f t="array" ref="I167">IF(J167="-","-",_xlfn.IFS(K167&lt;=5,0,K167&lt;=10,1,K167&lt;=15,2,K167&gt;=16,3))</f>
        <v>3</v>
      </c>
      <c r="J167" s="19" cm="1">
        <f t="array" ref="J167">IFERROR(IF(_xlfn.XLOOKUP(L167,NC導入施設!B:B,NC導入施設!E:E)=0,_xlfn.IFS(H167&lt;=5,0,H167&lt;=10,1,H167&lt;=15,2,H167&gt;=16,3),"Null"),"-")</f>
        <v>0</v>
      </c>
      <c r="K167" s="60">
        <f t="shared" ref="K167" si="66">IFERROR(SUM(H167:H171),"-")</f>
        <v>32</v>
      </c>
      <c r="L167" s="1">
        <v>2312161100</v>
      </c>
    </row>
    <row r="168" spans="1:12" ht="18" customHeight="1" x14ac:dyDescent="0.45">
      <c r="A168" s="13">
        <v>162</v>
      </c>
      <c r="B168" s="41" t="str">
        <f t="shared" ref="B168:C171" si="67">B167</f>
        <v>東京本部</v>
      </c>
      <c r="C168" s="41" t="str">
        <f t="shared" si="67"/>
        <v>ラヴィーレ赤羽</v>
      </c>
      <c r="D168" s="14" t="s">
        <v>4</v>
      </c>
      <c r="E168" s="15">
        <v>1</v>
      </c>
      <c r="F168" s="17">
        <v>19</v>
      </c>
      <c r="G168" s="17">
        <v>19</v>
      </c>
      <c r="H168" s="15">
        <f t="shared" si="53"/>
        <v>19</v>
      </c>
      <c r="I168" s="44"/>
      <c r="J168" s="19" cm="1">
        <f t="array" ref="J168">IFERROR(IF(_xlfn.XLOOKUP(L168,NC導入施設!B:B,NC導入施設!E:E)=0,_xlfn.IFS(H168&lt;=5,0,H168&lt;=10,1,H168&lt;=15,2,H168&gt;=16,3),"Null"),"-")</f>
        <v>3</v>
      </c>
      <c r="K168" s="61"/>
      <c r="L168" s="1">
        <v>2312161100</v>
      </c>
    </row>
    <row r="169" spans="1:12" ht="18" customHeight="1" x14ac:dyDescent="0.45">
      <c r="A169" s="13">
        <v>163</v>
      </c>
      <c r="B169" s="41" t="str">
        <f t="shared" si="67"/>
        <v>東京本部</v>
      </c>
      <c r="C169" s="41" t="str">
        <f t="shared" si="67"/>
        <v>ラヴィーレ赤羽</v>
      </c>
      <c r="D169" s="14" t="s">
        <v>5</v>
      </c>
      <c r="E169" s="15">
        <v>2</v>
      </c>
      <c r="F169" s="17">
        <v>8</v>
      </c>
      <c r="G169" s="17">
        <v>4</v>
      </c>
      <c r="H169" s="15">
        <f t="shared" si="53"/>
        <v>8</v>
      </c>
      <c r="I169" s="44"/>
      <c r="J169" s="19" cm="1">
        <f t="array" ref="J169">IFERROR(IF(_xlfn.XLOOKUP(L169,NC導入施設!B:B,NC導入施設!E:E)=0,_xlfn.IFS(H169&lt;=5,0,H169&lt;=10,1,H169&lt;=15,2,H169&gt;=16,3),"Null"),"-")</f>
        <v>1</v>
      </c>
      <c r="K169" s="61"/>
      <c r="L169" s="1">
        <v>2312161100</v>
      </c>
    </row>
    <row r="170" spans="1:12" ht="18" customHeight="1" x14ac:dyDescent="0.45">
      <c r="A170" s="13">
        <v>164</v>
      </c>
      <c r="B170" s="41" t="str">
        <f t="shared" si="67"/>
        <v>東京本部</v>
      </c>
      <c r="C170" s="41" t="str">
        <f t="shared" si="67"/>
        <v>ラヴィーレ赤羽</v>
      </c>
      <c r="D170" s="14" t="s">
        <v>6</v>
      </c>
      <c r="E170" s="15">
        <v>5</v>
      </c>
      <c r="F170" s="17">
        <v>1</v>
      </c>
      <c r="G170" s="17">
        <v>0.2</v>
      </c>
      <c r="H170" s="15">
        <f t="shared" si="53"/>
        <v>1</v>
      </c>
      <c r="I170" s="44"/>
      <c r="J170" s="19" cm="1">
        <f t="array" ref="J170">IFERROR(IF(_xlfn.XLOOKUP(L170,NC導入施設!B:B,NC導入施設!E:E)=0,_xlfn.IFS(H170&lt;=5,0,H170&lt;=10,1,H170&lt;=15,2,H170&gt;=16,3),"Null"),"-")</f>
        <v>0</v>
      </c>
      <c r="K170" s="61"/>
      <c r="L170" s="1">
        <v>2312161100</v>
      </c>
    </row>
    <row r="171" spans="1:12" ht="18" customHeight="1" x14ac:dyDescent="0.45">
      <c r="A171" s="13">
        <v>165</v>
      </c>
      <c r="B171" s="42" t="str">
        <f t="shared" si="67"/>
        <v>東京本部</v>
      </c>
      <c r="C171" s="42" t="str">
        <f t="shared" si="67"/>
        <v>ラヴィーレ赤羽</v>
      </c>
      <c r="D171" s="14" t="s">
        <v>2</v>
      </c>
      <c r="E171" s="15">
        <v>3</v>
      </c>
      <c r="F171" s="17">
        <v>4</v>
      </c>
      <c r="G171" s="17">
        <v>1.3</v>
      </c>
      <c r="H171" s="15">
        <f t="shared" si="53"/>
        <v>4</v>
      </c>
      <c r="I171" s="45"/>
      <c r="J171" s="19" cm="1">
        <f t="array" ref="J171">IFERROR(IF(_xlfn.XLOOKUP(L171,NC導入施設!B:B,NC導入施設!E:E)=0,_xlfn.IFS(H171&lt;=5,0,H171&lt;=10,1,H171&lt;=15,2,H171&gt;=16,3),"Null"),"-")</f>
        <v>0</v>
      </c>
      <c r="K171" s="62"/>
      <c r="L171" s="1">
        <v>2312161100</v>
      </c>
    </row>
    <row r="172" spans="1:12" ht="18" customHeight="1" x14ac:dyDescent="0.45">
      <c r="A172" s="8">
        <v>166</v>
      </c>
      <c r="B172" s="34" t="s">
        <v>8</v>
      </c>
      <c r="C172" s="34" t="s">
        <v>209</v>
      </c>
      <c r="D172" s="9" t="s">
        <v>3</v>
      </c>
      <c r="E172" s="10">
        <v>1</v>
      </c>
      <c r="F172" s="12">
        <v>4</v>
      </c>
      <c r="G172" s="12">
        <v>4</v>
      </c>
      <c r="H172" s="10">
        <f t="shared" si="53"/>
        <v>4</v>
      </c>
      <c r="I172" s="37" cm="1">
        <f t="array" ref="I172">IF(J172="-","-",_xlfn.IFS(K172&lt;=5,0,K172&lt;=10,1,K172&lt;=15,2,K172&gt;=16,3))</f>
        <v>3</v>
      </c>
      <c r="J172" s="19" cm="1">
        <f t="array" ref="J172">IFERROR(IF(_xlfn.XLOOKUP(L172,NC導入施設!B:B,NC導入施設!E:E)=0,_xlfn.IFS(H172&lt;=5,0,H172&lt;=10,1,H172&lt;=15,2,H172&gt;=16,3),"Null"),"-")</f>
        <v>0</v>
      </c>
      <c r="K172" s="60">
        <f t="shared" ref="K172" si="68">IFERROR(SUM(H172:H176),"-")</f>
        <v>28</v>
      </c>
      <c r="L172" s="1">
        <v>2312221100</v>
      </c>
    </row>
    <row r="173" spans="1:12" ht="18" customHeight="1" x14ac:dyDescent="0.45">
      <c r="A173" s="8">
        <v>167</v>
      </c>
      <c r="B173" s="35" t="str">
        <f t="shared" ref="B173:C176" si="69">B172</f>
        <v>東京本部</v>
      </c>
      <c r="C173" s="35" t="str">
        <f t="shared" si="69"/>
        <v>ラヴィーレ練馬</v>
      </c>
      <c r="D173" s="9" t="s">
        <v>4</v>
      </c>
      <c r="E173" s="10">
        <v>1</v>
      </c>
      <c r="F173" s="12">
        <v>2</v>
      </c>
      <c r="G173" s="12">
        <v>2</v>
      </c>
      <c r="H173" s="10">
        <f t="shared" si="53"/>
        <v>2</v>
      </c>
      <c r="I173" s="38"/>
      <c r="J173" s="19" cm="1">
        <f t="array" ref="J173">IFERROR(IF(_xlfn.XLOOKUP(L173,NC導入施設!B:B,NC導入施設!E:E)=0,_xlfn.IFS(H173&lt;=5,0,H173&lt;=10,1,H173&lt;=15,2,H173&gt;=16,3),"Null"),"-")</f>
        <v>0</v>
      </c>
      <c r="K173" s="61"/>
      <c r="L173" s="1">
        <v>2312221100</v>
      </c>
    </row>
    <row r="174" spans="1:12" ht="18" customHeight="1" x14ac:dyDescent="0.45">
      <c r="A174" s="8">
        <v>168</v>
      </c>
      <c r="B174" s="35" t="str">
        <f t="shared" si="69"/>
        <v>東京本部</v>
      </c>
      <c r="C174" s="35" t="str">
        <f t="shared" si="69"/>
        <v>ラヴィーレ練馬</v>
      </c>
      <c r="D174" s="9" t="s">
        <v>5</v>
      </c>
      <c r="E174" s="10">
        <v>2</v>
      </c>
      <c r="F174" s="12">
        <v>2</v>
      </c>
      <c r="G174" s="12">
        <v>1</v>
      </c>
      <c r="H174" s="10">
        <f t="shared" si="53"/>
        <v>2</v>
      </c>
      <c r="I174" s="38"/>
      <c r="J174" s="19" cm="1">
        <f t="array" ref="J174">IFERROR(IF(_xlfn.XLOOKUP(L174,NC導入施設!B:B,NC導入施設!E:E)=0,_xlfn.IFS(H174&lt;=5,0,H174&lt;=10,1,H174&lt;=15,2,H174&gt;=16,3),"Null"),"-")</f>
        <v>0</v>
      </c>
      <c r="K174" s="61"/>
      <c r="L174" s="1">
        <v>2312221100</v>
      </c>
    </row>
    <row r="175" spans="1:12" ht="18" customHeight="1" x14ac:dyDescent="0.45">
      <c r="A175" s="8">
        <v>169</v>
      </c>
      <c r="B175" s="35" t="str">
        <f t="shared" si="69"/>
        <v>東京本部</v>
      </c>
      <c r="C175" s="35" t="str">
        <f t="shared" si="69"/>
        <v>ラヴィーレ練馬</v>
      </c>
      <c r="D175" s="9" t="s">
        <v>6</v>
      </c>
      <c r="E175" s="10">
        <v>4</v>
      </c>
      <c r="F175" s="12">
        <v>10</v>
      </c>
      <c r="G175" s="12">
        <v>2.5</v>
      </c>
      <c r="H175" s="10">
        <f t="shared" si="53"/>
        <v>10</v>
      </c>
      <c r="I175" s="38"/>
      <c r="J175" s="19" cm="1">
        <f t="array" ref="J175">IFERROR(IF(_xlfn.XLOOKUP(L175,NC導入施設!B:B,NC導入施設!E:E)=0,_xlfn.IFS(H175&lt;=5,0,H175&lt;=10,1,H175&lt;=15,2,H175&gt;=16,3),"Null"),"-")</f>
        <v>1</v>
      </c>
      <c r="K175" s="61"/>
      <c r="L175" s="1">
        <v>2312221100</v>
      </c>
    </row>
    <row r="176" spans="1:12" ht="18" customHeight="1" x14ac:dyDescent="0.45">
      <c r="A176" s="8">
        <v>170</v>
      </c>
      <c r="B176" s="36" t="str">
        <f t="shared" si="69"/>
        <v>東京本部</v>
      </c>
      <c r="C176" s="36" t="str">
        <f t="shared" si="69"/>
        <v>ラヴィーレ練馬</v>
      </c>
      <c r="D176" s="9" t="s">
        <v>2</v>
      </c>
      <c r="E176" s="10">
        <v>2</v>
      </c>
      <c r="F176" s="12">
        <v>10</v>
      </c>
      <c r="G176" s="12">
        <v>5</v>
      </c>
      <c r="H176" s="10">
        <f t="shared" si="53"/>
        <v>10</v>
      </c>
      <c r="I176" s="39"/>
      <c r="J176" s="19" cm="1">
        <f t="array" ref="J176">IFERROR(IF(_xlfn.XLOOKUP(L176,NC導入施設!B:B,NC導入施設!E:E)=0,_xlfn.IFS(H176&lt;=5,0,H176&lt;=10,1,H176&lt;=15,2,H176&gt;=16,3),"Null"),"-")</f>
        <v>1</v>
      </c>
      <c r="K176" s="62"/>
      <c r="L176" s="1">
        <v>2312221100</v>
      </c>
    </row>
    <row r="177" spans="1:12" ht="18" customHeight="1" x14ac:dyDescent="0.45">
      <c r="A177" s="13">
        <v>171</v>
      </c>
      <c r="B177" s="40" t="s">
        <v>8</v>
      </c>
      <c r="C177" s="40" t="s">
        <v>210</v>
      </c>
      <c r="D177" s="14" t="s">
        <v>3</v>
      </c>
      <c r="E177" s="15">
        <v>1</v>
      </c>
      <c r="F177" s="17">
        <v>10</v>
      </c>
      <c r="G177" s="17">
        <v>10</v>
      </c>
      <c r="H177" s="15">
        <f t="shared" si="53"/>
        <v>10</v>
      </c>
      <c r="I177" s="43" cm="1">
        <f t="array" ref="I177">IF(J177="-","-",_xlfn.IFS(K177&lt;=5,0,K177&lt;=10,1,K177&lt;=15,2,K177&gt;=16,3))</f>
        <v>2</v>
      </c>
      <c r="J177" s="19" cm="1">
        <f t="array" ref="J177">IFERROR(IF(_xlfn.XLOOKUP(L177,NC導入施設!B:B,NC導入施設!E:E)=0,_xlfn.IFS(H177&lt;=5,0,H177&lt;=10,1,H177&lt;=15,2,H177&gt;=16,3),"Null"),"-")</f>
        <v>1</v>
      </c>
      <c r="K177" s="60">
        <f t="shared" ref="K177" si="70">IFERROR(SUM(H177:H181),"-")</f>
        <v>15</v>
      </c>
      <c r="L177" s="1">
        <v>2312261100</v>
      </c>
    </row>
    <row r="178" spans="1:12" ht="18" customHeight="1" x14ac:dyDescent="0.45">
      <c r="A178" s="13">
        <v>172</v>
      </c>
      <c r="B178" s="41" t="str">
        <f t="shared" ref="B178:C181" si="71">B177</f>
        <v>東京本部</v>
      </c>
      <c r="C178" s="41" t="str">
        <f t="shared" si="71"/>
        <v>ラヴィーレ鷺ノ宮</v>
      </c>
      <c r="D178" s="14" t="s">
        <v>4</v>
      </c>
      <c r="E178" s="15">
        <v>2</v>
      </c>
      <c r="F178" s="17">
        <v>5</v>
      </c>
      <c r="G178" s="17">
        <v>2.5</v>
      </c>
      <c r="H178" s="15">
        <f t="shared" si="53"/>
        <v>5</v>
      </c>
      <c r="I178" s="44"/>
      <c r="J178" s="19" cm="1">
        <f t="array" ref="J178">IFERROR(IF(_xlfn.XLOOKUP(L178,NC導入施設!B:B,NC導入施設!E:E)=0,_xlfn.IFS(H178&lt;=5,0,H178&lt;=10,1,H178&lt;=15,2,H178&gt;=16,3),"Null"),"-")</f>
        <v>0</v>
      </c>
      <c r="K178" s="61"/>
      <c r="L178" s="1">
        <v>2312261100</v>
      </c>
    </row>
    <row r="179" spans="1:12" ht="18" customHeight="1" x14ac:dyDescent="0.45">
      <c r="A179" s="13">
        <v>173</v>
      </c>
      <c r="B179" s="41" t="str">
        <f t="shared" si="71"/>
        <v>東京本部</v>
      </c>
      <c r="C179" s="41" t="str">
        <f t="shared" si="71"/>
        <v>ラヴィーレ鷺ノ宮</v>
      </c>
      <c r="D179" s="14" t="s">
        <v>5</v>
      </c>
      <c r="E179" s="15">
        <v>2</v>
      </c>
      <c r="F179" s="17">
        <v>0</v>
      </c>
      <c r="G179" s="17">
        <v>0</v>
      </c>
      <c r="H179" s="15">
        <f t="shared" si="53"/>
        <v>0</v>
      </c>
      <c r="I179" s="44"/>
      <c r="J179" s="19" cm="1">
        <f t="array" ref="J179">IFERROR(IF(_xlfn.XLOOKUP(L179,NC導入施設!B:B,NC導入施設!E:E)=0,_xlfn.IFS(H179&lt;=5,0,H179&lt;=10,1,H179&lt;=15,2,H179&gt;=16,3),"Null"),"-")</f>
        <v>0</v>
      </c>
      <c r="K179" s="61"/>
      <c r="L179" s="1">
        <v>2312261100</v>
      </c>
    </row>
    <row r="180" spans="1:12" ht="18" customHeight="1" x14ac:dyDescent="0.45">
      <c r="A180" s="13">
        <v>174</v>
      </c>
      <c r="B180" s="41" t="str">
        <f t="shared" si="71"/>
        <v>東京本部</v>
      </c>
      <c r="C180" s="41" t="str">
        <f t="shared" si="71"/>
        <v>ラヴィーレ鷺ノ宮</v>
      </c>
      <c r="D180" s="14" t="s">
        <v>6</v>
      </c>
      <c r="E180" s="15">
        <v>10</v>
      </c>
      <c r="F180" s="17">
        <v>0</v>
      </c>
      <c r="G180" s="17">
        <v>0</v>
      </c>
      <c r="H180" s="15">
        <f t="shared" si="53"/>
        <v>0</v>
      </c>
      <c r="I180" s="44"/>
      <c r="J180" s="19" cm="1">
        <f t="array" ref="J180">IFERROR(IF(_xlfn.XLOOKUP(L180,NC導入施設!B:B,NC導入施設!E:E)=0,_xlfn.IFS(H180&lt;=5,0,H180&lt;=10,1,H180&lt;=15,2,H180&gt;=16,3),"Null"),"-")</f>
        <v>0</v>
      </c>
      <c r="K180" s="61"/>
      <c r="L180" s="1">
        <v>2312261100</v>
      </c>
    </row>
    <row r="181" spans="1:12" ht="18" customHeight="1" x14ac:dyDescent="0.45">
      <c r="A181" s="13">
        <v>175</v>
      </c>
      <c r="B181" s="42" t="str">
        <f t="shared" si="71"/>
        <v>東京本部</v>
      </c>
      <c r="C181" s="42" t="str">
        <f t="shared" si="71"/>
        <v>ラヴィーレ鷺ノ宮</v>
      </c>
      <c r="D181" s="14" t="s">
        <v>2</v>
      </c>
      <c r="E181" s="15">
        <v>2</v>
      </c>
      <c r="F181" s="17">
        <v>0</v>
      </c>
      <c r="G181" s="17">
        <v>0</v>
      </c>
      <c r="H181" s="15">
        <f t="shared" si="53"/>
        <v>0</v>
      </c>
      <c r="I181" s="45"/>
      <c r="J181" s="19" cm="1">
        <f t="array" ref="J181">IFERROR(IF(_xlfn.XLOOKUP(L181,NC導入施設!B:B,NC導入施設!E:E)=0,_xlfn.IFS(H181&lt;=5,0,H181&lt;=10,1,H181&lt;=15,2,H181&gt;=16,3),"Null"),"-")</f>
        <v>0</v>
      </c>
      <c r="K181" s="62"/>
      <c r="L181" s="1">
        <v>2312261100</v>
      </c>
    </row>
    <row r="182" spans="1:12" ht="18" customHeight="1" x14ac:dyDescent="0.45">
      <c r="A182" s="8">
        <v>176</v>
      </c>
      <c r="B182" s="34" t="s">
        <v>8</v>
      </c>
      <c r="C182" s="34" t="s">
        <v>23</v>
      </c>
      <c r="D182" s="9" t="s">
        <v>3</v>
      </c>
      <c r="E182" s="10">
        <v>1</v>
      </c>
      <c r="F182" s="12">
        <v>1</v>
      </c>
      <c r="G182" s="12">
        <v>1</v>
      </c>
      <c r="H182" s="10">
        <f t="shared" si="53"/>
        <v>1</v>
      </c>
      <c r="I182" s="37" cm="1">
        <f t="array" ref="I182">IF(J182="-","-",_xlfn.IFS(K182&lt;=5,0,K182&lt;=10,1,K182&lt;=15,2,K182&gt;=16,3))</f>
        <v>3</v>
      </c>
      <c r="J182" s="19" cm="1">
        <f t="array" ref="J182">IFERROR(IF(_xlfn.XLOOKUP(L182,NC導入施設!B:B,NC導入施設!E:E)=0,_xlfn.IFS(H182&lt;=5,0,H182&lt;=10,1,H182&lt;=15,2,H182&gt;=16,3),"Null"),"-")</f>
        <v>0</v>
      </c>
      <c r="K182" s="60">
        <f t="shared" ref="K182" si="72">IFERROR(SUM(H182:H186),"-")</f>
        <v>27</v>
      </c>
      <c r="L182" s="1">
        <v>2312321100</v>
      </c>
    </row>
    <row r="183" spans="1:12" ht="18" customHeight="1" x14ac:dyDescent="0.45">
      <c r="A183" s="8">
        <v>177</v>
      </c>
      <c r="B183" s="35" t="str">
        <f t="shared" ref="B183:C186" si="73">B182</f>
        <v>東京本部</v>
      </c>
      <c r="C183" s="35" t="str">
        <f t="shared" si="73"/>
        <v>そんぽの家　氷川台</v>
      </c>
      <c r="D183" s="9" t="s">
        <v>4</v>
      </c>
      <c r="E183" s="10">
        <v>1</v>
      </c>
      <c r="F183" s="12">
        <v>1</v>
      </c>
      <c r="G183" s="12">
        <v>1</v>
      </c>
      <c r="H183" s="10">
        <f t="shared" si="53"/>
        <v>1</v>
      </c>
      <c r="I183" s="38"/>
      <c r="J183" s="19" cm="1">
        <f t="array" ref="J183">IFERROR(IF(_xlfn.XLOOKUP(L183,NC導入施設!B:B,NC導入施設!E:E)=0,_xlfn.IFS(H183&lt;=5,0,H183&lt;=10,1,H183&lt;=15,2,H183&gt;=16,3),"Null"),"-")</f>
        <v>0</v>
      </c>
      <c r="K183" s="61"/>
      <c r="L183" s="1">
        <v>2312321100</v>
      </c>
    </row>
    <row r="184" spans="1:12" ht="18" customHeight="1" x14ac:dyDescent="0.45">
      <c r="A184" s="8">
        <v>178</v>
      </c>
      <c r="B184" s="35" t="str">
        <f t="shared" si="73"/>
        <v>東京本部</v>
      </c>
      <c r="C184" s="35" t="str">
        <f t="shared" si="73"/>
        <v>そんぽの家　氷川台</v>
      </c>
      <c r="D184" s="9" t="s">
        <v>5</v>
      </c>
      <c r="E184" s="10">
        <v>1</v>
      </c>
      <c r="F184" s="12">
        <v>9</v>
      </c>
      <c r="G184" s="12">
        <v>9</v>
      </c>
      <c r="H184" s="10">
        <f t="shared" si="53"/>
        <v>9</v>
      </c>
      <c r="I184" s="38"/>
      <c r="J184" s="19" cm="1">
        <f t="array" ref="J184">IFERROR(IF(_xlfn.XLOOKUP(L184,NC導入施設!B:B,NC導入施設!E:E)=0,_xlfn.IFS(H184&lt;=5,0,H184&lt;=10,1,H184&lt;=15,2,H184&gt;=16,3),"Null"),"-")</f>
        <v>1</v>
      </c>
      <c r="K184" s="61"/>
      <c r="L184" s="1">
        <v>2312321100</v>
      </c>
    </row>
    <row r="185" spans="1:12" ht="18" customHeight="1" x14ac:dyDescent="0.45">
      <c r="A185" s="8">
        <v>179</v>
      </c>
      <c r="B185" s="35" t="str">
        <f t="shared" si="73"/>
        <v>東京本部</v>
      </c>
      <c r="C185" s="35" t="str">
        <f t="shared" si="73"/>
        <v>そんぽの家　氷川台</v>
      </c>
      <c r="D185" s="9" t="s">
        <v>6</v>
      </c>
      <c r="E185" s="10">
        <v>5</v>
      </c>
      <c r="F185" s="12">
        <v>16</v>
      </c>
      <c r="G185" s="12">
        <v>3.2</v>
      </c>
      <c r="H185" s="10">
        <f t="shared" si="53"/>
        <v>16</v>
      </c>
      <c r="I185" s="38"/>
      <c r="J185" s="19" cm="1">
        <f t="array" ref="J185">IFERROR(IF(_xlfn.XLOOKUP(L185,NC導入施設!B:B,NC導入施設!E:E)=0,_xlfn.IFS(H185&lt;=5,0,H185&lt;=10,1,H185&lt;=15,2,H185&gt;=16,3),"Null"),"-")</f>
        <v>3</v>
      </c>
      <c r="K185" s="61"/>
      <c r="L185" s="1">
        <v>2312321100</v>
      </c>
    </row>
    <row r="186" spans="1:12" ht="18" customHeight="1" x14ac:dyDescent="0.45">
      <c r="A186" s="8">
        <v>180</v>
      </c>
      <c r="B186" s="36" t="str">
        <f t="shared" si="73"/>
        <v>東京本部</v>
      </c>
      <c r="C186" s="36" t="str">
        <f t="shared" si="73"/>
        <v>そんぽの家　氷川台</v>
      </c>
      <c r="D186" s="9" t="s">
        <v>2</v>
      </c>
      <c r="E186" s="10">
        <v>1</v>
      </c>
      <c r="F186" s="12">
        <v>0</v>
      </c>
      <c r="G186" s="12">
        <v>0</v>
      </c>
      <c r="H186" s="10">
        <f t="shared" si="53"/>
        <v>0</v>
      </c>
      <c r="I186" s="39"/>
      <c r="J186" s="19" cm="1">
        <f t="array" ref="J186">IFERROR(IF(_xlfn.XLOOKUP(L186,NC導入施設!B:B,NC導入施設!E:E)=0,_xlfn.IFS(H186&lt;=5,0,H186&lt;=10,1,H186&lt;=15,2,H186&gt;=16,3),"Null"),"-")</f>
        <v>0</v>
      </c>
      <c r="K186" s="62"/>
      <c r="L186" s="1">
        <v>2312321100</v>
      </c>
    </row>
    <row r="187" spans="1:12" ht="18" customHeight="1" x14ac:dyDescent="0.45">
      <c r="A187" s="13">
        <v>181</v>
      </c>
      <c r="B187" s="40" t="s">
        <v>8</v>
      </c>
      <c r="C187" s="40" t="s">
        <v>24</v>
      </c>
      <c r="D187" s="14" t="s">
        <v>3</v>
      </c>
      <c r="E187" s="15">
        <v>1</v>
      </c>
      <c r="F187" s="17">
        <v>0</v>
      </c>
      <c r="G187" s="17">
        <v>0</v>
      </c>
      <c r="H187" s="15">
        <f t="shared" si="53"/>
        <v>0</v>
      </c>
      <c r="I187" s="43" cm="1">
        <f t="array" ref="I187">IF(J187="-","-",_xlfn.IFS(K187&lt;=5,0,K187&lt;=10,1,K187&lt;=15,2,K187&gt;=16,3))</f>
        <v>3</v>
      </c>
      <c r="J187" s="19" cm="1">
        <f t="array" ref="J187">IFERROR(IF(_xlfn.XLOOKUP(L187,NC導入施設!B:B,NC導入施設!E:E)=0,_xlfn.IFS(H187&lt;=5,0,H187&lt;=10,1,H187&lt;=15,2,H187&gt;=16,3),"Null"),"-")</f>
        <v>0</v>
      </c>
      <c r="K187" s="60">
        <f t="shared" ref="K187" si="74">IFERROR(SUM(H187:H191),"-")</f>
        <v>43</v>
      </c>
      <c r="L187" s="1">
        <v>2312341100</v>
      </c>
    </row>
    <row r="188" spans="1:12" ht="18" customHeight="1" x14ac:dyDescent="0.45">
      <c r="A188" s="13">
        <v>182</v>
      </c>
      <c r="B188" s="41" t="str">
        <f t="shared" ref="B188:C191" si="75">B187</f>
        <v>東京本部</v>
      </c>
      <c r="C188" s="41" t="str">
        <f t="shared" si="75"/>
        <v>そんぽの家　石神井公園</v>
      </c>
      <c r="D188" s="14" t="s">
        <v>4</v>
      </c>
      <c r="E188" s="15">
        <v>1</v>
      </c>
      <c r="F188" s="17">
        <v>2</v>
      </c>
      <c r="G188" s="17">
        <v>2</v>
      </c>
      <c r="H188" s="15">
        <f t="shared" si="53"/>
        <v>2</v>
      </c>
      <c r="I188" s="44"/>
      <c r="J188" s="19" cm="1">
        <f t="array" ref="J188">IFERROR(IF(_xlfn.XLOOKUP(L188,NC導入施設!B:B,NC導入施設!E:E)=0,_xlfn.IFS(H188&lt;=5,0,H188&lt;=10,1,H188&lt;=15,2,H188&gt;=16,3),"Null"),"-")</f>
        <v>0</v>
      </c>
      <c r="K188" s="61"/>
      <c r="L188" s="1">
        <v>2312341100</v>
      </c>
    </row>
    <row r="189" spans="1:12" ht="18" customHeight="1" x14ac:dyDescent="0.45">
      <c r="A189" s="13">
        <v>183</v>
      </c>
      <c r="B189" s="41" t="str">
        <f t="shared" si="75"/>
        <v>東京本部</v>
      </c>
      <c r="C189" s="41" t="str">
        <f t="shared" si="75"/>
        <v>そんぽの家　石神井公園</v>
      </c>
      <c r="D189" s="14" t="s">
        <v>5</v>
      </c>
      <c r="E189" s="15">
        <v>1</v>
      </c>
      <c r="F189" s="17">
        <v>2</v>
      </c>
      <c r="G189" s="17">
        <v>2</v>
      </c>
      <c r="H189" s="15">
        <f t="shared" si="53"/>
        <v>2</v>
      </c>
      <c r="I189" s="44"/>
      <c r="J189" s="19" cm="1">
        <f t="array" ref="J189">IFERROR(IF(_xlfn.XLOOKUP(L189,NC導入施設!B:B,NC導入施設!E:E)=0,_xlfn.IFS(H189&lt;=5,0,H189&lt;=10,1,H189&lt;=15,2,H189&gt;=16,3),"Null"),"-")</f>
        <v>0</v>
      </c>
      <c r="K189" s="61"/>
      <c r="L189" s="1">
        <v>2312341100</v>
      </c>
    </row>
    <row r="190" spans="1:12" ht="18" customHeight="1" x14ac:dyDescent="0.45">
      <c r="A190" s="13">
        <v>184</v>
      </c>
      <c r="B190" s="41" t="str">
        <f t="shared" si="75"/>
        <v>東京本部</v>
      </c>
      <c r="C190" s="41" t="str">
        <f t="shared" si="75"/>
        <v>そんぽの家　石神井公園</v>
      </c>
      <c r="D190" s="14" t="s">
        <v>6</v>
      </c>
      <c r="E190" s="15">
        <v>3</v>
      </c>
      <c r="F190" s="17">
        <v>31</v>
      </c>
      <c r="G190" s="17">
        <v>10.3</v>
      </c>
      <c r="H190" s="15">
        <f t="shared" si="53"/>
        <v>31</v>
      </c>
      <c r="I190" s="44"/>
      <c r="J190" s="19" cm="1">
        <f t="array" ref="J190">IFERROR(IF(_xlfn.XLOOKUP(L190,NC導入施設!B:B,NC導入施設!E:E)=0,_xlfn.IFS(H190&lt;=5,0,H190&lt;=10,1,H190&lt;=15,2,H190&gt;=16,3),"Null"),"-")</f>
        <v>3</v>
      </c>
      <c r="K190" s="61"/>
      <c r="L190" s="1">
        <v>2312341100</v>
      </c>
    </row>
    <row r="191" spans="1:12" ht="18" customHeight="1" x14ac:dyDescent="0.45">
      <c r="A191" s="13">
        <v>185</v>
      </c>
      <c r="B191" s="42" t="str">
        <f t="shared" si="75"/>
        <v>東京本部</v>
      </c>
      <c r="C191" s="42" t="str">
        <f t="shared" si="75"/>
        <v>そんぽの家　石神井公園</v>
      </c>
      <c r="D191" s="14" t="s">
        <v>2</v>
      </c>
      <c r="E191" s="15">
        <v>1</v>
      </c>
      <c r="F191" s="17">
        <v>8</v>
      </c>
      <c r="G191" s="17">
        <v>8</v>
      </c>
      <c r="H191" s="15">
        <f t="shared" si="53"/>
        <v>8</v>
      </c>
      <c r="I191" s="45"/>
      <c r="J191" s="19" cm="1">
        <f t="array" ref="J191">IFERROR(IF(_xlfn.XLOOKUP(L191,NC導入施設!B:B,NC導入施設!E:E)=0,_xlfn.IFS(H191&lt;=5,0,H191&lt;=10,1,H191&lt;=15,2,H191&gt;=16,3),"Null"),"-")</f>
        <v>1</v>
      </c>
      <c r="K191" s="62"/>
      <c r="L191" s="1">
        <v>2312341100</v>
      </c>
    </row>
    <row r="192" spans="1:12" ht="18" customHeight="1" x14ac:dyDescent="0.45">
      <c r="A192" s="8">
        <v>186</v>
      </c>
      <c r="B192" s="34" t="s">
        <v>8</v>
      </c>
      <c r="C192" s="34" t="s">
        <v>25</v>
      </c>
      <c r="D192" s="9" t="s">
        <v>3</v>
      </c>
      <c r="E192" s="10">
        <v>1</v>
      </c>
      <c r="F192" s="12">
        <v>17</v>
      </c>
      <c r="G192" s="12">
        <v>17</v>
      </c>
      <c r="H192" s="10">
        <f t="shared" si="53"/>
        <v>17</v>
      </c>
      <c r="I192" s="37" cm="1">
        <f t="array" ref="I192">IF(J192="-","-",_xlfn.IFS(K192&lt;=5,0,K192&lt;=10,1,K192&lt;=15,2,K192&gt;=16,3))</f>
        <v>3</v>
      </c>
      <c r="J192" s="19" cm="1">
        <f t="array" ref="J192">IFERROR(IF(_xlfn.XLOOKUP(L192,NC導入施設!B:B,NC導入施設!E:E)=0,_xlfn.IFS(H192&lt;=5,0,H192&lt;=10,1,H192&lt;=15,2,H192&gt;=16,3),"Null"),"-")</f>
        <v>3</v>
      </c>
      <c r="K192" s="60">
        <f t="shared" ref="K192" si="76">IFERROR(SUM(H192:H196),"-")</f>
        <v>33</v>
      </c>
      <c r="L192" s="1">
        <v>2312371100</v>
      </c>
    </row>
    <row r="193" spans="1:12" ht="18" customHeight="1" x14ac:dyDescent="0.45">
      <c r="A193" s="8">
        <v>187</v>
      </c>
      <c r="B193" s="35" t="str">
        <f t="shared" ref="B193:C196" si="77">B192</f>
        <v>東京本部</v>
      </c>
      <c r="C193" s="35" t="str">
        <f t="shared" si="77"/>
        <v>そんぽの家　光が丘</v>
      </c>
      <c r="D193" s="9" t="s">
        <v>4</v>
      </c>
      <c r="E193" s="10">
        <v>1</v>
      </c>
      <c r="F193" s="12">
        <v>0</v>
      </c>
      <c r="G193" s="12">
        <v>0</v>
      </c>
      <c r="H193" s="10">
        <f t="shared" si="53"/>
        <v>0</v>
      </c>
      <c r="I193" s="38"/>
      <c r="J193" s="19" cm="1">
        <f t="array" ref="J193">IFERROR(IF(_xlfn.XLOOKUP(L193,NC導入施設!B:B,NC導入施設!E:E)=0,_xlfn.IFS(H193&lt;=5,0,H193&lt;=10,1,H193&lt;=15,2,H193&gt;=16,3),"Null"),"-")</f>
        <v>0</v>
      </c>
      <c r="K193" s="61"/>
      <c r="L193" s="1">
        <v>2312371100</v>
      </c>
    </row>
    <row r="194" spans="1:12" ht="18" customHeight="1" x14ac:dyDescent="0.45">
      <c r="A194" s="8">
        <v>188</v>
      </c>
      <c r="B194" s="35" t="str">
        <f t="shared" si="77"/>
        <v>東京本部</v>
      </c>
      <c r="C194" s="35" t="str">
        <f t="shared" si="77"/>
        <v>そんぽの家　光が丘</v>
      </c>
      <c r="D194" s="9" t="s">
        <v>5</v>
      </c>
      <c r="E194" s="10">
        <v>2</v>
      </c>
      <c r="F194" s="12">
        <v>15</v>
      </c>
      <c r="G194" s="12">
        <v>7.5</v>
      </c>
      <c r="H194" s="10">
        <f t="shared" si="53"/>
        <v>15</v>
      </c>
      <c r="I194" s="38"/>
      <c r="J194" s="19" cm="1">
        <f t="array" ref="J194">IFERROR(IF(_xlfn.XLOOKUP(L194,NC導入施設!B:B,NC導入施設!E:E)=0,_xlfn.IFS(H194&lt;=5,0,H194&lt;=10,1,H194&lt;=15,2,H194&gt;=16,3),"Null"),"-")</f>
        <v>2</v>
      </c>
      <c r="K194" s="61"/>
      <c r="L194" s="1">
        <v>2312371100</v>
      </c>
    </row>
    <row r="195" spans="1:12" ht="18" customHeight="1" x14ac:dyDescent="0.45">
      <c r="A195" s="8">
        <v>189</v>
      </c>
      <c r="B195" s="35" t="str">
        <f t="shared" si="77"/>
        <v>東京本部</v>
      </c>
      <c r="C195" s="35" t="str">
        <f t="shared" si="77"/>
        <v>そんぽの家　光が丘</v>
      </c>
      <c r="D195" s="9" t="s">
        <v>6</v>
      </c>
      <c r="E195" s="10">
        <v>4</v>
      </c>
      <c r="F195" s="12">
        <v>0</v>
      </c>
      <c r="G195" s="12">
        <v>0</v>
      </c>
      <c r="H195" s="10">
        <f t="shared" si="53"/>
        <v>0</v>
      </c>
      <c r="I195" s="38"/>
      <c r="J195" s="19" cm="1">
        <f t="array" ref="J195">IFERROR(IF(_xlfn.XLOOKUP(L195,NC導入施設!B:B,NC導入施設!E:E)=0,_xlfn.IFS(H195&lt;=5,0,H195&lt;=10,1,H195&lt;=15,2,H195&gt;=16,3),"Null"),"-")</f>
        <v>0</v>
      </c>
      <c r="K195" s="61"/>
      <c r="L195" s="1">
        <v>2312371100</v>
      </c>
    </row>
    <row r="196" spans="1:12" ht="18" customHeight="1" x14ac:dyDescent="0.45">
      <c r="A196" s="8">
        <v>190</v>
      </c>
      <c r="B196" s="36" t="str">
        <f t="shared" si="77"/>
        <v>東京本部</v>
      </c>
      <c r="C196" s="36" t="str">
        <f t="shared" si="77"/>
        <v>そんぽの家　光が丘</v>
      </c>
      <c r="D196" s="9" t="s">
        <v>2</v>
      </c>
      <c r="E196" s="10">
        <v>1</v>
      </c>
      <c r="F196" s="12">
        <v>1</v>
      </c>
      <c r="G196" s="12">
        <v>1</v>
      </c>
      <c r="H196" s="10">
        <f t="shared" si="53"/>
        <v>1</v>
      </c>
      <c r="I196" s="39"/>
      <c r="J196" s="19" cm="1">
        <f t="array" ref="J196">IFERROR(IF(_xlfn.XLOOKUP(L196,NC導入施設!B:B,NC導入施設!E:E)=0,_xlfn.IFS(H196&lt;=5,0,H196&lt;=10,1,H196&lt;=15,2,H196&gt;=16,3),"Null"),"-")</f>
        <v>0</v>
      </c>
      <c r="K196" s="62"/>
      <c r="L196" s="1">
        <v>2312371100</v>
      </c>
    </row>
    <row r="197" spans="1:12" ht="18" customHeight="1" x14ac:dyDescent="0.45">
      <c r="A197" s="13">
        <v>191</v>
      </c>
      <c r="B197" s="40" t="s">
        <v>8</v>
      </c>
      <c r="C197" s="40" t="s">
        <v>211</v>
      </c>
      <c r="D197" s="14" t="s">
        <v>3</v>
      </c>
      <c r="E197" s="15">
        <v>1</v>
      </c>
      <c r="F197" s="17">
        <v>2</v>
      </c>
      <c r="G197" s="17">
        <v>2</v>
      </c>
      <c r="H197" s="15">
        <f t="shared" si="53"/>
        <v>2</v>
      </c>
      <c r="I197" s="43" cm="1">
        <f t="array" ref="I197">IF(J197="-","-",_xlfn.IFS(K197&lt;=5,0,K197&lt;=10,1,K197&lt;=15,2,K197&gt;=16,3))</f>
        <v>3</v>
      </c>
      <c r="J197" s="19" cm="1">
        <f t="array" ref="J197">IFERROR(IF(_xlfn.XLOOKUP(L197,NC導入施設!B:B,NC導入施設!E:E)=0,_xlfn.IFS(H197&lt;=5,0,H197&lt;=10,1,H197&lt;=15,2,H197&gt;=16,3),"Null"),"-")</f>
        <v>0</v>
      </c>
      <c r="K197" s="60">
        <f t="shared" ref="K197" si="78">IFERROR(SUM(H197:H201),"-")</f>
        <v>55</v>
      </c>
      <c r="L197" s="1">
        <v>2312401100</v>
      </c>
    </row>
    <row r="198" spans="1:12" ht="18" customHeight="1" x14ac:dyDescent="0.45">
      <c r="A198" s="13">
        <v>192</v>
      </c>
      <c r="B198" s="41" t="str">
        <f t="shared" ref="B198:C201" si="79">B197</f>
        <v>東京本部</v>
      </c>
      <c r="C198" s="41" t="str">
        <f t="shared" si="79"/>
        <v>ラヴィーレ南大泉</v>
      </c>
      <c r="D198" s="14" t="s">
        <v>4</v>
      </c>
      <c r="E198" s="15">
        <v>1</v>
      </c>
      <c r="F198" s="17">
        <v>6</v>
      </c>
      <c r="G198" s="17">
        <v>6</v>
      </c>
      <c r="H198" s="15">
        <f t="shared" si="53"/>
        <v>6</v>
      </c>
      <c r="I198" s="44"/>
      <c r="J198" s="19" cm="1">
        <f t="array" ref="J198">IFERROR(IF(_xlfn.XLOOKUP(L198,NC導入施設!B:B,NC導入施設!E:E)=0,_xlfn.IFS(H198&lt;=5,0,H198&lt;=10,1,H198&lt;=15,2,H198&gt;=16,3),"Null"),"-")</f>
        <v>1</v>
      </c>
      <c r="K198" s="61"/>
      <c r="L198" s="1">
        <v>2312401100</v>
      </c>
    </row>
    <row r="199" spans="1:12" ht="18" customHeight="1" x14ac:dyDescent="0.45">
      <c r="A199" s="13">
        <v>193</v>
      </c>
      <c r="B199" s="41" t="str">
        <f t="shared" si="79"/>
        <v>東京本部</v>
      </c>
      <c r="C199" s="41" t="str">
        <f t="shared" si="79"/>
        <v>ラヴィーレ南大泉</v>
      </c>
      <c r="D199" s="14" t="s">
        <v>5</v>
      </c>
      <c r="E199" s="15">
        <v>2</v>
      </c>
      <c r="F199" s="17">
        <v>37</v>
      </c>
      <c r="G199" s="17">
        <v>18.5</v>
      </c>
      <c r="H199" s="15">
        <f t="shared" si="53"/>
        <v>37</v>
      </c>
      <c r="I199" s="44"/>
      <c r="J199" s="19" cm="1">
        <f t="array" ref="J199">IFERROR(IF(_xlfn.XLOOKUP(L199,NC導入施設!B:B,NC導入施設!E:E)=0,_xlfn.IFS(H199&lt;=5,0,H199&lt;=10,1,H199&lt;=15,2,H199&gt;=16,3),"Null"),"-")</f>
        <v>3</v>
      </c>
      <c r="K199" s="61"/>
      <c r="L199" s="1">
        <v>2312401100</v>
      </c>
    </row>
    <row r="200" spans="1:12" ht="18" customHeight="1" x14ac:dyDescent="0.45">
      <c r="A200" s="13">
        <v>194</v>
      </c>
      <c r="B200" s="41" t="str">
        <f t="shared" si="79"/>
        <v>東京本部</v>
      </c>
      <c r="C200" s="41" t="str">
        <f t="shared" si="79"/>
        <v>ラヴィーレ南大泉</v>
      </c>
      <c r="D200" s="14" t="s">
        <v>6</v>
      </c>
      <c r="E200" s="15">
        <v>3</v>
      </c>
      <c r="F200" s="17">
        <v>0</v>
      </c>
      <c r="G200" s="17">
        <v>0</v>
      </c>
      <c r="H200" s="15">
        <f t="shared" ref="H200:H263" si="80">F200</f>
        <v>0</v>
      </c>
      <c r="I200" s="44"/>
      <c r="J200" s="19" cm="1">
        <f t="array" ref="J200">IFERROR(IF(_xlfn.XLOOKUP(L200,NC導入施設!B:B,NC導入施設!E:E)=0,_xlfn.IFS(H200&lt;=5,0,H200&lt;=10,1,H200&lt;=15,2,H200&gt;=16,3),"Null"),"-")</f>
        <v>0</v>
      </c>
      <c r="K200" s="61"/>
      <c r="L200" s="1">
        <v>2312401100</v>
      </c>
    </row>
    <row r="201" spans="1:12" ht="18" customHeight="1" x14ac:dyDescent="0.45">
      <c r="A201" s="13">
        <v>195</v>
      </c>
      <c r="B201" s="42" t="str">
        <f t="shared" si="79"/>
        <v>東京本部</v>
      </c>
      <c r="C201" s="42" t="str">
        <f t="shared" si="79"/>
        <v>ラヴィーレ南大泉</v>
      </c>
      <c r="D201" s="14" t="s">
        <v>2</v>
      </c>
      <c r="E201" s="15">
        <v>2</v>
      </c>
      <c r="F201" s="17">
        <v>10</v>
      </c>
      <c r="G201" s="17">
        <v>5</v>
      </c>
      <c r="H201" s="15">
        <f t="shared" si="80"/>
        <v>10</v>
      </c>
      <c r="I201" s="45"/>
      <c r="J201" s="19" cm="1">
        <f t="array" ref="J201">IFERROR(IF(_xlfn.XLOOKUP(L201,NC導入施設!B:B,NC導入施設!E:E)=0,_xlfn.IFS(H201&lt;=5,0,H201&lt;=10,1,H201&lt;=15,2,H201&gt;=16,3),"Null"),"-")</f>
        <v>1</v>
      </c>
      <c r="K201" s="62"/>
      <c r="L201" s="1">
        <v>2312401100</v>
      </c>
    </row>
    <row r="202" spans="1:12" ht="18" customHeight="1" x14ac:dyDescent="0.45">
      <c r="A202" s="8">
        <v>196</v>
      </c>
      <c r="B202" s="34" t="s">
        <v>8</v>
      </c>
      <c r="C202" s="34" t="s">
        <v>26</v>
      </c>
      <c r="D202" s="9" t="s">
        <v>3</v>
      </c>
      <c r="E202" s="10">
        <v>1</v>
      </c>
      <c r="F202" s="12">
        <v>0</v>
      </c>
      <c r="G202" s="12">
        <v>0</v>
      </c>
      <c r="H202" s="10">
        <f t="shared" si="80"/>
        <v>0</v>
      </c>
      <c r="I202" s="37" cm="1">
        <f t="array" ref="I202">IF(J202="-","-",_xlfn.IFS(K202&lt;=5,0,K202&lt;=10,1,K202&lt;=15,2,K202&gt;=16,3))</f>
        <v>0</v>
      </c>
      <c r="J202" s="19" cm="1">
        <f t="array" ref="J202">IFERROR(IF(_xlfn.XLOOKUP(L202,NC導入施設!B:B,NC導入施設!E:E)=0,_xlfn.IFS(H202&lt;=5,0,H202&lt;=10,1,H202&lt;=15,2,H202&gt;=16,3),"Null"),"-")</f>
        <v>0</v>
      </c>
      <c r="K202" s="60">
        <f t="shared" ref="K202" si="81">IFERROR(SUM(H202:H206),"-")</f>
        <v>3</v>
      </c>
      <c r="L202" s="1">
        <v>2312551100</v>
      </c>
    </row>
    <row r="203" spans="1:12" ht="18" customHeight="1" x14ac:dyDescent="0.45">
      <c r="A203" s="8">
        <v>197</v>
      </c>
      <c r="B203" s="35" t="str">
        <f t="shared" ref="B203:C206" si="82">B202</f>
        <v>東京本部</v>
      </c>
      <c r="C203" s="35" t="str">
        <f t="shared" si="82"/>
        <v>そんぽの家　高円寺</v>
      </c>
      <c r="D203" s="9" t="s">
        <v>4</v>
      </c>
      <c r="E203" s="10">
        <v>1</v>
      </c>
      <c r="F203" s="12">
        <v>3</v>
      </c>
      <c r="G203" s="12">
        <v>3</v>
      </c>
      <c r="H203" s="10">
        <f t="shared" si="80"/>
        <v>3</v>
      </c>
      <c r="I203" s="38"/>
      <c r="J203" s="19" cm="1">
        <f t="array" ref="J203">IFERROR(IF(_xlfn.XLOOKUP(L203,NC導入施設!B:B,NC導入施設!E:E)=0,_xlfn.IFS(H203&lt;=5,0,H203&lt;=10,1,H203&lt;=15,2,H203&gt;=16,3),"Null"),"-")</f>
        <v>0</v>
      </c>
      <c r="K203" s="61"/>
      <c r="L203" s="1">
        <v>2312551100</v>
      </c>
    </row>
    <row r="204" spans="1:12" ht="18" customHeight="1" x14ac:dyDescent="0.45">
      <c r="A204" s="8">
        <v>198</v>
      </c>
      <c r="B204" s="35" t="str">
        <f t="shared" si="82"/>
        <v>東京本部</v>
      </c>
      <c r="C204" s="35" t="str">
        <f t="shared" si="82"/>
        <v>そんぽの家　高円寺</v>
      </c>
      <c r="D204" s="9" t="s">
        <v>5</v>
      </c>
      <c r="E204" s="10">
        <v>0</v>
      </c>
      <c r="F204" s="12">
        <v>0</v>
      </c>
      <c r="G204" s="12">
        <v>0</v>
      </c>
      <c r="H204" s="10">
        <f t="shared" si="80"/>
        <v>0</v>
      </c>
      <c r="I204" s="38"/>
      <c r="J204" s="19" cm="1">
        <f t="array" ref="J204">IFERROR(IF(_xlfn.XLOOKUP(L204,NC導入施設!B:B,NC導入施設!E:E)=0,_xlfn.IFS(H204&lt;=5,0,H204&lt;=10,1,H204&lt;=15,2,H204&gt;=16,3),"Null"),"-")</f>
        <v>0</v>
      </c>
      <c r="K204" s="61"/>
      <c r="L204" s="1">
        <v>2312551100</v>
      </c>
    </row>
    <row r="205" spans="1:12" ht="18" customHeight="1" x14ac:dyDescent="0.45">
      <c r="A205" s="8">
        <v>199</v>
      </c>
      <c r="B205" s="35" t="str">
        <f t="shared" si="82"/>
        <v>東京本部</v>
      </c>
      <c r="C205" s="35" t="str">
        <f t="shared" si="82"/>
        <v>そんぽの家　高円寺</v>
      </c>
      <c r="D205" s="9" t="s">
        <v>6</v>
      </c>
      <c r="E205" s="10">
        <v>4</v>
      </c>
      <c r="F205" s="12">
        <v>0</v>
      </c>
      <c r="G205" s="12">
        <v>0</v>
      </c>
      <c r="H205" s="10">
        <f t="shared" si="80"/>
        <v>0</v>
      </c>
      <c r="I205" s="38"/>
      <c r="J205" s="19" cm="1">
        <f t="array" ref="J205">IFERROR(IF(_xlfn.XLOOKUP(L205,NC導入施設!B:B,NC導入施設!E:E)=0,_xlfn.IFS(H205&lt;=5,0,H205&lt;=10,1,H205&lt;=15,2,H205&gt;=16,3),"Null"),"-")</f>
        <v>0</v>
      </c>
      <c r="K205" s="61"/>
      <c r="L205" s="1">
        <v>2312551100</v>
      </c>
    </row>
    <row r="206" spans="1:12" ht="18" customHeight="1" x14ac:dyDescent="0.45">
      <c r="A206" s="8">
        <v>200</v>
      </c>
      <c r="B206" s="36" t="str">
        <f t="shared" si="82"/>
        <v>東京本部</v>
      </c>
      <c r="C206" s="36" t="str">
        <f t="shared" si="82"/>
        <v>そんぽの家　高円寺</v>
      </c>
      <c r="D206" s="9" t="s">
        <v>2</v>
      </c>
      <c r="E206" s="10">
        <v>1</v>
      </c>
      <c r="F206" s="12">
        <v>0</v>
      </c>
      <c r="G206" s="12">
        <v>0</v>
      </c>
      <c r="H206" s="10">
        <f t="shared" si="80"/>
        <v>0</v>
      </c>
      <c r="I206" s="39"/>
      <c r="J206" s="19" cm="1">
        <f t="array" ref="J206">IFERROR(IF(_xlfn.XLOOKUP(L206,NC導入施設!B:B,NC導入施設!E:E)=0,_xlfn.IFS(H206&lt;=5,0,H206&lt;=10,1,H206&lt;=15,2,H206&gt;=16,3),"Null"),"-")</f>
        <v>0</v>
      </c>
      <c r="K206" s="62"/>
      <c r="L206" s="1">
        <v>2312551100</v>
      </c>
    </row>
    <row r="207" spans="1:12" ht="18" customHeight="1" x14ac:dyDescent="0.45">
      <c r="A207" s="13">
        <v>201</v>
      </c>
      <c r="B207" s="40" t="s">
        <v>8</v>
      </c>
      <c r="C207" s="40" t="s">
        <v>27</v>
      </c>
      <c r="D207" s="14" t="s">
        <v>3</v>
      </c>
      <c r="E207" s="15">
        <v>1</v>
      </c>
      <c r="F207" s="17">
        <v>20</v>
      </c>
      <c r="G207" s="17">
        <v>20</v>
      </c>
      <c r="H207" s="15">
        <f t="shared" si="80"/>
        <v>20</v>
      </c>
      <c r="I207" s="43" cm="1">
        <f t="array" ref="I207">IF(J207="-","-",_xlfn.IFS(K207&lt;=5,0,K207&lt;=10,1,K207&lt;=15,2,K207&gt;=16,3))</f>
        <v>3</v>
      </c>
      <c r="J207" s="19" cm="1">
        <f t="array" ref="J207">IFERROR(IF(_xlfn.XLOOKUP(L207,NC導入施設!B:B,NC導入施設!E:E)=0,_xlfn.IFS(H207&lt;=5,0,H207&lt;=10,1,H207&lt;=15,2,H207&gt;=16,3),"Null"),"-")</f>
        <v>3</v>
      </c>
      <c r="K207" s="60">
        <f t="shared" ref="K207" si="83">IFERROR(SUM(H207:H211),"-")</f>
        <v>54</v>
      </c>
      <c r="L207" s="1">
        <v>2312751100</v>
      </c>
    </row>
    <row r="208" spans="1:12" ht="18" customHeight="1" x14ac:dyDescent="0.45">
      <c r="A208" s="13">
        <v>202</v>
      </c>
      <c r="B208" s="41" t="str">
        <f t="shared" ref="B208:C211" si="84">B207</f>
        <v>東京本部</v>
      </c>
      <c r="C208" s="41" t="str">
        <f t="shared" si="84"/>
        <v>そんぽの家　三鷹牟礼</v>
      </c>
      <c r="D208" s="14" t="s">
        <v>4</v>
      </c>
      <c r="E208" s="15">
        <v>1</v>
      </c>
      <c r="F208" s="17">
        <v>8</v>
      </c>
      <c r="G208" s="17">
        <v>8</v>
      </c>
      <c r="H208" s="15">
        <f t="shared" si="80"/>
        <v>8</v>
      </c>
      <c r="I208" s="44"/>
      <c r="J208" s="19" cm="1">
        <f t="array" ref="J208">IFERROR(IF(_xlfn.XLOOKUP(L208,NC導入施設!B:B,NC導入施設!E:E)=0,_xlfn.IFS(H208&lt;=5,0,H208&lt;=10,1,H208&lt;=15,2,H208&gt;=16,3),"Null"),"-")</f>
        <v>1</v>
      </c>
      <c r="K208" s="61"/>
      <c r="L208" s="1">
        <v>2312751100</v>
      </c>
    </row>
    <row r="209" spans="1:12" ht="18" customHeight="1" x14ac:dyDescent="0.45">
      <c r="A209" s="13">
        <v>203</v>
      </c>
      <c r="B209" s="41" t="str">
        <f t="shared" si="84"/>
        <v>東京本部</v>
      </c>
      <c r="C209" s="41" t="str">
        <f t="shared" si="84"/>
        <v>そんぽの家　三鷹牟礼</v>
      </c>
      <c r="D209" s="14" t="s">
        <v>5</v>
      </c>
      <c r="E209" s="15">
        <v>1</v>
      </c>
      <c r="F209" s="17">
        <v>0</v>
      </c>
      <c r="G209" s="17">
        <v>0</v>
      </c>
      <c r="H209" s="15">
        <f t="shared" si="80"/>
        <v>0</v>
      </c>
      <c r="I209" s="44"/>
      <c r="J209" s="19" cm="1">
        <f t="array" ref="J209">IFERROR(IF(_xlfn.XLOOKUP(L209,NC導入施設!B:B,NC導入施設!E:E)=0,_xlfn.IFS(H209&lt;=5,0,H209&lt;=10,1,H209&lt;=15,2,H209&gt;=16,3),"Null"),"-")</f>
        <v>0</v>
      </c>
      <c r="K209" s="61"/>
      <c r="L209" s="1">
        <v>2312751100</v>
      </c>
    </row>
    <row r="210" spans="1:12" ht="18" customHeight="1" x14ac:dyDescent="0.45">
      <c r="A210" s="13">
        <v>204</v>
      </c>
      <c r="B210" s="41" t="str">
        <f t="shared" si="84"/>
        <v>東京本部</v>
      </c>
      <c r="C210" s="41" t="str">
        <f t="shared" si="84"/>
        <v>そんぽの家　三鷹牟礼</v>
      </c>
      <c r="D210" s="14" t="s">
        <v>6</v>
      </c>
      <c r="E210" s="15">
        <v>3</v>
      </c>
      <c r="F210" s="17">
        <v>0</v>
      </c>
      <c r="G210" s="17">
        <v>0</v>
      </c>
      <c r="H210" s="15">
        <f t="shared" si="80"/>
        <v>0</v>
      </c>
      <c r="I210" s="44"/>
      <c r="J210" s="19" cm="1">
        <f t="array" ref="J210">IFERROR(IF(_xlfn.XLOOKUP(L210,NC導入施設!B:B,NC導入施設!E:E)=0,_xlfn.IFS(H210&lt;=5,0,H210&lt;=10,1,H210&lt;=15,2,H210&gt;=16,3),"Null"),"-")</f>
        <v>0</v>
      </c>
      <c r="K210" s="61"/>
      <c r="L210" s="1">
        <v>2312751100</v>
      </c>
    </row>
    <row r="211" spans="1:12" ht="18" customHeight="1" x14ac:dyDescent="0.45">
      <c r="A211" s="13">
        <v>205</v>
      </c>
      <c r="B211" s="42" t="str">
        <f t="shared" si="84"/>
        <v>東京本部</v>
      </c>
      <c r="C211" s="42" t="str">
        <f t="shared" si="84"/>
        <v>そんぽの家　三鷹牟礼</v>
      </c>
      <c r="D211" s="14" t="s">
        <v>2</v>
      </c>
      <c r="E211" s="15">
        <v>2</v>
      </c>
      <c r="F211" s="17">
        <v>26</v>
      </c>
      <c r="G211" s="17">
        <v>13</v>
      </c>
      <c r="H211" s="15">
        <f t="shared" si="80"/>
        <v>26</v>
      </c>
      <c r="I211" s="45"/>
      <c r="J211" s="19" cm="1">
        <f t="array" ref="J211">IFERROR(IF(_xlfn.XLOOKUP(L211,NC導入施設!B:B,NC導入施設!E:E)=0,_xlfn.IFS(H211&lt;=5,0,H211&lt;=10,1,H211&lt;=15,2,H211&gt;=16,3),"Null"),"-")</f>
        <v>3</v>
      </c>
      <c r="K211" s="62"/>
      <c r="L211" s="1">
        <v>2312751100</v>
      </c>
    </row>
    <row r="212" spans="1:12" ht="18" customHeight="1" x14ac:dyDescent="0.45">
      <c r="A212" s="8">
        <v>206</v>
      </c>
      <c r="B212" s="34" t="s">
        <v>8</v>
      </c>
      <c r="C212" s="34" t="s">
        <v>28</v>
      </c>
      <c r="D212" s="9" t="s">
        <v>3</v>
      </c>
      <c r="E212" s="10">
        <v>1</v>
      </c>
      <c r="F212" s="12">
        <v>7</v>
      </c>
      <c r="G212" s="12">
        <v>7</v>
      </c>
      <c r="H212" s="10">
        <f t="shared" si="80"/>
        <v>7</v>
      </c>
      <c r="I212" s="37" cm="1">
        <f t="array" ref="I212">IF(J212="-","-",_xlfn.IFS(K212&lt;=5,0,K212&lt;=10,1,K212&lt;=15,2,K212&gt;=16,3))</f>
        <v>3</v>
      </c>
      <c r="J212" s="19" cm="1">
        <f t="array" ref="J212">IFERROR(IF(_xlfn.XLOOKUP(L212,NC導入施設!B:B,NC導入施設!E:E)=0,_xlfn.IFS(H212&lt;=5,0,H212&lt;=10,1,H212&lt;=15,2,H212&gt;=16,3),"Null"),"-")</f>
        <v>1</v>
      </c>
      <c r="K212" s="60">
        <f t="shared" ref="K212" si="85">IFERROR(SUM(H212:H216),"-")</f>
        <v>29</v>
      </c>
      <c r="L212" s="1">
        <v>2312781100</v>
      </c>
    </row>
    <row r="213" spans="1:12" ht="18" customHeight="1" x14ac:dyDescent="0.45">
      <c r="A213" s="8">
        <v>207</v>
      </c>
      <c r="B213" s="35" t="str">
        <f t="shared" ref="B213:C216" si="86">B212</f>
        <v>東京本部</v>
      </c>
      <c r="C213" s="35" t="str">
        <f t="shared" si="86"/>
        <v>そんぽの家　三鷹新川</v>
      </c>
      <c r="D213" s="9" t="s">
        <v>4</v>
      </c>
      <c r="E213" s="10">
        <v>1</v>
      </c>
      <c r="F213" s="12">
        <v>0</v>
      </c>
      <c r="G213" s="12">
        <v>0</v>
      </c>
      <c r="H213" s="10">
        <f t="shared" si="80"/>
        <v>0</v>
      </c>
      <c r="I213" s="38"/>
      <c r="J213" s="19" cm="1">
        <f t="array" ref="J213">IFERROR(IF(_xlfn.XLOOKUP(L213,NC導入施設!B:B,NC導入施設!E:E)=0,_xlfn.IFS(H213&lt;=5,0,H213&lt;=10,1,H213&lt;=15,2,H213&gt;=16,3),"Null"),"-")</f>
        <v>0</v>
      </c>
      <c r="K213" s="61"/>
      <c r="L213" s="1">
        <v>2312781100</v>
      </c>
    </row>
    <row r="214" spans="1:12" ht="18" customHeight="1" x14ac:dyDescent="0.45">
      <c r="A214" s="8">
        <v>208</v>
      </c>
      <c r="B214" s="35" t="str">
        <f t="shared" si="86"/>
        <v>東京本部</v>
      </c>
      <c r="C214" s="35" t="str">
        <f t="shared" si="86"/>
        <v>そんぽの家　三鷹新川</v>
      </c>
      <c r="D214" s="9" t="s">
        <v>5</v>
      </c>
      <c r="E214" s="10">
        <v>1</v>
      </c>
      <c r="F214" s="12">
        <v>0</v>
      </c>
      <c r="G214" s="12">
        <v>0</v>
      </c>
      <c r="H214" s="10">
        <f t="shared" si="80"/>
        <v>0</v>
      </c>
      <c r="I214" s="38"/>
      <c r="J214" s="19" cm="1">
        <f t="array" ref="J214">IFERROR(IF(_xlfn.XLOOKUP(L214,NC導入施設!B:B,NC導入施設!E:E)=0,_xlfn.IFS(H214&lt;=5,0,H214&lt;=10,1,H214&lt;=15,2,H214&gt;=16,3),"Null"),"-")</f>
        <v>0</v>
      </c>
      <c r="K214" s="61"/>
      <c r="L214" s="1">
        <v>2312781100</v>
      </c>
    </row>
    <row r="215" spans="1:12" ht="18" customHeight="1" x14ac:dyDescent="0.45">
      <c r="A215" s="8">
        <v>209</v>
      </c>
      <c r="B215" s="35" t="str">
        <f t="shared" si="86"/>
        <v>東京本部</v>
      </c>
      <c r="C215" s="35" t="str">
        <f t="shared" si="86"/>
        <v>そんぽの家　三鷹新川</v>
      </c>
      <c r="D215" s="9" t="s">
        <v>6</v>
      </c>
      <c r="E215" s="10">
        <v>3</v>
      </c>
      <c r="F215" s="12">
        <v>0</v>
      </c>
      <c r="G215" s="12">
        <v>0</v>
      </c>
      <c r="H215" s="10">
        <f t="shared" si="80"/>
        <v>0</v>
      </c>
      <c r="I215" s="38"/>
      <c r="J215" s="19" cm="1">
        <f t="array" ref="J215">IFERROR(IF(_xlfn.XLOOKUP(L215,NC導入施設!B:B,NC導入施設!E:E)=0,_xlfn.IFS(H215&lt;=5,0,H215&lt;=10,1,H215&lt;=15,2,H215&gt;=16,3),"Null"),"-")</f>
        <v>0</v>
      </c>
      <c r="K215" s="61"/>
      <c r="L215" s="1">
        <v>2312781100</v>
      </c>
    </row>
    <row r="216" spans="1:12" ht="18" customHeight="1" x14ac:dyDescent="0.45">
      <c r="A216" s="8">
        <v>210</v>
      </c>
      <c r="B216" s="36" t="str">
        <f t="shared" si="86"/>
        <v>東京本部</v>
      </c>
      <c r="C216" s="36" t="str">
        <f t="shared" si="86"/>
        <v>そんぽの家　三鷹新川</v>
      </c>
      <c r="D216" s="9" t="s">
        <v>2</v>
      </c>
      <c r="E216" s="10">
        <v>1</v>
      </c>
      <c r="F216" s="12">
        <v>22</v>
      </c>
      <c r="G216" s="12">
        <v>22</v>
      </c>
      <c r="H216" s="10">
        <f t="shared" si="80"/>
        <v>22</v>
      </c>
      <c r="I216" s="39"/>
      <c r="J216" s="19" cm="1">
        <f t="array" ref="J216">IFERROR(IF(_xlfn.XLOOKUP(L216,NC導入施設!B:B,NC導入施設!E:E)=0,_xlfn.IFS(H216&lt;=5,0,H216&lt;=10,1,H216&lt;=15,2,H216&gt;=16,3),"Null"),"-")</f>
        <v>3</v>
      </c>
      <c r="K216" s="62"/>
      <c r="L216" s="1">
        <v>2312781100</v>
      </c>
    </row>
    <row r="217" spans="1:12" ht="18" customHeight="1" x14ac:dyDescent="0.45">
      <c r="A217" s="13">
        <v>211</v>
      </c>
      <c r="B217" s="40" t="s">
        <v>8</v>
      </c>
      <c r="C217" s="40" t="s">
        <v>29</v>
      </c>
      <c r="D217" s="14" t="s">
        <v>3</v>
      </c>
      <c r="E217" s="15">
        <v>1</v>
      </c>
      <c r="F217" s="17">
        <v>7</v>
      </c>
      <c r="G217" s="17">
        <v>7</v>
      </c>
      <c r="H217" s="15">
        <f t="shared" si="80"/>
        <v>7</v>
      </c>
      <c r="I217" s="43" cm="1">
        <f t="array" ref="I217">IF(J217="-","-",_xlfn.IFS(K217&lt;=5,0,K217&lt;=10,1,K217&lt;=15,2,K217&gt;=16,3))</f>
        <v>3</v>
      </c>
      <c r="J217" s="19" cm="1">
        <f t="array" ref="J217">IFERROR(IF(_xlfn.XLOOKUP(L217,NC導入施設!B:B,NC導入施設!E:E)=0,_xlfn.IFS(H217&lt;=5,0,H217&lt;=10,1,H217&lt;=15,2,H217&gt;=16,3),"Null"),"-")</f>
        <v>1</v>
      </c>
      <c r="K217" s="60">
        <f t="shared" ref="K217" si="87">IFERROR(SUM(H217:H221),"-")</f>
        <v>36</v>
      </c>
      <c r="L217" s="1">
        <v>2312791100</v>
      </c>
    </row>
    <row r="218" spans="1:12" ht="18" customHeight="1" x14ac:dyDescent="0.45">
      <c r="A218" s="13">
        <v>212</v>
      </c>
      <c r="B218" s="41" t="str">
        <f t="shared" ref="B218:C221" si="88">B217</f>
        <v>東京本部</v>
      </c>
      <c r="C218" s="41" t="str">
        <f t="shared" si="88"/>
        <v>そんぽの家　三鷹中原</v>
      </c>
      <c r="D218" s="14" t="s">
        <v>4</v>
      </c>
      <c r="E218" s="15">
        <v>1</v>
      </c>
      <c r="F218" s="17">
        <v>29</v>
      </c>
      <c r="G218" s="17">
        <v>29</v>
      </c>
      <c r="H218" s="15">
        <f t="shared" si="80"/>
        <v>29</v>
      </c>
      <c r="I218" s="44"/>
      <c r="J218" s="19" cm="1">
        <f t="array" ref="J218">IFERROR(IF(_xlfn.XLOOKUP(L218,NC導入施設!B:B,NC導入施設!E:E)=0,_xlfn.IFS(H218&lt;=5,0,H218&lt;=10,1,H218&lt;=15,2,H218&gt;=16,3),"Null"),"-")</f>
        <v>3</v>
      </c>
      <c r="K218" s="61"/>
      <c r="L218" s="1">
        <v>2312791100</v>
      </c>
    </row>
    <row r="219" spans="1:12" ht="18" customHeight="1" x14ac:dyDescent="0.45">
      <c r="A219" s="13">
        <v>213</v>
      </c>
      <c r="B219" s="41" t="str">
        <f t="shared" si="88"/>
        <v>東京本部</v>
      </c>
      <c r="C219" s="41" t="str">
        <f t="shared" si="88"/>
        <v>そんぽの家　三鷹中原</v>
      </c>
      <c r="D219" s="14" t="s">
        <v>5</v>
      </c>
      <c r="E219" s="15">
        <v>0</v>
      </c>
      <c r="F219" s="17">
        <v>0</v>
      </c>
      <c r="G219" s="17">
        <v>0</v>
      </c>
      <c r="H219" s="15">
        <f t="shared" si="80"/>
        <v>0</v>
      </c>
      <c r="I219" s="44"/>
      <c r="J219" s="19" cm="1">
        <f t="array" ref="J219">IFERROR(IF(_xlfn.XLOOKUP(L219,NC導入施設!B:B,NC導入施設!E:E)=0,_xlfn.IFS(H219&lt;=5,0,H219&lt;=10,1,H219&lt;=15,2,H219&gt;=16,3),"Null"),"-")</f>
        <v>0</v>
      </c>
      <c r="K219" s="61"/>
      <c r="L219" s="1">
        <v>2312791100</v>
      </c>
    </row>
    <row r="220" spans="1:12" ht="18" customHeight="1" x14ac:dyDescent="0.45">
      <c r="A220" s="13">
        <v>214</v>
      </c>
      <c r="B220" s="41" t="str">
        <f t="shared" si="88"/>
        <v>東京本部</v>
      </c>
      <c r="C220" s="41" t="str">
        <f t="shared" si="88"/>
        <v>そんぽの家　三鷹中原</v>
      </c>
      <c r="D220" s="14" t="s">
        <v>6</v>
      </c>
      <c r="E220" s="15">
        <v>2</v>
      </c>
      <c r="F220" s="17">
        <v>0</v>
      </c>
      <c r="G220" s="17">
        <v>0</v>
      </c>
      <c r="H220" s="15">
        <f t="shared" si="80"/>
        <v>0</v>
      </c>
      <c r="I220" s="44"/>
      <c r="J220" s="19" cm="1">
        <f t="array" ref="J220">IFERROR(IF(_xlfn.XLOOKUP(L220,NC導入施設!B:B,NC導入施設!E:E)=0,_xlfn.IFS(H220&lt;=5,0,H220&lt;=10,1,H220&lt;=15,2,H220&gt;=16,3),"Null"),"-")</f>
        <v>0</v>
      </c>
      <c r="K220" s="61"/>
      <c r="L220" s="1">
        <v>2312791100</v>
      </c>
    </row>
    <row r="221" spans="1:12" ht="18" customHeight="1" x14ac:dyDescent="0.45">
      <c r="A221" s="13">
        <v>215</v>
      </c>
      <c r="B221" s="42" t="str">
        <f t="shared" si="88"/>
        <v>東京本部</v>
      </c>
      <c r="C221" s="42" t="str">
        <f t="shared" si="88"/>
        <v>そんぽの家　三鷹中原</v>
      </c>
      <c r="D221" s="14" t="s">
        <v>2</v>
      </c>
      <c r="E221" s="15">
        <v>1</v>
      </c>
      <c r="F221" s="17">
        <v>0</v>
      </c>
      <c r="G221" s="17">
        <v>0</v>
      </c>
      <c r="H221" s="15">
        <f t="shared" si="80"/>
        <v>0</v>
      </c>
      <c r="I221" s="45"/>
      <c r="J221" s="19" cm="1">
        <f t="array" ref="J221">IFERROR(IF(_xlfn.XLOOKUP(L221,NC導入施設!B:B,NC導入施設!E:E)=0,_xlfn.IFS(H221&lt;=5,0,H221&lt;=10,1,H221&lt;=15,2,H221&gt;=16,3),"Null"),"-")</f>
        <v>0</v>
      </c>
      <c r="K221" s="62"/>
      <c r="L221" s="1">
        <v>2312791100</v>
      </c>
    </row>
    <row r="222" spans="1:12" ht="18" customHeight="1" x14ac:dyDescent="0.45">
      <c r="A222" s="8">
        <v>216</v>
      </c>
      <c r="B222" s="34" t="s">
        <v>8</v>
      </c>
      <c r="C222" s="34" t="s">
        <v>212</v>
      </c>
      <c r="D222" s="9" t="s">
        <v>3</v>
      </c>
      <c r="E222" s="10">
        <v>1</v>
      </c>
      <c r="F222" s="12">
        <v>1</v>
      </c>
      <c r="G222" s="12">
        <v>1</v>
      </c>
      <c r="H222" s="10">
        <f t="shared" si="80"/>
        <v>1</v>
      </c>
      <c r="I222" s="37" cm="1">
        <f t="array" ref="I222">IF(J222="-","-",_xlfn.IFS(K222&lt;=5,0,K222&lt;=10,1,K222&lt;=15,2,K222&gt;=16,3))</f>
        <v>3</v>
      </c>
      <c r="J222" s="19" cm="1">
        <f t="array" ref="J222">IFERROR(IF(_xlfn.XLOOKUP(L222,NC導入施設!B:B,NC導入施設!E:E)=0,_xlfn.IFS(H222&lt;=5,0,H222&lt;=10,1,H222&lt;=15,2,H222&gt;=16,3),"Null"),"-")</f>
        <v>0</v>
      </c>
      <c r="K222" s="60">
        <f t="shared" ref="K222" si="89">IFERROR(SUM(H222:H226),"-")</f>
        <v>23</v>
      </c>
      <c r="L222" s="1">
        <v>2312811100</v>
      </c>
    </row>
    <row r="223" spans="1:12" ht="18" customHeight="1" x14ac:dyDescent="0.45">
      <c r="A223" s="8">
        <v>217</v>
      </c>
      <c r="B223" s="35" t="str">
        <f t="shared" ref="B223:C226" si="90">B222</f>
        <v>東京本部</v>
      </c>
      <c r="C223" s="35" t="str">
        <f t="shared" si="90"/>
        <v>ラヴィーレ武蔵境</v>
      </c>
      <c r="D223" s="9" t="s">
        <v>4</v>
      </c>
      <c r="E223" s="10">
        <v>1</v>
      </c>
      <c r="F223" s="12">
        <v>4</v>
      </c>
      <c r="G223" s="12">
        <v>4</v>
      </c>
      <c r="H223" s="10">
        <f t="shared" si="80"/>
        <v>4</v>
      </c>
      <c r="I223" s="38"/>
      <c r="J223" s="19" cm="1">
        <f t="array" ref="J223">IFERROR(IF(_xlfn.XLOOKUP(L223,NC導入施設!B:B,NC導入施設!E:E)=0,_xlfn.IFS(H223&lt;=5,0,H223&lt;=10,1,H223&lt;=15,2,H223&gt;=16,3),"Null"),"-")</f>
        <v>0</v>
      </c>
      <c r="K223" s="61"/>
      <c r="L223" s="1">
        <v>2312811100</v>
      </c>
    </row>
    <row r="224" spans="1:12" ht="18" customHeight="1" x14ac:dyDescent="0.45">
      <c r="A224" s="8">
        <v>218</v>
      </c>
      <c r="B224" s="35" t="str">
        <f t="shared" si="90"/>
        <v>東京本部</v>
      </c>
      <c r="C224" s="35" t="str">
        <f t="shared" si="90"/>
        <v>ラヴィーレ武蔵境</v>
      </c>
      <c r="D224" s="9" t="s">
        <v>5</v>
      </c>
      <c r="E224" s="10">
        <v>2</v>
      </c>
      <c r="F224" s="12">
        <v>18</v>
      </c>
      <c r="G224" s="12">
        <v>9</v>
      </c>
      <c r="H224" s="10">
        <f t="shared" si="80"/>
        <v>18</v>
      </c>
      <c r="I224" s="38"/>
      <c r="J224" s="19" cm="1">
        <f t="array" ref="J224">IFERROR(IF(_xlfn.XLOOKUP(L224,NC導入施設!B:B,NC導入施設!E:E)=0,_xlfn.IFS(H224&lt;=5,0,H224&lt;=10,1,H224&lt;=15,2,H224&gt;=16,3),"Null"),"-")</f>
        <v>3</v>
      </c>
      <c r="K224" s="61"/>
      <c r="L224" s="1">
        <v>2312811100</v>
      </c>
    </row>
    <row r="225" spans="1:12" ht="18" customHeight="1" x14ac:dyDescent="0.45">
      <c r="A225" s="8">
        <v>219</v>
      </c>
      <c r="B225" s="35" t="str">
        <f t="shared" si="90"/>
        <v>東京本部</v>
      </c>
      <c r="C225" s="35" t="str">
        <f t="shared" si="90"/>
        <v>ラヴィーレ武蔵境</v>
      </c>
      <c r="D225" s="9" t="s">
        <v>6</v>
      </c>
      <c r="E225" s="10">
        <v>4</v>
      </c>
      <c r="F225" s="12">
        <v>0</v>
      </c>
      <c r="G225" s="12">
        <v>0</v>
      </c>
      <c r="H225" s="10">
        <f t="shared" si="80"/>
        <v>0</v>
      </c>
      <c r="I225" s="38"/>
      <c r="J225" s="19" cm="1">
        <f t="array" ref="J225">IFERROR(IF(_xlfn.XLOOKUP(L225,NC導入施設!B:B,NC導入施設!E:E)=0,_xlfn.IFS(H225&lt;=5,0,H225&lt;=10,1,H225&lt;=15,2,H225&gt;=16,3),"Null"),"-")</f>
        <v>0</v>
      </c>
      <c r="K225" s="61"/>
      <c r="L225" s="1">
        <v>2312811100</v>
      </c>
    </row>
    <row r="226" spans="1:12" ht="18" customHeight="1" x14ac:dyDescent="0.45">
      <c r="A226" s="8">
        <v>220</v>
      </c>
      <c r="B226" s="36" t="str">
        <f t="shared" si="90"/>
        <v>東京本部</v>
      </c>
      <c r="C226" s="36" t="str">
        <f t="shared" si="90"/>
        <v>ラヴィーレ武蔵境</v>
      </c>
      <c r="D226" s="9" t="s">
        <v>2</v>
      </c>
      <c r="E226" s="10">
        <v>1</v>
      </c>
      <c r="F226" s="12">
        <v>0</v>
      </c>
      <c r="G226" s="12">
        <v>0</v>
      </c>
      <c r="H226" s="10">
        <f t="shared" si="80"/>
        <v>0</v>
      </c>
      <c r="I226" s="39"/>
      <c r="J226" s="19" cm="1">
        <f t="array" ref="J226">IFERROR(IF(_xlfn.XLOOKUP(L226,NC導入施設!B:B,NC導入施設!E:E)=0,_xlfn.IFS(H226&lt;=5,0,H226&lt;=10,1,H226&lt;=15,2,H226&gt;=16,3),"Null"),"-")</f>
        <v>0</v>
      </c>
      <c r="K226" s="62"/>
      <c r="L226" s="1">
        <v>2312811100</v>
      </c>
    </row>
    <row r="227" spans="1:12" ht="18" customHeight="1" x14ac:dyDescent="0.45">
      <c r="A227" s="13">
        <v>221</v>
      </c>
      <c r="B227" s="40" t="s">
        <v>8</v>
      </c>
      <c r="C227" s="40" t="s">
        <v>213</v>
      </c>
      <c r="D227" s="14" t="s">
        <v>3</v>
      </c>
      <c r="E227" s="15">
        <v>1</v>
      </c>
      <c r="F227" s="17">
        <v>11</v>
      </c>
      <c r="G227" s="17">
        <v>11</v>
      </c>
      <c r="H227" s="15">
        <f t="shared" si="80"/>
        <v>11</v>
      </c>
      <c r="I227" s="43" cm="1">
        <f t="array" ref="I227">IF(J227="-","-",_xlfn.IFS(K227&lt;=5,0,K227&lt;=10,1,K227&lt;=15,2,K227&gt;=16,3))</f>
        <v>3</v>
      </c>
      <c r="J227" s="19" cm="1">
        <f t="array" ref="J227">IFERROR(IF(_xlfn.XLOOKUP(L227,NC導入施設!B:B,NC導入施設!E:E)=0,_xlfn.IFS(H227&lt;=5,0,H227&lt;=10,1,H227&lt;=15,2,H227&gt;=16,3),"Null"),"-")</f>
        <v>2</v>
      </c>
      <c r="K227" s="60">
        <f t="shared" ref="K227" si="91">IFERROR(SUM(H227:H231),"-")</f>
        <v>51</v>
      </c>
      <c r="L227" s="1">
        <v>2312821100</v>
      </c>
    </row>
    <row r="228" spans="1:12" ht="18" customHeight="1" x14ac:dyDescent="0.45">
      <c r="A228" s="13">
        <v>222</v>
      </c>
      <c r="B228" s="41" t="str">
        <f t="shared" ref="B228:C231" si="92">B227</f>
        <v>東京本部</v>
      </c>
      <c r="C228" s="41" t="str">
        <f t="shared" si="92"/>
        <v>ラヴィーレ仙川</v>
      </c>
      <c r="D228" s="14" t="s">
        <v>4</v>
      </c>
      <c r="E228" s="15">
        <v>2</v>
      </c>
      <c r="F228" s="17">
        <v>4</v>
      </c>
      <c r="G228" s="17">
        <v>2</v>
      </c>
      <c r="H228" s="15">
        <f t="shared" si="80"/>
        <v>4</v>
      </c>
      <c r="I228" s="44"/>
      <c r="J228" s="19" cm="1">
        <f t="array" ref="J228">IFERROR(IF(_xlfn.XLOOKUP(L228,NC導入施設!B:B,NC導入施設!E:E)=0,_xlfn.IFS(H228&lt;=5,0,H228&lt;=10,1,H228&lt;=15,2,H228&gt;=16,3),"Null"),"-")</f>
        <v>0</v>
      </c>
      <c r="K228" s="61"/>
      <c r="L228" s="1">
        <v>2312821100</v>
      </c>
    </row>
    <row r="229" spans="1:12" ht="18" customHeight="1" x14ac:dyDescent="0.45">
      <c r="A229" s="13">
        <v>223</v>
      </c>
      <c r="B229" s="41" t="str">
        <f t="shared" si="92"/>
        <v>東京本部</v>
      </c>
      <c r="C229" s="41" t="str">
        <f t="shared" si="92"/>
        <v>ラヴィーレ仙川</v>
      </c>
      <c r="D229" s="14" t="s">
        <v>5</v>
      </c>
      <c r="E229" s="15">
        <v>2</v>
      </c>
      <c r="F229" s="17">
        <v>27</v>
      </c>
      <c r="G229" s="17">
        <v>13.5</v>
      </c>
      <c r="H229" s="15">
        <f t="shared" si="80"/>
        <v>27</v>
      </c>
      <c r="I229" s="44"/>
      <c r="J229" s="19" cm="1">
        <f t="array" ref="J229">IFERROR(IF(_xlfn.XLOOKUP(L229,NC導入施設!B:B,NC導入施設!E:E)=0,_xlfn.IFS(H229&lt;=5,0,H229&lt;=10,1,H229&lt;=15,2,H229&gt;=16,3),"Null"),"-")</f>
        <v>3</v>
      </c>
      <c r="K229" s="61"/>
      <c r="L229" s="1">
        <v>2312821100</v>
      </c>
    </row>
    <row r="230" spans="1:12" ht="18" customHeight="1" x14ac:dyDescent="0.45">
      <c r="A230" s="13">
        <v>224</v>
      </c>
      <c r="B230" s="41" t="str">
        <f t="shared" si="92"/>
        <v>東京本部</v>
      </c>
      <c r="C230" s="41" t="str">
        <f t="shared" si="92"/>
        <v>ラヴィーレ仙川</v>
      </c>
      <c r="D230" s="14" t="s">
        <v>6</v>
      </c>
      <c r="E230" s="15">
        <v>4</v>
      </c>
      <c r="F230" s="17">
        <v>9</v>
      </c>
      <c r="G230" s="17">
        <v>2.2999999999999998</v>
      </c>
      <c r="H230" s="15">
        <f t="shared" si="80"/>
        <v>9</v>
      </c>
      <c r="I230" s="44"/>
      <c r="J230" s="19" cm="1">
        <f t="array" ref="J230">IFERROR(IF(_xlfn.XLOOKUP(L230,NC導入施設!B:B,NC導入施設!E:E)=0,_xlfn.IFS(H230&lt;=5,0,H230&lt;=10,1,H230&lt;=15,2,H230&gt;=16,3),"Null"),"-")</f>
        <v>1</v>
      </c>
      <c r="K230" s="61"/>
      <c r="L230" s="1">
        <v>2312821100</v>
      </c>
    </row>
    <row r="231" spans="1:12" ht="18" customHeight="1" x14ac:dyDescent="0.45">
      <c r="A231" s="13">
        <v>225</v>
      </c>
      <c r="B231" s="42" t="str">
        <f t="shared" si="92"/>
        <v>東京本部</v>
      </c>
      <c r="C231" s="42" t="str">
        <f t="shared" si="92"/>
        <v>ラヴィーレ仙川</v>
      </c>
      <c r="D231" s="14" t="s">
        <v>2</v>
      </c>
      <c r="E231" s="15">
        <v>2</v>
      </c>
      <c r="F231" s="17">
        <v>0</v>
      </c>
      <c r="G231" s="17">
        <v>0</v>
      </c>
      <c r="H231" s="15">
        <f t="shared" si="80"/>
        <v>0</v>
      </c>
      <c r="I231" s="45"/>
      <c r="J231" s="19" cm="1">
        <f t="array" ref="J231">IFERROR(IF(_xlfn.XLOOKUP(L231,NC導入施設!B:B,NC導入施設!E:E)=0,_xlfn.IFS(H231&lt;=5,0,H231&lt;=10,1,H231&lt;=15,2,H231&gt;=16,3),"Null"),"-")</f>
        <v>0</v>
      </c>
      <c r="K231" s="62"/>
      <c r="L231" s="1">
        <v>2312821100</v>
      </c>
    </row>
    <row r="232" spans="1:12" ht="18" customHeight="1" x14ac:dyDescent="0.45">
      <c r="A232" s="8">
        <v>226</v>
      </c>
      <c r="B232" s="34" t="s">
        <v>8</v>
      </c>
      <c r="C232" s="34" t="s">
        <v>30</v>
      </c>
      <c r="D232" s="9" t="s">
        <v>3</v>
      </c>
      <c r="E232" s="10">
        <v>1</v>
      </c>
      <c r="F232" s="12">
        <v>1</v>
      </c>
      <c r="G232" s="12">
        <v>1</v>
      </c>
      <c r="H232" s="10">
        <f t="shared" si="80"/>
        <v>1</v>
      </c>
      <c r="I232" s="37" cm="1">
        <f t="array" ref="I232">IF(J232="-","-",_xlfn.IFS(K232&lt;=5,0,K232&lt;=10,1,K232&lt;=15,2,K232&gt;=16,3))</f>
        <v>2</v>
      </c>
      <c r="J232" s="19" cm="1">
        <f t="array" ref="J232">IFERROR(IF(_xlfn.XLOOKUP(L232,NC導入施設!B:B,NC導入施設!E:E)=0,_xlfn.IFS(H232&lt;=5,0,H232&lt;=10,1,H232&lt;=15,2,H232&gt;=16,3),"Null"),"-")</f>
        <v>0</v>
      </c>
      <c r="K232" s="60">
        <f t="shared" ref="K232" si="93">IFERROR(SUM(H232:H236),"-")</f>
        <v>11</v>
      </c>
      <c r="L232" s="1">
        <v>2312861200</v>
      </c>
    </row>
    <row r="233" spans="1:12" ht="18" customHeight="1" x14ac:dyDescent="0.45">
      <c r="A233" s="8">
        <v>227</v>
      </c>
      <c r="B233" s="35" t="str">
        <f t="shared" ref="B233:C236" si="94">B232</f>
        <v>東京本部</v>
      </c>
      <c r="C233" s="35" t="str">
        <f t="shared" si="94"/>
        <v>そんぽの家　狛江</v>
      </c>
      <c r="D233" s="9" t="s">
        <v>4</v>
      </c>
      <c r="E233" s="10">
        <v>1</v>
      </c>
      <c r="F233" s="12">
        <v>4</v>
      </c>
      <c r="G233" s="12">
        <v>4</v>
      </c>
      <c r="H233" s="10">
        <f t="shared" si="80"/>
        <v>4</v>
      </c>
      <c r="I233" s="38"/>
      <c r="J233" s="19" cm="1">
        <f t="array" ref="J233">IFERROR(IF(_xlfn.XLOOKUP(L233,NC導入施設!B:B,NC導入施設!E:E)=0,_xlfn.IFS(H233&lt;=5,0,H233&lt;=10,1,H233&lt;=15,2,H233&gt;=16,3),"Null"),"-")</f>
        <v>0</v>
      </c>
      <c r="K233" s="61"/>
      <c r="L233" s="1">
        <v>2312861200</v>
      </c>
    </row>
    <row r="234" spans="1:12" ht="18" customHeight="1" x14ac:dyDescent="0.45">
      <c r="A234" s="8">
        <v>228</v>
      </c>
      <c r="B234" s="35" t="str">
        <f t="shared" si="94"/>
        <v>東京本部</v>
      </c>
      <c r="C234" s="35" t="str">
        <f t="shared" si="94"/>
        <v>そんぽの家　狛江</v>
      </c>
      <c r="D234" s="9" t="s">
        <v>5</v>
      </c>
      <c r="E234" s="10">
        <v>1</v>
      </c>
      <c r="F234" s="12">
        <v>2</v>
      </c>
      <c r="G234" s="12">
        <v>2</v>
      </c>
      <c r="H234" s="10">
        <f t="shared" si="80"/>
        <v>2</v>
      </c>
      <c r="I234" s="38"/>
      <c r="J234" s="19" cm="1">
        <f t="array" ref="J234">IFERROR(IF(_xlfn.XLOOKUP(L234,NC導入施設!B:B,NC導入施設!E:E)=0,_xlfn.IFS(H234&lt;=5,0,H234&lt;=10,1,H234&lt;=15,2,H234&gt;=16,3),"Null"),"-")</f>
        <v>0</v>
      </c>
      <c r="K234" s="61"/>
      <c r="L234" s="1">
        <v>2312861200</v>
      </c>
    </row>
    <row r="235" spans="1:12" ht="18" customHeight="1" x14ac:dyDescent="0.45">
      <c r="A235" s="8">
        <v>229</v>
      </c>
      <c r="B235" s="35" t="str">
        <f t="shared" si="94"/>
        <v>東京本部</v>
      </c>
      <c r="C235" s="35" t="str">
        <f t="shared" si="94"/>
        <v>そんぽの家　狛江</v>
      </c>
      <c r="D235" s="9" t="s">
        <v>6</v>
      </c>
      <c r="E235" s="10">
        <v>2</v>
      </c>
      <c r="F235" s="12">
        <v>0</v>
      </c>
      <c r="G235" s="12">
        <v>0</v>
      </c>
      <c r="H235" s="10">
        <f t="shared" si="80"/>
        <v>0</v>
      </c>
      <c r="I235" s="38"/>
      <c r="J235" s="19" cm="1">
        <f t="array" ref="J235">IFERROR(IF(_xlfn.XLOOKUP(L235,NC導入施設!B:B,NC導入施設!E:E)=0,_xlfn.IFS(H235&lt;=5,0,H235&lt;=10,1,H235&lt;=15,2,H235&gt;=16,3),"Null"),"-")</f>
        <v>0</v>
      </c>
      <c r="K235" s="61"/>
      <c r="L235" s="1">
        <v>2312861200</v>
      </c>
    </row>
    <row r="236" spans="1:12" ht="18" customHeight="1" x14ac:dyDescent="0.45">
      <c r="A236" s="8">
        <v>230</v>
      </c>
      <c r="B236" s="36" t="str">
        <f t="shared" si="94"/>
        <v>東京本部</v>
      </c>
      <c r="C236" s="36" t="str">
        <f t="shared" si="94"/>
        <v>そんぽの家　狛江</v>
      </c>
      <c r="D236" s="9" t="s">
        <v>2</v>
      </c>
      <c r="E236" s="10">
        <v>1</v>
      </c>
      <c r="F236" s="12">
        <v>4</v>
      </c>
      <c r="G236" s="12">
        <v>4</v>
      </c>
      <c r="H236" s="10">
        <f t="shared" si="80"/>
        <v>4</v>
      </c>
      <c r="I236" s="39"/>
      <c r="J236" s="19" cm="1">
        <f t="array" ref="J236">IFERROR(IF(_xlfn.XLOOKUP(L236,NC導入施設!B:B,NC導入施設!E:E)=0,_xlfn.IFS(H236&lt;=5,0,H236&lt;=10,1,H236&lt;=15,2,H236&gt;=16,3),"Null"),"-")</f>
        <v>0</v>
      </c>
      <c r="K236" s="62"/>
      <c r="L236" s="1">
        <v>2312861200</v>
      </c>
    </row>
    <row r="237" spans="1:12" ht="18" customHeight="1" x14ac:dyDescent="0.45">
      <c r="A237" s="13">
        <v>231</v>
      </c>
      <c r="B237" s="40" t="s">
        <v>8</v>
      </c>
      <c r="C237" s="40" t="s">
        <v>214</v>
      </c>
      <c r="D237" s="14" t="s">
        <v>3</v>
      </c>
      <c r="E237" s="15">
        <v>1</v>
      </c>
      <c r="F237" s="17">
        <v>15</v>
      </c>
      <c r="G237" s="17">
        <v>15</v>
      </c>
      <c r="H237" s="15">
        <f t="shared" si="80"/>
        <v>15</v>
      </c>
      <c r="I237" s="43" cm="1">
        <f t="array" ref="I237">IF(J237="-","-",_xlfn.IFS(K237&lt;=5,0,K237&lt;=10,1,K237&lt;=15,2,K237&gt;=16,3))</f>
        <v>3</v>
      </c>
      <c r="J237" s="19" cm="1">
        <f t="array" ref="J237">IFERROR(IF(_xlfn.XLOOKUP(L237,NC導入施設!B:B,NC導入施設!E:E)=0,_xlfn.IFS(H237&lt;=5,0,H237&lt;=10,1,H237&lt;=15,2,H237&gt;=16,3),"Null"),"-")</f>
        <v>2</v>
      </c>
      <c r="K237" s="60">
        <f t="shared" ref="K237" si="95">IFERROR(SUM(H237:H241),"-")</f>
        <v>47</v>
      </c>
      <c r="L237" s="1">
        <v>2312871100</v>
      </c>
    </row>
    <row r="238" spans="1:12" ht="18" customHeight="1" x14ac:dyDescent="0.45">
      <c r="A238" s="13">
        <v>232</v>
      </c>
      <c r="B238" s="41" t="str">
        <f t="shared" ref="B238:C241" si="96">B237</f>
        <v>東京本部</v>
      </c>
      <c r="C238" s="41" t="str">
        <f t="shared" si="96"/>
        <v>ラヴィーレ狛江</v>
      </c>
      <c r="D238" s="14" t="s">
        <v>4</v>
      </c>
      <c r="E238" s="15">
        <v>1</v>
      </c>
      <c r="F238" s="17">
        <v>6</v>
      </c>
      <c r="G238" s="17">
        <v>6</v>
      </c>
      <c r="H238" s="15">
        <f t="shared" si="80"/>
        <v>6</v>
      </c>
      <c r="I238" s="44"/>
      <c r="J238" s="19" cm="1">
        <f t="array" ref="J238">IFERROR(IF(_xlfn.XLOOKUP(L238,NC導入施設!B:B,NC導入施設!E:E)=0,_xlfn.IFS(H238&lt;=5,0,H238&lt;=10,1,H238&lt;=15,2,H238&gt;=16,3),"Null"),"-")</f>
        <v>1</v>
      </c>
      <c r="K238" s="61"/>
      <c r="L238" s="1">
        <v>2312871100</v>
      </c>
    </row>
    <row r="239" spans="1:12" ht="18" customHeight="1" x14ac:dyDescent="0.45">
      <c r="A239" s="13">
        <v>233</v>
      </c>
      <c r="B239" s="41" t="str">
        <f t="shared" si="96"/>
        <v>東京本部</v>
      </c>
      <c r="C239" s="41" t="str">
        <f t="shared" si="96"/>
        <v>ラヴィーレ狛江</v>
      </c>
      <c r="D239" s="14" t="s">
        <v>5</v>
      </c>
      <c r="E239" s="15">
        <v>1</v>
      </c>
      <c r="F239" s="17">
        <v>19</v>
      </c>
      <c r="G239" s="17">
        <v>19</v>
      </c>
      <c r="H239" s="15">
        <f t="shared" si="80"/>
        <v>19</v>
      </c>
      <c r="I239" s="44"/>
      <c r="J239" s="19" cm="1">
        <f t="array" ref="J239">IFERROR(IF(_xlfn.XLOOKUP(L239,NC導入施設!B:B,NC導入施設!E:E)=0,_xlfn.IFS(H239&lt;=5,0,H239&lt;=10,1,H239&lt;=15,2,H239&gt;=16,3),"Null"),"-")</f>
        <v>3</v>
      </c>
      <c r="K239" s="61"/>
      <c r="L239" s="1">
        <v>2312871100</v>
      </c>
    </row>
    <row r="240" spans="1:12" ht="18" customHeight="1" x14ac:dyDescent="0.45">
      <c r="A240" s="13">
        <v>234</v>
      </c>
      <c r="B240" s="41" t="str">
        <f t="shared" si="96"/>
        <v>東京本部</v>
      </c>
      <c r="C240" s="41" t="str">
        <f t="shared" si="96"/>
        <v>ラヴィーレ狛江</v>
      </c>
      <c r="D240" s="14" t="s">
        <v>6</v>
      </c>
      <c r="E240" s="15">
        <v>5</v>
      </c>
      <c r="F240" s="17">
        <v>5</v>
      </c>
      <c r="G240" s="17">
        <v>1</v>
      </c>
      <c r="H240" s="15">
        <f t="shared" si="80"/>
        <v>5</v>
      </c>
      <c r="I240" s="44"/>
      <c r="J240" s="19" cm="1">
        <f t="array" ref="J240">IFERROR(IF(_xlfn.XLOOKUP(L240,NC導入施設!B:B,NC導入施設!E:E)=0,_xlfn.IFS(H240&lt;=5,0,H240&lt;=10,1,H240&lt;=15,2,H240&gt;=16,3),"Null"),"-")</f>
        <v>0</v>
      </c>
      <c r="K240" s="61"/>
      <c r="L240" s="1">
        <v>2312871100</v>
      </c>
    </row>
    <row r="241" spans="1:12" ht="18" customHeight="1" x14ac:dyDescent="0.45">
      <c r="A241" s="13">
        <v>235</v>
      </c>
      <c r="B241" s="42" t="str">
        <f t="shared" si="96"/>
        <v>東京本部</v>
      </c>
      <c r="C241" s="42" t="str">
        <f t="shared" si="96"/>
        <v>ラヴィーレ狛江</v>
      </c>
      <c r="D241" s="14" t="s">
        <v>2</v>
      </c>
      <c r="E241" s="15">
        <v>2</v>
      </c>
      <c r="F241" s="17">
        <v>2</v>
      </c>
      <c r="G241" s="17">
        <v>1</v>
      </c>
      <c r="H241" s="15">
        <f t="shared" si="80"/>
        <v>2</v>
      </c>
      <c r="I241" s="45"/>
      <c r="J241" s="19" cm="1">
        <f t="array" ref="J241">IFERROR(IF(_xlfn.XLOOKUP(L241,NC導入施設!B:B,NC導入施設!E:E)=0,_xlfn.IFS(H241&lt;=5,0,H241&lt;=10,1,H241&lt;=15,2,H241&gt;=16,3),"Null"),"-")</f>
        <v>0</v>
      </c>
      <c r="K241" s="62"/>
      <c r="L241" s="1">
        <v>2312871100</v>
      </c>
    </row>
    <row r="242" spans="1:12" ht="18" customHeight="1" x14ac:dyDescent="0.45">
      <c r="A242" s="8">
        <v>236</v>
      </c>
      <c r="B242" s="34" t="s">
        <v>8</v>
      </c>
      <c r="C242" s="34" t="s">
        <v>31</v>
      </c>
      <c r="D242" s="9" t="s">
        <v>3</v>
      </c>
      <c r="E242" s="10">
        <v>1</v>
      </c>
      <c r="F242" s="12">
        <v>13</v>
      </c>
      <c r="G242" s="12">
        <v>13</v>
      </c>
      <c r="H242" s="10">
        <f t="shared" si="80"/>
        <v>13</v>
      </c>
      <c r="I242" s="37" cm="1">
        <f t="array" ref="I242">IF(J242="-","-",_xlfn.IFS(K242&lt;=5,0,K242&lt;=10,1,K242&lt;=15,2,K242&gt;=16,3))</f>
        <v>3</v>
      </c>
      <c r="J242" s="19" cm="1">
        <f t="array" ref="J242">IFERROR(IF(_xlfn.XLOOKUP(L242,NC導入施設!B:B,NC導入施設!E:E)=0,_xlfn.IFS(H242&lt;=5,0,H242&lt;=10,1,H242&lt;=15,2,H242&gt;=16,3),"Null"),"-")</f>
        <v>2</v>
      </c>
      <c r="K242" s="60">
        <f t="shared" ref="K242" si="97">IFERROR(SUM(H242:H246),"-")</f>
        <v>121</v>
      </c>
      <c r="L242" s="1">
        <v>2312901100</v>
      </c>
    </row>
    <row r="243" spans="1:12" ht="18" customHeight="1" x14ac:dyDescent="0.45">
      <c r="A243" s="8">
        <v>237</v>
      </c>
      <c r="B243" s="35" t="str">
        <f t="shared" ref="B243:C246" si="98">B242</f>
        <v>東京本部</v>
      </c>
      <c r="C243" s="35" t="str">
        <f t="shared" si="98"/>
        <v>そんぽの家　調布多摩川</v>
      </c>
      <c r="D243" s="9" t="s">
        <v>4</v>
      </c>
      <c r="E243" s="10">
        <v>1</v>
      </c>
      <c r="F243" s="12">
        <v>34</v>
      </c>
      <c r="G243" s="12">
        <v>34</v>
      </c>
      <c r="H243" s="10">
        <f t="shared" si="80"/>
        <v>34</v>
      </c>
      <c r="I243" s="38"/>
      <c r="J243" s="19" cm="1">
        <f t="array" ref="J243">IFERROR(IF(_xlfn.XLOOKUP(L243,NC導入施設!B:B,NC導入施設!E:E)=0,_xlfn.IFS(H243&lt;=5,0,H243&lt;=10,1,H243&lt;=15,2,H243&gt;=16,3),"Null"),"-")</f>
        <v>3</v>
      </c>
      <c r="K243" s="61"/>
      <c r="L243" s="1">
        <v>2312901100</v>
      </c>
    </row>
    <row r="244" spans="1:12" ht="18" customHeight="1" x14ac:dyDescent="0.45">
      <c r="A244" s="8">
        <v>238</v>
      </c>
      <c r="B244" s="35" t="str">
        <f t="shared" si="98"/>
        <v>東京本部</v>
      </c>
      <c r="C244" s="35" t="str">
        <f t="shared" si="98"/>
        <v>そんぽの家　調布多摩川</v>
      </c>
      <c r="D244" s="9" t="s">
        <v>5</v>
      </c>
      <c r="E244" s="10">
        <v>1</v>
      </c>
      <c r="F244" s="12">
        <v>23</v>
      </c>
      <c r="G244" s="12">
        <v>23</v>
      </c>
      <c r="H244" s="10">
        <f t="shared" si="80"/>
        <v>23</v>
      </c>
      <c r="I244" s="38"/>
      <c r="J244" s="19" cm="1">
        <f t="array" ref="J244">IFERROR(IF(_xlfn.XLOOKUP(L244,NC導入施設!B:B,NC導入施設!E:E)=0,_xlfn.IFS(H244&lt;=5,0,H244&lt;=10,1,H244&lt;=15,2,H244&gt;=16,3),"Null"),"-")</f>
        <v>3</v>
      </c>
      <c r="K244" s="61"/>
      <c r="L244" s="1">
        <v>2312901100</v>
      </c>
    </row>
    <row r="245" spans="1:12" ht="18" customHeight="1" x14ac:dyDescent="0.45">
      <c r="A245" s="8">
        <v>239</v>
      </c>
      <c r="B245" s="35" t="str">
        <f t="shared" si="98"/>
        <v>東京本部</v>
      </c>
      <c r="C245" s="35" t="str">
        <f t="shared" si="98"/>
        <v>そんぽの家　調布多摩川</v>
      </c>
      <c r="D245" s="9" t="s">
        <v>6</v>
      </c>
      <c r="E245" s="10">
        <v>3</v>
      </c>
      <c r="F245" s="12">
        <v>20</v>
      </c>
      <c r="G245" s="12">
        <v>6.7</v>
      </c>
      <c r="H245" s="10">
        <f t="shared" si="80"/>
        <v>20</v>
      </c>
      <c r="I245" s="38"/>
      <c r="J245" s="19" cm="1">
        <f t="array" ref="J245">IFERROR(IF(_xlfn.XLOOKUP(L245,NC導入施設!B:B,NC導入施設!E:E)=0,_xlfn.IFS(H245&lt;=5,0,H245&lt;=10,1,H245&lt;=15,2,H245&gt;=16,3),"Null"),"-")</f>
        <v>3</v>
      </c>
      <c r="K245" s="61"/>
      <c r="L245" s="1">
        <v>2312901100</v>
      </c>
    </row>
    <row r="246" spans="1:12" ht="18" customHeight="1" x14ac:dyDescent="0.45">
      <c r="A246" s="8">
        <v>240</v>
      </c>
      <c r="B246" s="36" t="str">
        <f t="shared" si="98"/>
        <v>東京本部</v>
      </c>
      <c r="C246" s="36" t="str">
        <f t="shared" si="98"/>
        <v>そんぽの家　調布多摩川</v>
      </c>
      <c r="D246" s="9" t="s">
        <v>2</v>
      </c>
      <c r="E246" s="10">
        <v>1</v>
      </c>
      <c r="F246" s="12">
        <v>31</v>
      </c>
      <c r="G246" s="12">
        <v>31</v>
      </c>
      <c r="H246" s="10">
        <f t="shared" si="80"/>
        <v>31</v>
      </c>
      <c r="I246" s="39"/>
      <c r="J246" s="19" cm="1">
        <f t="array" ref="J246">IFERROR(IF(_xlfn.XLOOKUP(L246,NC導入施設!B:B,NC導入施設!E:E)=0,_xlfn.IFS(H246&lt;=5,0,H246&lt;=10,1,H246&lt;=15,2,H246&gt;=16,3),"Null"),"-")</f>
        <v>3</v>
      </c>
      <c r="K246" s="62"/>
      <c r="L246" s="1">
        <v>2312901100</v>
      </c>
    </row>
    <row r="247" spans="1:12" ht="18" customHeight="1" x14ac:dyDescent="0.45">
      <c r="A247" s="13">
        <v>241</v>
      </c>
      <c r="B247" s="40" t="s">
        <v>8</v>
      </c>
      <c r="C247" s="40" t="s">
        <v>215</v>
      </c>
      <c r="D247" s="14" t="s">
        <v>3</v>
      </c>
      <c r="E247" s="15">
        <v>1</v>
      </c>
      <c r="F247" s="17">
        <v>4</v>
      </c>
      <c r="G247" s="17">
        <v>4</v>
      </c>
      <c r="H247" s="15">
        <f t="shared" si="80"/>
        <v>4</v>
      </c>
      <c r="I247" s="43" cm="1">
        <f t="array" ref="I247">IF(J247="-","-",_xlfn.IFS(K247&lt;=5,0,K247&lt;=10,1,K247&lt;=15,2,K247&gt;=16,3))</f>
        <v>3</v>
      </c>
      <c r="J247" s="19" cm="1">
        <f t="array" ref="J247">IFERROR(IF(_xlfn.XLOOKUP(L247,NC導入施設!B:B,NC導入施設!E:E)=0,_xlfn.IFS(H247&lt;=5,0,H247&lt;=10,1,H247&lt;=15,2,H247&gt;=16,3),"Null"),"-")</f>
        <v>0</v>
      </c>
      <c r="K247" s="60">
        <f t="shared" ref="K247" si="99">IFERROR(SUM(H247:H251),"-")</f>
        <v>45</v>
      </c>
      <c r="L247" s="1">
        <v>2312911100</v>
      </c>
    </row>
    <row r="248" spans="1:12" ht="18" customHeight="1" x14ac:dyDescent="0.45">
      <c r="A248" s="13">
        <v>242</v>
      </c>
      <c r="B248" s="41" t="str">
        <f t="shared" ref="B248:C251" si="100">B247</f>
        <v>東京本部</v>
      </c>
      <c r="C248" s="41" t="str">
        <f t="shared" si="100"/>
        <v>ラヴィーレ調布</v>
      </c>
      <c r="D248" s="14" t="s">
        <v>4</v>
      </c>
      <c r="E248" s="15">
        <v>1</v>
      </c>
      <c r="F248" s="17">
        <v>1</v>
      </c>
      <c r="G248" s="17">
        <v>1</v>
      </c>
      <c r="H248" s="15">
        <f t="shared" si="80"/>
        <v>1</v>
      </c>
      <c r="I248" s="44"/>
      <c r="J248" s="19" cm="1">
        <f t="array" ref="J248">IFERROR(IF(_xlfn.XLOOKUP(L248,NC導入施設!B:B,NC導入施設!E:E)=0,_xlfn.IFS(H248&lt;=5,0,H248&lt;=10,1,H248&lt;=15,2,H248&gt;=16,3),"Null"),"-")</f>
        <v>0</v>
      </c>
      <c r="K248" s="61"/>
      <c r="L248" s="1">
        <v>2312911100</v>
      </c>
    </row>
    <row r="249" spans="1:12" ht="18" customHeight="1" x14ac:dyDescent="0.45">
      <c r="A249" s="13">
        <v>243</v>
      </c>
      <c r="B249" s="41" t="str">
        <f t="shared" si="100"/>
        <v>東京本部</v>
      </c>
      <c r="C249" s="41" t="str">
        <f t="shared" si="100"/>
        <v>ラヴィーレ調布</v>
      </c>
      <c r="D249" s="14" t="s">
        <v>5</v>
      </c>
      <c r="E249" s="15">
        <v>1</v>
      </c>
      <c r="F249" s="17">
        <v>19</v>
      </c>
      <c r="G249" s="17">
        <v>19</v>
      </c>
      <c r="H249" s="15">
        <f t="shared" si="80"/>
        <v>19</v>
      </c>
      <c r="I249" s="44"/>
      <c r="J249" s="19" cm="1">
        <f t="array" ref="J249">IFERROR(IF(_xlfn.XLOOKUP(L249,NC導入施設!B:B,NC導入施設!E:E)=0,_xlfn.IFS(H249&lt;=5,0,H249&lt;=10,1,H249&lt;=15,2,H249&gt;=16,3),"Null"),"-")</f>
        <v>3</v>
      </c>
      <c r="K249" s="61"/>
      <c r="L249" s="1">
        <v>2312911100</v>
      </c>
    </row>
    <row r="250" spans="1:12" ht="18" customHeight="1" x14ac:dyDescent="0.45">
      <c r="A250" s="13">
        <v>244</v>
      </c>
      <c r="B250" s="41" t="str">
        <f t="shared" si="100"/>
        <v>東京本部</v>
      </c>
      <c r="C250" s="41" t="str">
        <f t="shared" si="100"/>
        <v>ラヴィーレ調布</v>
      </c>
      <c r="D250" s="14" t="s">
        <v>6</v>
      </c>
      <c r="E250" s="15">
        <v>3</v>
      </c>
      <c r="F250" s="17">
        <v>17</v>
      </c>
      <c r="G250" s="17">
        <v>5.7</v>
      </c>
      <c r="H250" s="15">
        <f t="shared" si="80"/>
        <v>17</v>
      </c>
      <c r="I250" s="44"/>
      <c r="J250" s="19" cm="1">
        <f t="array" ref="J250">IFERROR(IF(_xlfn.XLOOKUP(L250,NC導入施設!B:B,NC導入施設!E:E)=0,_xlfn.IFS(H250&lt;=5,0,H250&lt;=10,1,H250&lt;=15,2,H250&gt;=16,3),"Null"),"-")</f>
        <v>3</v>
      </c>
      <c r="K250" s="61"/>
      <c r="L250" s="1">
        <v>2312911100</v>
      </c>
    </row>
    <row r="251" spans="1:12" ht="18" customHeight="1" x14ac:dyDescent="0.45">
      <c r="A251" s="13">
        <v>245</v>
      </c>
      <c r="B251" s="42" t="str">
        <f t="shared" si="100"/>
        <v>東京本部</v>
      </c>
      <c r="C251" s="42" t="str">
        <f t="shared" si="100"/>
        <v>ラヴィーレ調布</v>
      </c>
      <c r="D251" s="14" t="s">
        <v>2</v>
      </c>
      <c r="E251" s="15">
        <v>2</v>
      </c>
      <c r="F251" s="17">
        <v>4</v>
      </c>
      <c r="G251" s="17">
        <v>2</v>
      </c>
      <c r="H251" s="15">
        <f t="shared" si="80"/>
        <v>4</v>
      </c>
      <c r="I251" s="45"/>
      <c r="J251" s="19" cm="1">
        <f t="array" ref="J251">IFERROR(IF(_xlfn.XLOOKUP(L251,NC導入施設!B:B,NC導入施設!E:E)=0,_xlfn.IFS(H251&lt;=5,0,H251&lt;=10,1,H251&lt;=15,2,H251&gt;=16,3),"Null"),"-")</f>
        <v>0</v>
      </c>
      <c r="K251" s="62"/>
      <c r="L251" s="1">
        <v>2312911100</v>
      </c>
    </row>
    <row r="252" spans="1:12" ht="18" customHeight="1" x14ac:dyDescent="0.45">
      <c r="A252" s="8">
        <v>246</v>
      </c>
      <c r="B252" s="34" t="s">
        <v>8</v>
      </c>
      <c r="C252" s="34" t="s">
        <v>216</v>
      </c>
      <c r="D252" s="9" t="s">
        <v>3</v>
      </c>
      <c r="E252" s="10">
        <v>1</v>
      </c>
      <c r="F252" s="12">
        <v>10</v>
      </c>
      <c r="G252" s="12">
        <v>10</v>
      </c>
      <c r="H252" s="10">
        <f t="shared" si="80"/>
        <v>10</v>
      </c>
      <c r="I252" s="37" cm="1">
        <f t="array" ref="I252">IF(J252="-","-",_xlfn.IFS(K252&lt;=5,0,K252&lt;=10,1,K252&lt;=15,2,K252&gt;=16,3))</f>
        <v>3</v>
      </c>
      <c r="J252" s="19" cm="1">
        <f t="array" ref="J252">IFERROR(IF(_xlfn.XLOOKUP(L252,NC導入施設!B:B,NC導入施設!E:E)=0,_xlfn.IFS(H252&lt;=5,0,H252&lt;=10,1,H252&lt;=15,2,H252&gt;=16,3),"Null"),"-")</f>
        <v>1</v>
      </c>
      <c r="K252" s="60">
        <f t="shared" ref="K252" si="101">IFERROR(SUM(H252:H256),"-")</f>
        <v>25</v>
      </c>
      <c r="L252" s="1">
        <v>2312951100</v>
      </c>
    </row>
    <row r="253" spans="1:12" ht="18" customHeight="1" x14ac:dyDescent="0.45">
      <c r="A253" s="8">
        <v>247</v>
      </c>
      <c r="B253" s="35" t="str">
        <f t="shared" ref="B253:C256" si="102">B252</f>
        <v>東京本部</v>
      </c>
      <c r="C253" s="35" t="str">
        <f t="shared" si="102"/>
        <v>ラヴィーレ府中</v>
      </c>
      <c r="D253" s="9" t="s">
        <v>4</v>
      </c>
      <c r="E253" s="10">
        <v>1</v>
      </c>
      <c r="F253" s="12">
        <v>6</v>
      </c>
      <c r="G253" s="12">
        <v>6</v>
      </c>
      <c r="H253" s="10">
        <f t="shared" si="80"/>
        <v>6</v>
      </c>
      <c r="I253" s="38"/>
      <c r="J253" s="19" cm="1">
        <f t="array" ref="J253">IFERROR(IF(_xlfn.XLOOKUP(L253,NC導入施設!B:B,NC導入施設!E:E)=0,_xlfn.IFS(H253&lt;=5,0,H253&lt;=10,1,H253&lt;=15,2,H253&gt;=16,3),"Null"),"-")</f>
        <v>1</v>
      </c>
      <c r="K253" s="61"/>
      <c r="L253" s="1">
        <v>2312951100</v>
      </c>
    </row>
    <row r="254" spans="1:12" ht="18" customHeight="1" x14ac:dyDescent="0.45">
      <c r="A254" s="8">
        <v>248</v>
      </c>
      <c r="B254" s="35" t="str">
        <f t="shared" si="102"/>
        <v>東京本部</v>
      </c>
      <c r="C254" s="35" t="str">
        <f t="shared" si="102"/>
        <v>ラヴィーレ府中</v>
      </c>
      <c r="D254" s="9" t="s">
        <v>5</v>
      </c>
      <c r="E254" s="10">
        <v>2</v>
      </c>
      <c r="F254" s="12">
        <v>2</v>
      </c>
      <c r="G254" s="12">
        <v>1</v>
      </c>
      <c r="H254" s="10">
        <f t="shared" si="80"/>
        <v>2</v>
      </c>
      <c r="I254" s="38"/>
      <c r="J254" s="19" cm="1">
        <f t="array" ref="J254">IFERROR(IF(_xlfn.XLOOKUP(L254,NC導入施設!B:B,NC導入施設!E:E)=0,_xlfn.IFS(H254&lt;=5,0,H254&lt;=10,1,H254&lt;=15,2,H254&gt;=16,3),"Null"),"-")</f>
        <v>0</v>
      </c>
      <c r="K254" s="61"/>
      <c r="L254" s="1">
        <v>2312951100</v>
      </c>
    </row>
    <row r="255" spans="1:12" ht="18" customHeight="1" x14ac:dyDescent="0.45">
      <c r="A255" s="8">
        <v>249</v>
      </c>
      <c r="B255" s="35" t="str">
        <f t="shared" si="102"/>
        <v>東京本部</v>
      </c>
      <c r="C255" s="35" t="str">
        <f t="shared" si="102"/>
        <v>ラヴィーレ府中</v>
      </c>
      <c r="D255" s="9" t="s">
        <v>6</v>
      </c>
      <c r="E255" s="10">
        <v>3</v>
      </c>
      <c r="F255" s="12">
        <v>0</v>
      </c>
      <c r="G255" s="12">
        <v>0</v>
      </c>
      <c r="H255" s="10">
        <f t="shared" si="80"/>
        <v>0</v>
      </c>
      <c r="I255" s="38"/>
      <c r="J255" s="19" cm="1">
        <f t="array" ref="J255">IFERROR(IF(_xlfn.XLOOKUP(L255,NC導入施設!B:B,NC導入施設!E:E)=0,_xlfn.IFS(H255&lt;=5,0,H255&lt;=10,1,H255&lt;=15,2,H255&gt;=16,3),"Null"),"-")</f>
        <v>0</v>
      </c>
      <c r="K255" s="61"/>
      <c r="L255" s="1">
        <v>2312951100</v>
      </c>
    </row>
    <row r="256" spans="1:12" ht="18" customHeight="1" x14ac:dyDescent="0.45">
      <c r="A256" s="8">
        <v>250</v>
      </c>
      <c r="B256" s="36" t="str">
        <f t="shared" si="102"/>
        <v>東京本部</v>
      </c>
      <c r="C256" s="36" t="str">
        <f t="shared" si="102"/>
        <v>ラヴィーレ府中</v>
      </c>
      <c r="D256" s="9" t="s">
        <v>2</v>
      </c>
      <c r="E256" s="10">
        <v>1</v>
      </c>
      <c r="F256" s="12">
        <v>7</v>
      </c>
      <c r="G256" s="12">
        <v>7</v>
      </c>
      <c r="H256" s="10">
        <f t="shared" si="80"/>
        <v>7</v>
      </c>
      <c r="I256" s="39"/>
      <c r="J256" s="19" cm="1">
        <f t="array" ref="J256">IFERROR(IF(_xlfn.XLOOKUP(L256,NC導入施設!B:B,NC導入施設!E:E)=0,_xlfn.IFS(H256&lt;=5,0,H256&lt;=10,1,H256&lt;=15,2,H256&gt;=16,3),"Null"),"-")</f>
        <v>1</v>
      </c>
      <c r="K256" s="62"/>
      <c r="L256" s="1">
        <v>2312951100</v>
      </c>
    </row>
    <row r="257" spans="1:12" ht="18" customHeight="1" x14ac:dyDescent="0.45">
      <c r="A257" s="13">
        <v>251</v>
      </c>
      <c r="B257" s="40" t="s">
        <v>8</v>
      </c>
      <c r="C257" s="40" t="s">
        <v>32</v>
      </c>
      <c r="D257" s="14" t="s">
        <v>3</v>
      </c>
      <c r="E257" s="15">
        <v>1</v>
      </c>
      <c r="F257" s="17">
        <v>1</v>
      </c>
      <c r="G257" s="17">
        <v>1</v>
      </c>
      <c r="H257" s="15">
        <f t="shared" si="80"/>
        <v>1</v>
      </c>
      <c r="I257" s="43" cm="1">
        <f t="array" ref="I257">IF(J257="-","-",_xlfn.IFS(K257&lt;=5,0,K257&lt;=10,1,K257&lt;=15,2,K257&gt;=16,3))</f>
        <v>0</v>
      </c>
      <c r="J257" s="19" cm="1">
        <f t="array" ref="J257">IFERROR(IF(_xlfn.XLOOKUP(L257,NC導入施設!B:B,NC導入施設!E:E)=0,_xlfn.IFS(H257&lt;=5,0,H257&lt;=10,1,H257&lt;=15,2,H257&gt;=16,3),"Null"),"-")</f>
        <v>0</v>
      </c>
      <c r="K257" s="60">
        <f t="shared" ref="K257" si="103">IFERROR(SUM(H257:H261),"-")</f>
        <v>5</v>
      </c>
      <c r="L257" s="1">
        <v>2312981100</v>
      </c>
    </row>
    <row r="258" spans="1:12" ht="18" customHeight="1" x14ac:dyDescent="0.45">
      <c r="A258" s="13">
        <v>252</v>
      </c>
      <c r="B258" s="41" t="str">
        <f t="shared" ref="B258:C261" si="104">B257</f>
        <v>東京本部</v>
      </c>
      <c r="C258" s="41" t="str">
        <f t="shared" si="104"/>
        <v>そんぽの家　ひばりが丘</v>
      </c>
      <c r="D258" s="14" t="s">
        <v>4</v>
      </c>
      <c r="E258" s="15">
        <v>1</v>
      </c>
      <c r="F258" s="17">
        <v>0</v>
      </c>
      <c r="G258" s="17">
        <v>0</v>
      </c>
      <c r="H258" s="15">
        <f t="shared" si="80"/>
        <v>0</v>
      </c>
      <c r="I258" s="44"/>
      <c r="J258" s="19" cm="1">
        <f t="array" ref="J258">IFERROR(IF(_xlfn.XLOOKUP(L258,NC導入施設!B:B,NC導入施設!E:E)=0,_xlfn.IFS(H258&lt;=5,0,H258&lt;=10,1,H258&lt;=15,2,H258&gt;=16,3),"Null"),"-")</f>
        <v>0</v>
      </c>
      <c r="K258" s="61"/>
      <c r="L258" s="1">
        <v>2312981100</v>
      </c>
    </row>
    <row r="259" spans="1:12" ht="18" customHeight="1" x14ac:dyDescent="0.45">
      <c r="A259" s="13">
        <v>253</v>
      </c>
      <c r="B259" s="41" t="str">
        <f t="shared" si="104"/>
        <v>東京本部</v>
      </c>
      <c r="C259" s="41" t="str">
        <f t="shared" si="104"/>
        <v>そんぽの家　ひばりが丘</v>
      </c>
      <c r="D259" s="14" t="s">
        <v>5</v>
      </c>
      <c r="E259" s="15">
        <v>1</v>
      </c>
      <c r="F259" s="17">
        <v>2</v>
      </c>
      <c r="G259" s="17">
        <v>2</v>
      </c>
      <c r="H259" s="15">
        <f t="shared" si="80"/>
        <v>2</v>
      </c>
      <c r="I259" s="44"/>
      <c r="J259" s="19" cm="1">
        <f t="array" ref="J259">IFERROR(IF(_xlfn.XLOOKUP(L259,NC導入施設!B:B,NC導入施設!E:E)=0,_xlfn.IFS(H259&lt;=5,0,H259&lt;=10,1,H259&lt;=15,2,H259&gt;=16,3),"Null"),"-")</f>
        <v>0</v>
      </c>
      <c r="K259" s="61"/>
      <c r="L259" s="1">
        <v>2312981100</v>
      </c>
    </row>
    <row r="260" spans="1:12" ht="18" customHeight="1" x14ac:dyDescent="0.45">
      <c r="A260" s="13">
        <v>254</v>
      </c>
      <c r="B260" s="41" t="str">
        <f t="shared" si="104"/>
        <v>東京本部</v>
      </c>
      <c r="C260" s="41" t="str">
        <f t="shared" si="104"/>
        <v>そんぽの家　ひばりが丘</v>
      </c>
      <c r="D260" s="14" t="s">
        <v>6</v>
      </c>
      <c r="E260" s="15">
        <v>3</v>
      </c>
      <c r="F260" s="17">
        <v>2</v>
      </c>
      <c r="G260" s="17">
        <v>0.7</v>
      </c>
      <c r="H260" s="15">
        <f t="shared" si="80"/>
        <v>2</v>
      </c>
      <c r="I260" s="44"/>
      <c r="J260" s="19" cm="1">
        <f t="array" ref="J260">IFERROR(IF(_xlfn.XLOOKUP(L260,NC導入施設!B:B,NC導入施設!E:E)=0,_xlfn.IFS(H260&lt;=5,0,H260&lt;=10,1,H260&lt;=15,2,H260&gt;=16,3),"Null"),"-")</f>
        <v>0</v>
      </c>
      <c r="K260" s="61"/>
      <c r="L260" s="1">
        <v>2312981100</v>
      </c>
    </row>
    <row r="261" spans="1:12" ht="18" customHeight="1" x14ac:dyDescent="0.45">
      <c r="A261" s="13">
        <v>255</v>
      </c>
      <c r="B261" s="42" t="str">
        <f t="shared" si="104"/>
        <v>東京本部</v>
      </c>
      <c r="C261" s="42" t="str">
        <f t="shared" si="104"/>
        <v>そんぽの家　ひばりが丘</v>
      </c>
      <c r="D261" s="14" t="s">
        <v>2</v>
      </c>
      <c r="E261" s="15">
        <v>1</v>
      </c>
      <c r="F261" s="17">
        <v>0</v>
      </c>
      <c r="G261" s="17">
        <v>0</v>
      </c>
      <c r="H261" s="15">
        <f t="shared" si="80"/>
        <v>0</v>
      </c>
      <c r="I261" s="45"/>
      <c r="J261" s="19" cm="1">
        <f t="array" ref="J261">IFERROR(IF(_xlfn.XLOOKUP(L261,NC導入施設!B:B,NC導入施設!E:E)=0,_xlfn.IFS(H261&lt;=5,0,H261&lt;=10,1,H261&lt;=15,2,H261&gt;=16,3),"Null"),"-")</f>
        <v>0</v>
      </c>
      <c r="K261" s="62"/>
      <c r="L261" s="1">
        <v>2312981100</v>
      </c>
    </row>
    <row r="262" spans="1:12" ht="18" customHeight="1" x14ac:dyDescent="0.45">
      <c r="A262" s="8">
        <v>256</v>
      </c>
      <c r="B262" s="34" t="s">
        <v>8</v>
      </c>
      <c r="C262" s="34" t="s">
        <v>182</v>
      </c>
      <c r="D262" s="9" t="s">
        <v>3</v>
      </c>
      <c r="E262" s="10">
        <v>1</v>
      </c>
      <c r="F262" s="12">
        <v>2</v>
      </c>
      <c r="G262" s="12">
        <v>2</v>
      </c>
      <c r="H262" s="10">
        <f t="shared" si="80"/>
        <v>2</v>
      </c>
      <c r="I262" s="37" cm="1">
        <f t="array" ref="I262">IF(J262="-","-",_xlfn.IFS(K262&lt;=5,0,K262&lt;=10,1,K262&lt;=15,2,K262&gt;=16,3))</f>
        <v>2</v>
      </c>
      <c r="J262" s="19" cm="1">
        <f t="array" ref="J262">IFERROR(IF(_xlfn.XLOOKUP(L262,NC導入施設!B:B,NC導入施設!E:E)=0,_xlfn.IFS(H262&lt;=5,0,H262&lt;=10,1,H262&lt;=15,2,H262&gt;=16,3),"Null"),"-")</f>
        <v>0</v>
      </c>
      <c r="K262" s="60">
        <f t="shared" ref="K262" si="105">IFERROR(SUM(H262:H266),"-")</f>
        <v>15</v>
      </c>
      <c r="L262" s="1">
        <v>2313001100</v>
      </c>
    </row>
    <row r="263" spans="1:12" ht="18" customHeight="1" x14ac:dyDescent="0.45">
      <c r="A263" s="8">
        <v>257</v>
      </c>
      <c r="B263" s="35" t="str">
        <f t="shared" ref="B263:C266" si="106">B262</f>
        <v>東京本部</v>
      </c>
      <c r="C263" s="35" t="str">
        <f t="shared" si="106"/>
        <v>そんぽの家　武蔵野</v>
      </c>
      <c r="D263" s="9" t="s">
        <v>4</v>
      </c>
      <c r="E263" s="10">
        <v>2</v>
      </c>
      <c r="F263" s="12">
        <v>2</v>
      </c>
      <c r="G263" s="12">
        <v>1</v>
      </c>
      <c r="H263" s="10">
        <f t="shared" si="80"/>
        <v>2</v>
      </c>
      <c r="I263" s="38"/>
      <c r="J263" s="19" cm="1">
        <f t="array" ref="J263">IFERROR(IF(_xlfn.XLOOKUP(L263,NC導入施設!B:B,NC導入施設!E:E)=0,_xlfn.IFS(H263&lt;=5,0,H263&lt;=10,1,H263&lt;=15,2,H263&gt;=16,3),"Null"),"-")</f>
        <v>0</v>
      </c>
      <c r="K263" s="61"/>
      <c r="L263" s="1">
        <v>2313001100</v>
      </c>
    </row>
    <row r="264" spans="1:12" ht="18" customHeight="1" x14ac:dyDescent="0.45">
      <c r="A264" s="8">
        <v>258</v>
      </c>
      <c r="B264" s="35" t="str">
        <f t="shared" si="106"/>
        <v>東京本部</v>
      </c>
      <c r="C264" s="35" t="str">
        <f t="shared" si="106"/>
        <v>そんぽの家　武蔵野</v>
      </c>
      <c r="D264" s="9" t="s">
        <v>5</v>
      </c>
      <c r="E264" s="10">
        <v>1</v>
      </c>
      <c r="F264" s="12">
        <v>1</v>
      </c>
      <c r="G264" s="12">
        <v>1</v>
      </c>
      <c r="H264" s="10">
        <f t="shared" ref="H264:H327" si="107">F264</f>
        <v>1</v>
      </c>
      <c r="I264" s="38"/>
      <c r="J264" s="19" cm="1">
        <f t="array" ref="J264">IFERROR(IF(_xlfn.XLOOKUP(L264,NC導入施設!B:B,NC導入施設!E:E)=0,_xlfn.IFS(H264&lt;=5,0,H264&lt;=10,1,H264&lt;=15,2,H264&gt;=16,3),"Null"),"-")</f>
        <v>0</v>
      </c>
      <c r="K264" s="61"/>
      <c r="L264" s="1">
        <v>2313001100</v>
      </c>
    </row>
    <row r="265" spans="1:12" ht="18" customHeight="1" x14ac:dyDescent="0.45">
      <c r="A265" s="8">
        <v>259</v>
      </c>
      <c r="B265" s="35" t="str">
        <f t="shared" si="106"/>
        <v>東京本部</v>
      </c>
      <c r="C265" s="35" t="str">
        <f t="shared" si="106"/>
        <v>そんぽの家　武蔵野</v>
      </c>
      <c r="D265" s="9" t="s">
        <v>6</v>
      </c>
      <c r="E265" s="10">
        <v>4</v>
      </c>
      <c r="F265" s="12">
        <v>0</v>
      </c>
      <c r="G265" s="12">
        <v>0</v>
      </c>
      <c r="H265" s="10">
        <f t="shared" si="107"/>
        <v>0</v>
      </c>
      <c r="I265" s="38"/>
      <c r="J265" s="19" cm="1">
        <f t="array" ref="J265">IFERROR(IF(_xlfn.XLOOKUP(L265,NC導入施設!B:B,NC導入施設!E:E)=0,_xlfn.IFS(H265&lt;=5,0,H265&lt;=10,1,H265&lt;=15,2,H265&gt;=16,3),"Null"),"-")</f>
        <v>0</v>
      </c>
      <c r="K265" s="61"/>
      <c r="L265" s="1">
        <v>2313001100</v>
      </c>
    </row>
    <row r="266" spans="1:12" ht="18" customHeight="1" x14ac:dyDescent="0.45">
      <c r="A266" s="8">
        <v>260</v>
      </c>
      <c r="B266" s="36" t="str">
        <f t="shared" si="106"/>
        <v>東京本部</v>
      </c>
      <c r="C266" s="36" t="str">
        <f t="shared" si="106"/>
        <v>そんぽの家　武蔵野</v>
      </c>
      <c r="D266" s="9" t="s">
        <v>2</v>
      </c>
      <c r="E266" s="10">
        <v>1</v>
      </c>
      <c r="F266" s="12">
        <v>10</v>
      </c>
      <c r="G266" s="12">
        <v>10</v>
      </c>
      <c r="H266" s="10">
        <f t="shared" si="107"/>
        <v>10</v>
      </c>
      <c r="I266" s="39"/>
      <c r="J266" s="19" cm="1">
        <f t="array" ref="J266">IFERROR(IF(_xlfn.XLOOKUP(L266,NC導入施設!B:B,NC導入施設!E:E)=0,_xlfn.IFS(H266&lt;=5,0,H266&lt;=10,1,H266&lt;=15,2,H266&gt;=16,3),"Null"),"-")</f>
        <v>1</v>
      </c>
      <c r="K266" s="62"/>
      <c r="L266" s="1">
        <v>2313001100</v>
      </c>
    </row>
    <row r="267" spans="1:12" ht="18" customHeight="1" x14ac:dyDescent="0.45">
      <c r="A267" s="13">
        <v>261</v>
      </c>
      <c r="B267" s="40" t="s">
        <v>8</v>
      </c>
      <c r="C267" s="40" t="s">
        <v>33</v>
      </c>
      <c r="D267" s="14" t="s">
        <v>3</v>
      </c>
      <c r="E267" s="15">
        <v>1</v>
      </c>
      <c r="F267" s="17">
        <v>2</v>
      </c>
      <c r="G267" s="17">
        <v>2</v>
      </c>
      <c r="H267" s="15">
        <f t="shared" si="107"/>
        <v>2</v>
      </c>
      <c r="I267" s="43" cm="1">
        <f t="array" ref="I267">IF(J267="-","-",_xlfn.IFS(K267&lt;=5,0,K267&lt;=10,1,K267&lt;=15,2,K267&gt;=16,3))</f>
        <v>1</v>
      </c>
      <c r="J267" s="19" cm="1">
        <f t="array" ref="J267">IFERROR(IF(_xlfn.XLOOKUP(L267,NC導入施設!B:B,NC導入施設!E:E)=0,_xlfn.IFS(H267&lt;=5,0,H267&lt;=10,1,H267&lt;=15,2,H267&gt;=16,3),"Null"),"-")</f>
        <v>0</v>
      </c>
      <c r="K267" s="60">
        <f t="shared" ref="K267" si="108">IFERROR(SUM(H267:H271),"-")</f>
        <v>9</v>
      </c>
      <c r="L267" s="1">
        <v>2313061100</v>
      </c>
    </row>
    <row r="268" spans="1:12" ht="18" customHeight="1" x14ac:dyDescent="0.45">
      <c r="A268" s="13">
        <v>262</v>
      </c>
      <c r="B268" s="41" t="str">
        <f t="shared" ref="B268:C271" si="109">B267</f>
        <v>東京本部</v>
      </c>
      <c r="C268" s="41" t="str">
        <f t="shared" si="109"/>
        <v>そんぽの家　西東京</v>
      </c>
      <c r="D268" s="14" t="s">
        <v>4</v>
      </c>
      <c r="E268" s="15">
        <v>1</v>
      </c>
      <c r="F268" s="17">
        <v>1</v>
      </c>
      <c r="G268" s="17">
        <v>1</v>
      </c>
      <c r="H268" s="15">
        <f t="shared" si="107"/>
        <v>1</v>
      </c>
      <c r="I268" s="44"/>
      <c r="J268" s="19" cm="1">
        <f t="array" ref="J268">IFERROR(IF(_xlfn.XLOOKUP(L268,NC導入施設!B:B,NC導入施設!E:E)=0,_xlfn.IFS(H268&lt;=5,0,H268&lt;=10,1,H268&lt;=15,2,H268&gt;=16,3),"Null"),"-")</f>
        <v>0</v>
      </c>
      <c r="K268" s="61"/>
      <c r="L268" s="1">
        <v>2313061100</v>
      </c>
    </row>
    <row r="269" spans="1:12" ht="18" customHeight="1" x14ac:dyDescent="0.45">
      <c r="A269" s="13">
        <v>263</v>
      </c>
      <c r="B269" s="41" t="str">
        <f t="shared" si="109"/>
        <v>東京本部</v>
      </c>
      <c r="C269" s="41" t="str">
        <f t="shared" si="109"/>
        <v>そんぽの家　西東京</v>
      </c>
      <c r="D269" s="14" t="s">
        <v>5</v>
      </c>
      <c r="E269" s="15">
        <v>1</v>
      </c>
      <c r="F269" s="17">
        <v>6</v>
      </c>
      <c r="G269" s="17">
        <v>6</v>
      </c>
      <c r="H269" s="15">
        <f t="shared" si="107"/>
        <v>6</v>
      </c>
      <c r="I269" s="44"/>
      <c r="J269" s="19" cm="1">
        <f t="array" ref="J269">IFERROR(IF(_xlfn.XLOOKUP(L269,NC導入施設!B:B,NC導入施設!E:E)=0,_xlfn.IFS(H269&lt;=5,0,H269&lt;=10,1,H269&lt;=15,2,H269&gt;=16,3),"Null"),"-")</f>
        <v>1</v>
      </c>
      <c r="K269" s="61"/>
      <c r="L269" s="1">
        <v>2313061100</v>
      </c>
    </row>
    <row r="270" spans="1:12" ht="18" customHeight="1" x14ac:dyDescent="0.45">
      <c r="A270" s="13">
        <v>264</v>
      </c>
      <c r="B270" s="41" t="str">
        <f t="shared" si="109"/>
        <v>東京本部</v>
      </c>
      <c r="C270" s="41" t="str">
        <f t="shared" si="109"/>
        <v>そんぽの家　西東京</v>
      </c>
      <c r="D270" s="14" t="s">
        <v>6</v>
      </c>
      <c r="E270" s="15">
        <v>4</v>
      </c>
      <c r="F270" s="17">
        <v>0</v>
      </c>
      <c r="G270" s="17">
        <v>0</v>
      </c>
      <c r="H270" s="15">
        <f t="shared" si="107"/>
        <v>0</v>
      </c>
      <c r="I270" s="44"/>
      <c r="J270" s="19" cm="1">
        <f t="array" ref="J270">IFERROR(IF(_xlfn.XLOOKUP(L270,NC導入施設!B:B,NC導入施設!E:E)=0,_xlfn.IFS(H270&lt;=5,0,H270&lt;=10,1,H270&lt;=15,2,H270&gt;=16,3),"Null"),"-")</f>
        <v>0</v>
      </c>
      <c r="K270" s="61"/>
      <c r="L270" s="1">
        <v>2313061100</v>
      </c>
    </row>
    <row r="271" spans="1:12" ht="18" customHeight="1" x14ac:dyDescent="0.45">
      <c r="A271" s="13">
        <v>265</v>
      </c>
      <c r="B271" s="42" t="str">
        <f t="shared" si="109"/>
        <v>東京本部</v>
      </c>
      <c r="C271" s="42" t="str">
        <f t="shared" si="109"/>
        <v>そんぽの家　西東京</v>
      </c>
      <c r="D271" s="14" t="s">
        <v>2</v>
      </c>
      <c r="E271" s="15">
        <v>1</v>
      </c>
      <c r="F271" s="17">
        <v>0</v>
      </c>
      <c r="G271" s="17">
        <v>0</v>
      </c>
      <c r="H271" s="15">
        <f t="shared" si="107"/>
        <v>0</v>
      </c>
      <c r="I271" s="45"/>
      <c r="J271" s="19" cm="1">
        <f t="array" ref="J271">IFERROR(IF(_xlfn.XLOOKUP(L271,NC導入施設!B:B,NC導入施設!E:E)=0,_xlfn.IFS(H271&lt;=5,0,H271&lt;=10,1,H271&lt;=15,2,H271&gt;=16,3),"Null"),"-")</f>
        <v>0</v>
      </c>
      <c r="K271" s="62"/>
      <c r="L271" s="1">
        <v>2313061100</v>
      </c>
    </row>
    <row r="272" spans="1:12" ht="18" customHeight="1" x14ac:dyDescent="0.45">
      <c r="A272" s="8">
        <v>266</v>
      </c>
      <c r="B272" s="34" t="s">
        <v>8</v>
      </c>
      <c r="C272" s="34" t="s">
        <v>34</v>
      </c>
      <c r="D272" s="9" t="s">
        <v>3</v>
      </c>
      <c r="E272" s="10">
        <v>1</v>
      </c>
      <c r="F272" s="12">
        <v>10</v>
      </c>
      <c r="G272" s="12">
        <v>10</v>
      </c>
      <c r="H272" s="10">
        <f t="shared" si="107"/>
        <v>10</v>
      </c>
      <c r="I272" s="37" cm="1">
        <f t="array" ref="I272">IF(J272="-","-",_xlfn.IFS(K272&lt;=5,0,K272&lt;=10,1,K272&lt;=15,2,K272&gt;=16,3))</f>
        <v>3</v>
      </c>
      <c r="J272" s="19" cm="1">
        <f t="array" ref="J272">IFERROR(IF(_xlfn.XLOOKUP(L272,NC導入施設!B:B,NC導入施設!E:E)=0,_xlfn.IFS(H272&lt;=5,0,H272&lt;=10,1,H272&lt;=15,2,H272&gt;=16,3),"Null"),"-")</f>
        <v>1</v>
      </c>
      <c r="K272" s="60">
        <f t="shared" ref="K272" si="110">IFERROR(SUM(H272:H276),"-")</f>
        <v>17</v>
      </c>
      <c r="L272" s="1">
        <v>2313081100</v>
      </c>
    </row>
    <row r="273" spans="1:12" ht="18" customHeight="1" x14ac:dyDescent="0.45">
      <c r="A273" s="8">
        <v>267</v>
      </c>
      <c r="B273" s="35" t="str">
        <f t="shared" ref="B273:C276" si="111">B272</f>
        <v>東京本部</v>
      </c>
      <c r="C273" s="35" t="str">
        <f t="shared" si="111"/>
        <v>そんぽの家　東久留米中央</v>
      </c>
      <c r="D273" s="9" t="s">
        <v>4</v>
      </c>
      <c r="E273" s="10">
        <v>1</v>
      </c>
      <c r="F273" s="12">
        <v>1</v>
      </c>
      <c r="G273" s="12">
        <v>1</v>
      </c>
      <c r="H273" s="10">
        <f t="shared" si="107"/>
        <v>1</v>
      </c>
      <c r="I273" s="38"/>
      <c r="J273" s="19" cm="1">
        <f t="array" ref="J273">IFERROR(IF(_xlfn.XLOOKUP(L273,NC導入施設!B:B,NC導入施設!E:E)=0,_xlfn.IFS(H273&lt;=5,0,H273&lt;=10,1,H273&lt;=15,2,H273&gt;=16,3),"Null"),"-")</f>
        <v>0</v>
      </c>
      <c r="K273" s="61"/>
      <c r="L273" s="1">
        <v>2313081100</v>
      </c>
    </row>
    <row r="274" spans="1:12" ht="18" customHeight="1" x14ac:dyDescent="0.45">
      <c r="A274" s="8">
        <v>268</v>
      </c>
      <c r="B274" s="35" t="str">
        <f t="shared" si="111"/>
        <v>東京本部</v>
      </c>
      <c r="C274" s="35" t="str">
        <f t="shared" si="111"/>
        <v>そんぽの家　東久留米中央</v>
      </c>
      <c r="D274" s="9" t="s">
        <v>5</v>
      </c>
      <c r="E274" s="10">
        <v>1</v>
      </c>
      <c r="F274" s="12">
        <v>2</v>
      </c>
      <c r="G274" s="12">
        <v>2</v>
      </c>
      <c r="H274" s="10">
        <f t="shared" si="107"/>
        <v>2</v>
      </c>
      <c r="I274" s="38"/>
      <c r="J274" s="19" cm="1">
        <f t="array" ref="J274">IFERROR(IF(_xlfn.XLOOKUP(L274,NC導入施設!B:B,NC導入施設!E:E)=0,_xlfn.IFS(H274&lt;=5,0,H274&lt;=10,1,H274&lt;=15,2,H274&gt;=16,3),"Null"),"-")</f>
        <v>0</v>
      </c>
      <c r="K274" s="61"/>
      <c r="L274" s="1">
        <v>2313081100</v>
      </c>
    </row>
    <row r="275" spans="1:12" ht="18" customHeight="1" x14ac:dyDescent="0.45">
      <c r="A275" s="8">
        <v>269</v>
      </c>
      <c r="B275" s="35" t="str">
        <f t="shared" si="111"/>
        <v>東京本部</v>
      </c>
      <c r="C275" s="35" t="str">
        <f t="shared" si="111"/>
        <v>そんぽの家　東久留米中央</v>
      </c>
      <c r="D275" s="9" t="s">
        <v>6</v>
      </c>
      <c r="E275" s="10">
        <v>3</v>
      </c>
      <c r="F275" s="12">
        <v>3</v>
      </c>
      <c r="G275" s="12">
        <v>1</v>
      </c>
      <c r="H275" s="10">
        <f t="shared" si="107"/>
        <v>3</v>
      </c>
      <c r="I275" s="38"/>
      <c r="J275" s="19" cm="1">
        <f t="array" ref="J275">IFERROR(IF(_xlfn.XLOOKUP(L275,NC導入施設!B:B,NC導入施設!E:E)=0,_xlfn.IFS(H275&lt;=5,0,H275&lt;=10,1,H275&lt;=15,2,H275&gt;=16,3),"Null"),"-")</f>
        <v>0</v>
      </c>
      <c r="K275" s="61"/>
      <c r="L275" s="1">
        <v>2313081100</v>
      </c>
    </row>
    <row r="276" spans="1:12" ht="18" customHeight="1" x14ac:dyDescent="0.45">
      <c r="A276" s="8">
        <v>270</v>
      </c>
      <c r="B276" s="36" t="str">
        <f t="shared" si="111"/>
        <v>東京本部</v>
      </c>
      <c r="C276" s="36" t="str">
        <f t="shared" si="111"/>
        <v>そんぽの家　東久留米中央</v>
      </c>
      <c r="D276" s="9" t="s">
        <v>2</v>
      </c>
      <c r="E276" s="10">
        <v>1</v>
      </c>
      <c r="F276" s="12">
        <v>1</v>
      </c>
      <c r="G276" s="12">
        <v>1</v>
      </c>
      <c r="H276" s="10">
        <f t="shared" si="107"/>
        <v>1</v>
      </c>
      <c r="I276" s="39"/>
      <c r="J276" s="19" cm="1">
        <f t="array" ref="J276">IFERROR(IF(_xlfn.XLOOKUP(L276,NC導入施設!B:B,NC導入施設!E:E)=0,_xlfn.IFS(H276&lt;=5,0,H276&lt;=10,1,H276&lt;=15,2,H276&gt;=16,3),"Null"),"-")</f>
        <v>0</v>
      </c>
      <c r="K276" s="62"/>
      <c r="L276" s="1">
        <v>2313081100</v>
      </c>
    </row>
    <row r="277" spans="1:12" ht="18" customHeight="1" x14ac:dyDescent="0.45">
      <c r="A277" s="13">
        <v>271</v>
      </c>
      <c r="B277" s="40" t="s">
        <v>8</v>
      </c>
      <c r="C277" s="40" t="s">
        <v>35</v>
      </c>
      <c r="D277" s="14" t="s">
        <v>3</v>
      </c>
      <c r="E277" s="15">
        <v>1</v>
      </c>
      <c r="F277" s="17">
        <v>1</v>
      </c>
      <c r="G277" s="17">
        <v>1</v>
      </c>
      <c r="H277" s="15">
        <f t="shared" si="107"/>
        <v>1</v>
      </c>
      <c r="I277" s="43" cm="1">
        <f t="array" ref="I277">IF(J277="-","-",_xlfn.IFS(K277&lt;=5,0,K277&lt;=10,1,K277&lt;=15,2,K277&gt;=16,3))</f>
        <v>1</v>
      </c>
      <c r="J277" s="19" cm="1">
        <f t="array" ref="J277">IFERROR(IF(_xlfn.XLOOKUP(L277,NC導入施設!B:B,NC導入施設!E:E)=0,_xlfn.IFS(H277&lt;=5,0,H277&lt;=10,1,H277&lt;=15,2,H277&gt;=16,3),"Null"),"-")</f>
        <v>0</v>
      </c>
      <c r="K277" s="60">
        <f t="shared" ref="K277" si="112">IFERROR(SUM(H277:H281),"-")</f>
        <v>10</v>
      </c>
      <c r="L277" s="1">
        <v>2313101100</v>
      </c>
    </row>
    <row r="278" spans="1:12" ht="18" customHeight="1" x14ac:dyDescent="0.45">
      <c r="A278" s="13">
        <v>272</v>
      </c>
      <c r="B278" s="41" t="str">
        <f t="shared" ref="B278:C281" si="113">B277</f>
        <v>東京本部</v>
      </c>
      <c r="C278" s="41" t="str">
        <f t="shared" si="113"/>
        <v>そんぽの家　新小平</v>
      </c>
      <c r="D278" s="14" t="s">
        <v>4</v>
      </c>
      <c r="E278" s="15">
        <v>1</v>
      </c>
      <c r="F278" s="17">
        <v>3</v>
      </c>
      <c r="G278" s="17">
        <v>3</v>
      </c>
      <c r="H278" s="15">
        <f t="shared" si="107"/>
        <v>3</v>
      </c>
      <c r="I278" s="44"/>
      <c r="J278" s="19" cm="1">
        <f t="array" ref="J278">IFERROR(IF(_xlfn.XLOOKUP(L278,NC導入施設!B:B,NC導入施設!E:E)=0,_xlfn.IFS(H278&lt;=5,0,H278&lt;=10,1,H278&lt;=15,2,H278&gt;=16,3),"Null"),"-")</f>
        <v>0</v>
      </c>
      <c r="K278" s="61"/>
      <c r="L278" s="1">
        <v>2313101100</v>
      </c>
    </row>
    <row r="279" spans="1:12" ht="18" customHeight="1" x14ac:dyDescent="0.45">
      <c r="A279" s="13">
        <v>273</v>
      </c>
      <c r="B279" s="41" t="str">
        <f t="shared" si="113"/>
        <v>東京本部</v>
      </c>
      <c r="C279" s="41" t="str">
        <f t="shared" si="113"/>
        <v>そんぽの家　新小平</v>
      </c>
      <c r="D279" s="14" t="s">
        <v>5</v>
      </c>
      <c r="E279" s="15">
        <v>2</v>
      </c>
      <c r="F279" s="17">
        <v>4</v>
      </c>
      <c r="G279" s="17">
        <v>2</v>
      </c>
      <c r="H279" s="15">
        <f t="shared" si="107"/>
        <v>4</v>
      </c>
      <c r="I279" s="44"/>
      <c r="J279" s="19" cm="1">
        <f t="array" ref="J279">IFERROR(IF(_xlfn.XLOOKUP(L279,NC導入施設!B:B,NC導入施設!E:E)=0,_xlfn.IFS(H279&lt;=5,0,H279&lt;=10,1,H279&lt;=15,2,H279&gt;=16,3),"Null"),"-")</f>
        <v>0</v>
      </c>
      <c r="K279" s="61"/>
      <c r="L279" s="1">
        <v>2313101100</v>
      </c>
    </row>
    <row r="280" spans="1:12" ht="18" customHeight="1" x14ac:dyDescent="0.45">
      <c r="A280" s="13">
        <v>274</v>
      </c>
      <c r="B280" s="41" t="str">
        <f t="shared" si="113"/>
        <v>東京本部</v>
      </c>
      <c r="C280" s="41" t="str">
        <f t="shared" si="113"/>
        <v>そんぽの家　新小平</v>
      </c>
      <c r="D280" s="14" t="s">
        <v>6</v>
      </c>
      <c r="E280" s="15">
        <v>3</v>
      </c>
      <c r="F280" s="17">
        <v>0</v>
      </c>
      <c r="G280" s="17">
        <v>0</v>
      </c>
      <c r="H280" s="15">
        <f t="shared" si="107"/>
        <v>0</v>
      </c>
      <c r="I280" s="44"/>
      <c r="J280" s="19" cm="1">
        <f t="array" ref="J280">IFERROR(IF(_xlfn.XLOOKUP(L280,NC導入施設!B:B,NC導入施設!E:E)=0,_xlfn.IFS(H280&lt;=5,0,H280&lt;=10,1,H280&lt;=15,2,H280&gt;=16,3),"Null"),"-")</f>
        <v>0</v>
      </c>
      <c r="K280" s="61"/>
      <c r="L280" s="1">
        <v>2313101100</v>
      </c>
    </row>
    <row r="281" spans="1:12" ht="18" customHeight="1" x14ac:dyDescent="0.45">
      <c r="A281" s="13">
        <v>275</v>
      </c>
      <c r="B281" s="42" t="str">
        <f t="shared" si="113"/>
        <v>東京本部</v>
      </c>
      <c r="C281" s="42" t="str">
        <f t="shared" si="113"/>
        <v>そんぽの家　新小平</v>
      </c>
      <c r="D281" s="14" t="s">
        <v>2</v>
      </c>
      <c r="E281" s="15">
        <v>2</v>
      </c>
      <c r="F281" s="17">
        <v>2</v>
      </c>
      <c r="G281" s="17">
        <v>1</v>
      </c>
      <c r="H281" s="15">
        <f t="shared" si="107"/>
        <v>2</v>
      </c>
      <c r="I281" s="45"/>
      <c r="J281" s="19" cm="1">
        <f t="array" ref="J281">IFERROR(IF(_xlfn.XLOOKUP(L281,NC導入施設!B:B,NC導入施設!E:E)=0,_xlfn.IFS(H281&lt;=5,0,H281&lt;=10,1,H281&lt;=15,2,H281&gt;=16,3),"Null"),"-")</f>
        <v>0</v>
      </c>
      <c r="K281" s="62"/>
      <c r="L281" s="1">
        <v>2313101100</v>
      </c>
    </row>
    <row r="282" spans="1:12" ht="18" customHeight="1" x14ac:dyDescent="0.45">
      <c r="A282" s="8">
        <v>276</v>
      </c>
      <c r="B282" s="34" t="s">
        <v>8</v>
      </c>
      <c r="C282" s="34" t="s">
        <v>36</v>
      </c>
      <c r="D282" s="9" t="s">
        <v>3</v>
      </c>
      <c r="E282" s="10">
        <v>1</v>
      </c>
      <c r="F282" s="12">
        <v>5</v>
      </c>
      <c r="G282" s="12">
        <v>5</v>
      </c>
      <c r="H282" s="10">
        <f t="shared" si="107"/>
        <v>5</v>
      </c>
      <c r="I282" s="37" cm="1">
        <f t="array" ref="I282">IF(J282="-","-",_xlfn.IFS(K282&lt;=5,0,K282&lt;=10,1,K282&lt;=15,2,K282&gt;=16,3))</f>
        <v>3</v>
      </c>
      <c r="J282" s="19" cm="1">
        <f t="array" ref="J282">IFERROR(IF(_xlfn.XLOOKUP(L282,NC導入施設!B:B,NC導入施設!E:E)=0,_xlfn.IFS(H282&lt;=5,0,H282&lt;=10,1,H282&lt;=15,2,H282&gt;=16,3),"Null"),"-")</f>
        <v>0</v>
      </c>
      <c r="K282" s="60">
        <f t="shared" ref="K282" si="114">IFERROR(SUM(H282:H286),"-")</f>
        <v>19</v>
      </c>
      <c r="L282" s="1">
        <v>2313111100</v>
      </c>
    </row>
    <row r="283" spans="1:12" ht="18" customHeight="1" x14ac:dyDescent="0.45">
      <c r="A283" s="8">
        <v>277</v>
      </c>
      <c r="B283" s="35" t="str">
        <f t="shared" ref="B283:C286" si="115">B282</f>
        <v>東京本部</v>
      </c>
      <c r="C283" s="35" t="str">
        <f t="shared" si="115"/>
        <v>そんぽの家　小平仲町</v>
      </c>
      <c r="D283" s="9" t="s">
        <v>4</v>
      </c>
      <c r="E283" s="10">
        <v>1</v>
      </c>
      <c r="F283" s="12">
        <v>13</v>
      </c>
      <c r="G283" s="12">
        <v>13</v>
      </c>
      <c r="H283" s="10">
        <f t="shared" si="107"/>
        <v>13</v>
      </c>
      <c r="I283" s="38"/>
      <c r="J283" s="19" cm="1">
        <f t="array" ref="J283">IFERROR(IF(_xlfn.XLOOKUP(L283,NC導入施設!B:B,NC導入施設!E:E)=0,_xlfn.IFS(H283&lt;=5,0,H283&lt;=10,1,H283&lt;=15,2,H283&gt;=16,3),"Null"),"-")</f>
        <v>2</v>
      </c>
      <c r="K283" s="61"/>
      <c r="L283" s="1">
        <v>2313111100</v>
      </c>
    </row>
    <row r="284" spans="1:12" ht="18" customHeight="1" x14ac:dyDescent="0.45">
      <c r="A284" s="8">
        <v>278</v>
      </c>
      <c r="B284" s="35" t="str">
        <f t="shared" si="115"/>
        <v>東京本部</v>
      </c>
      <c r="C284" s="35" t="str">
        <f t="shared" si="115"/>
        <v>そんぽの家　小平仲町</v>
      </c>
      <c r="D284" s="9" t="s">
        <v>5</v>
      </c>
      <c r="E284" s="10">
        <v>1</v>
      </c>
      <c r="F284" s="12">
        <v>0</v>
      </c>
      <c r="G284" s="12">
        <v>0</v>
      </c>
      <c r="H284" s="10">
        <f t="shared" si="107"/>
        <v>0</v>
      </c>
      <c r="I284" s="38"/>
      <c r="J284" s="19" cm="1">
        <f t="array" ref="J284">IFERROR(IF(_xlfn.XLOOKUP(L284,NC導入施設!B:B,NC導入施設!E:E)=0,_xlfn.IFS(H284&lt;=5,0,H284&lt;=10,1,H284&lt;=15,2,H284&gt;=16,3),"Null"),"-")</f>
        <v>0</v>
      </c>
      <c r="K284" s="61"/>
      <c r="L284" s="1">
        <v>2313111100</v>
      </c>
    </row>
    <row r="285" spans="1:12" ht="18" customHeight="1" x14ac:dyDescent="0.45">
      <c r="A285" s="8">
        <v>279</v>
      </c>
      <c r="B285" s="35" t="str">
        <f t="shared" si="115"/>
        <v>東京本部</v>
      </c>
      <c r="C285" s="35" t="str">
        <f t="shared" si="115"/>
        <v>そんぽの家　小平仲町</v>
      </c>
      <c r="D285" s="9" t="s">
        <v>6</v>
      </c>
      <c r="E285" s="10">
        <v>3</v>
      </c>
      <c r="F285" s="12">
        <v>0</v>
      </c>
      <c r="G285" s="12">
        <v>0</v>
      </c>
      <c r="H285" s="10">
        <f t="shared" si="107"/>
        <v>0</v>
      </c>
      <c r="I285" s="38"/>
      <c r="J285" s="19" cm="1">
        <f t="array" ref="J285">IFERROR(IF(_xlfn.XLOOKUP(L285,NC導入施設!B:B,NC導入施設!E:E)=0,_xlfn.IFS(H285&lt;=5,0,H285&lt;=10,1,H285&lt;=15,2,H285&gt;=16,3),"Null"),"-")</f>
        <v>0</v>
      </c>
      <c r="K285" s="61"/>
      <c r="L285" s="1">
        <v>2313111100</v>
      </c>
    </row>
    <row r="286" spans="1:12" ht="18" customHeight="1" x14ac:dyDescent="0.45">
      <c r="A286" s="8">
        <v>280</v>
      </c>
      <c r="B286" s="36" t="str">
        <f t="shared" si="115"/>
        <v>東京本部</v>
      </c>
      <c r="C286" s="36" t="str">
        <f t="shared" si="115"/>
        <v>そんぽの家　小平仲町</v>
      </c>
      <c r="D286" s="9" t="s">
        <v>2</v>
      </c>
      <c r="E286" s="10">
        <v>1</v>
      </c>
      <c r="F286" s="12">
        <v>1</v>
      </c>
      <c r="G286" s="12">
        <v>1</v>
      </c>
      <c r="H286" s="10">
        <f t="shared" si="107"/>
        <v>1</v>
      </c>
      <c r="I286" s="39"/>
      <c r="J286" s="19" cm="1">
        <f t="array" ref="J286">IFERROR(IF(_xlfn.XLOOKUP(L286,NC導入施設!B:B,NC導入施設!E:E)=0,_xlfn.IFS(H286&lt;=5,0,H286&lt;=10,1,H286&lt;=15,2,H286&gt;=16,3),"Null"),"-")</f>
        <v>0</v>
      </c>
      <c r="K286" s="62"/>
      <c r="L286" s="1">
        <v>2313111100</v>
      </c>
    </row>
    <row r="287" spans="1:12" ht="18" customHeight="1" x14ac:dyDescent="0.45">
      <c r="A287" s="13">
        <v>281</v>
      </c>
      <c r="B287" s="40" t="s">
        <v>8</v>
      </c>
      <c r="C287" s="40" t="s">
        <v>37</v>
      </c>
      <c r="D287" s="14" t="s">
        <v>3</v>
      </c>
      <c r="E287" s="15">
        <v>1</v>
      </c>
      <c r="F287" s="17">
        <v>1</v>
      </c>
      <c r="G287" s="17">
        <v>1</v>
      </c>
      <c r="H287" s="15">
        <f t="shared" si="107"/>
        <v>1</v>
      </c>
      <c r="I287" s="43" cm="1">
        <f t="array" ref="I287">IF(J287="-","-",_xlfn.IFS(K287&lt;=5,0,K287&lt;=10,1,K287&lt;=15,2,K287&gt;=16,3))</f>
        <v>0</v>
      </c>
      <c r="J287" s="19" cm="1">
        <f t="array" ref="J287">IFERROR(IF(_xlfn.XLOOKUP(L287,NC導入施設!B:B,NC導入施設!E:E)=0,_xlfn.IFS(H287&lt;=5,0,H287&lt;=10,1,H287&lt;=15,2,H287&gt;=16,3),"Null"),"-")</f>
        <v>0</v>
      </c>
      <c r="K287" s="60">
        <f t="shared" ref="K287" si="116">IFERROR(SUM(H287:H291),"-")</f>
        <v>3</v>
      </c>
      <c r="L287" s="1">
        <v>2313131100</v>
      </c>
    </row>
    <row r="288" spans="1:12" ht="18" customHeight="1" x14ac:dyDescent="0.45">
      <c r="A288" s="13">
        <v>282</v>
      </c>
      <c r="B288" s="41" t="str">
        <f t="shared" ref="B288:C291" si="117">B287</f>
        <v>東京本部</v>
      </c>
      <c r="C288" s="41" t="str">
        <f t="shared" si="117"/>
        <v>そんぽの家　萩山</v>
      </c>
      <c r="D288" s="14" t="s">
        <v>4</v>
      </c>
      <c r="E288" s="15">
        <v>1</v>
      </c>
      <c r="F288" s="17">
        <v>0</v>
      </c>
      <c r="G288" s="17">
        <v>0</v>
      </c>
      <c r="H288" s="15">
        <f t="shared" si="107"/>
        <v>0</v>
      </c>
      <c r="I288" s="44"/>
      <c r="J288" s="19" cm="1">
        <f t="array" ref="J288">IFERROR(IF(_xlfn.XLOOKUP(L288,NC導入施設!B:B,NC導入施設!E:E)=0,_xlfn.IFS(H288&lt;=5,0,H288&lt;=10,1,H288&lt;=15,2,H288&gt;=16,3),"Null"),"-")</f>
        <v>0</v>
      </c>
      <c r="K288" s="61"/>
      <c r="L288" s="1">
        <v>2313131100</v>
      </c>
    </row>
    <row r="289" spans="1:12" ht="18" customHeight="1" x14ac:dyDescent="0.45">
      <c r="A289" s="13">
        <v>283</v>
      </c>
      <c r="B289" s="41" t="str">
        <f t="shared" si="117"/>
        <v>東京本部</v>
      </c>
      <c r="C289" s="41" t="str">
        <f t="shared" si="117"/>
        <v>そんぽの家　萩山</v>
      </c>
      <c r="D289" s="14" t="s">
        <v>5</v>
      </c>
      <c r="E289" s="15">
        <v>2</v>
      </c>
      <c r="F289" s="17">
        <v>0</v>
      </c>
      <c r="G289" s="17">
        <v>0</v>
      </c>
      <c r="H289" s="15">
        <f t="shared" si="107"/>
        <v>0</v>
      </c>
      <c r="I289" s="44"/>
      <c r="J289" s="19" cm="1">
        <f t="array" ref="J289">IFERROR(IF(_xlfn.XLOOKUP(L289,NC導入施設!B:B,NC導入施設!E:E)=0,_xlfn.IFS(H289&lt;=5,0,H289&lt;=10,1,H289&lt;=15,2,H289&gt;=16,3),"Null"),"-")</f>
        <v>0</v>
      </c>
      <c r="K289" s="61"/>
      <c r="L289" s="1">
        <v>2313131100</v>
      </c>
    </row>
    <row r="290" spans="1:12" ht="18" customHeight="1" x14ac:dyDescent="0.45">
      <c r="A290" s="13">
        <v>284</v>
      </c>
      <c r="B290" s="41" t="str">
        <f t="shared" si="117"/>
        <v>東京本部</v>
      </c>
      <c r="C290" s="41" t="str">
        <f t="shared" si="117"/>
        <v>そんぽの家　萩山</v>
      </c>
      <c r="D290" s="14" t="s">
        <v>6</v>
      </c>
      <c r="E290" s="15">
        <v>3</v>
      </c>
      <c r="F290" s="17">
        <v>0</v>
      </c>
      <c r="G290" s="17">
        <v>0</v>
      </c>
      <c r="H290" s="15">
        <f t="shared" si="107"/>
        <v>0</v>
      </c>
      <c r="I290" s="44"/>
      <c r="J290" s="19" cm="1">
        <f t="array" ref="J290">IFERROR(IF(_xlfn.XLOOKUP(L290,NC導入施設!B:B,NC導入施設!E:E)=0,_xlfn.IFS(H290&lt;=5,0,H290&lt;=10,1,H290&lt;=15,2,H290&gt;=16,3),"Null"),"-")</f>
        <v>0</v>
      </c>
      <c r="K290" s="61"/>
      <c r="L290" s="1">
        <v>2313131100</v>
      </c>
    </row>
    <row r="291" spans="1:12" ht="18" customHeight="1" x14ac:dyDescent="0.45">
      <c r="A291" s="13">
        <v>285</v>
      </c>
      <c r="B291" s="42" t="str">
        <f t="shared" si="117"/>
        <v>東京本部</v>
      </c>
      <c r="C291" s="42" t="str">
        <f t="shared" si="117"/>
        <v>そんぽの家　萩山</v>
      </c>
      <c r="D291" s="14" t="s">
        <v>2</v>
      </c>
      <c r="E291" s="15">
        <v>1</v>
      </c>
      <c r="F291" s="17">
        <v>2</v>
      </c>
      <c r="G291" s="17">
        <v>2</v>
      </c>
      <c r="H291" s="15">
        <f t="shared" si="107"/>
        <v>2</v>
      </c>
      <c r="I291" s="45"/>
      <c r="J291" s="19" cm="1">
        <f t="array" ref="J291">IFERROR(IF(_xlfn.XLOOKUP(L291,NC導入施設!B:B,NC導入施設!E:E)=0,_xlfn.IFS(H291&lt;=5,0,H291&lt;=10,1,H291&lt;=15,2,H291&gt;=16,3),"Null"),"-")</f>
        <v>0</v>
      </c>
      <c r="K291" s="62"/>
      <c r="L291" s="1">
        <v>2313131100</v>
      </c>
    </row>
    <row r="292" spans="1:12" ht="18" customHeight="1" x14ac:dyDescent="0.45">
      <c r="A292" s="8">
        <v>286</v>
      </c>
      <c r="B292" s="34" t="s">
        <v>8</v>
      </c>
      <c r="C292" s="34" t="s">
        <v>38</v>
      </c>
      <c r="D292" s="9" t="s">
        <v>3</v>
      </c>
      <c r="E292" s="10">
        <v>1</v>
      </c>
      <c r="F292" s="12">
        <v>1</v>
      </c>
      <c r="G292" s="12">
        <v>1</v>
      </c>
      <c r="H292" s="10">
        <f t="shared" si="107"/>
        <v>1</v>
      </c>
      <c r="I292" s="37" cm="1">
        <f t="array" ref="I292">IF(J292="-","-",_xlfn.IFS(K292&lt;=5,0,K292&lt;=10,1,K292&lt;=15,2,K292&gt;=16,3))</f>
        <v>1</v>
      </c>
      <c r="J292" s="19" cm="1">
        <f t="array" ref="J292">IFERROR(IF(_xlfn.XLOOKUP(L292,NC導入施設!B:B,NC導入施設!E:E)=0,_xlfn.IFS(H292&lt;=5,0,H292&lt;=10,1,H292&lt;=15,2,H292&gt;=16,3),"Null"),"-")</f>
        <v>0</v>
      </c>
      <c r="K292" s="60">
        <f t="shared" ref="K292" si="118">IFERROR(SUM(H292:H296),"-")</f>
        <v>10</v>
      </c>
      <c r="L292" s="1">
        <v>2313141100</v>
      </c>
    </row>
    <row r="293" spans="1:12" ht="18" customHeight="1" x14ac:dyDescent="0.45">
      <c r="A293" s="8">
        <v>287</v>
      </c>
      <c r="B293" s="35" t="str">
        <f t="shared" ref="B293:C296" si="119">B292</f>
        <v>東京本部</v>
      </c>
      <c r="C293" s="35" t="str">
        <f t="shared" si="119"/>
        <v>そんぽの家　八坂</v>
      </c>
      <c r="D293" s="9" t="s">
        <v>4</v>
      </c>
      <c r="E293" s="10">
        <v>1</v>
      </c>
      <c r="F293" s="12">
        <v>2</v>
      </c>
      <c r="G293" s="12">
        <v>2</v>
      </c>
      <c r="H293" s="10">
        <f t="shared" si="107"/>
        <v>2</v>
      </c>
      <c r="I293" s="38"/>
      <c r="J293" s="19" cm="1">
        <f t="array" ref="J293">IFERROR(IF(_xlfn.XLOOKUP(L293,NC導入施設!B:B,NC導入施設!E:E)=0,_xlfn.IFS(H293&lt;=5,0,H293&lt;=10,1,H293&lt;=15,2,H293&gt;=16,3),"Null"),"-")</f>
        <v>0</v>
      </c>
      <c r="K293" s="61"/>
      <c r="L293" s="1">
        <v>2313141100</v>
      </c>
    </row>
    <row r="294" spans="1:12" ht="18" customHeight="1" x14ac:dyDescent="0.45">
      <c r="A294" s="8">
        <v>288</v>
      </c>
      <c r="B294" s="35" t="str">
        <f t="shared" si="119"/>
        <v>東京本部</v>
      </c>
      <c r="C294" s="35" t="str">
        <f t="shared" si="119"/>
        <v>そんぽの家　八坂</v>
      </c>
      <c r="D294" s="9" t="s">
        <v>5</v>
      </c>
      <c r="E294" s="10">
        <v>1</v>
      </c>
      <c r="F294" s="12">
        <v>1</v>
      </c>
      <c r="G294" s="12">
        <v>1</v>
      </c>
      <c r="H294" s="10">
        <f t="shared" si="107"/>
        <v>1</v>
      </c>
      <c r="I294" s="38"/>
      <c r="J294" s="19" cm="1">
        <f t="array" ref="J294">IFERROR(IF(_xlfn.XLOOKUP(L294,NC導入施設!B:B,NC導入施設!E:E)=0,_xlfn.IFS(H294&lt;=5,0,H294&lt;=10,1,H294&lt;=15,2,H294&gt;=16,3),"Null"),"-")</f>
        <v>0</v>
      </c>
      <c r="K294" s="61"/>
      <c r="L294" s="1">
        <v>2313141100</v>
      </c>
    </row>
    <row r="295" spans="1:12" ht="18" customHeight="1" x14ac:dyDescent="0.45">
      <c r="A295" s="8">
        <v>289</v>
      </c>
      <c r="B295" s="35" t="str">
        <f t="shared" si="119"/>
        <v>東京本部</v>
      </c>
      <c r="C295" s="35" t="str">
        <f t="shared" si="119"/>
        <v>そんぽの家　八坂</v>
      </c>
      <c r="D295" s="9" t="s">
        <v>6</v>
      </c>
      <c r="E295" s="10">
        <v>3</v>
      </c>
      <c r="F295" s="12">
        <v>4</v>
      </c>
      <c r="G295" s="12">
        <v>1.3</v>
      </c>
      <c r="H295" s="10">
        <f t="shared" si="107"/>
        <v>4</v>
      </c>
      <c r="I295" s="38"/>
      <c r="J295" s="19" cm="1">
        <f t="array" ref="J295">IFERROR(IF(_xlfn.XLOOKUP(L295,NC導入施設!B:B,NC導入施設!E:E)=0,_xlfn.IFS(H295&lt;=5,0,H295&lt;=10,1,H295&lt;=15,2,H295&gt;=16,3),"Null"),"-")</f>
        <v>0</v>
      </c>
      <c r="K295" s="61"/>
      <c r="L295" s="1">
        <v>2313141100</v>
      </c>
    </row>
    <row r="296" spans="1:12" ht="18" customHeight="1" x14ac:dyDescent="0.45">
      <c r="A296" s="8">
        <v>290</v>
      </c>
      <c r="B296" s="36" t="str">
        <f t="shared" si="119"/>
        <v>東京本部</v>
      </c>
      <c r="C296" s="36" t="str">
        <f t="shared" si="119"/>
        <v>そんぽの家　八坂</v>
      </c>
      <c r="D296" s="9" t="s">
        <v>2</v>
      </c>
      <c r="E296" s="10">
        <v>1</v>
      </c>
      <c r="F296" s="12">
        <v>2</v>
      </c>
      <c r="G296" s="12">
        <v>2</v>
      </c>
      <c r="H296" s="10">
        <f t="shared" si="107"/>
        <v>2</v>
      </c>
      <c r="I296" s="39"/>
      <c r="J296" s="19" cm="1">
        <f t="array" ref="J296">IFERROR(IF(_xlfn.XLOOKUP(L296,NC導入施設!B:B,NC導入施設!E:E)=0,_xlfn.IFS(H296&lt;=5,0,H296&lt;=10,1,H296&lt;=15,2,H296&gt;=16,3),"Null"),"-")</f>
        <v>0</v>
      </c>
      <c r="K296" s="62"/>
      <c r="L296" s="1">
        <v>2313141100</v>
      </c>
    </row>
    <row r="297" spans="1:12" ht="18" customHeight="1" x14ac:dyDescent="0.45">
      <c r="A297" s="13">
        <v>291</v>
      </c>
      <c r="B297" s="40" t="s">
        <v>8</v>
      </c>
      <c r="C297" s="40" t="s">
        <v>217</v>
      </c>
      <c r="D297" s="14" t="s">
        <v>3</v>
      </c>
      <c r="E297" s="15">
        <v>1</v>
      </c>
      <c r="F297" s="17">
        <v>23</v>
      </c>
      <c r="G297" s="17">
        <v>23</v>
      </c>
      <c r="H297" s="15">
        <f t="shared" si="107"/>
        <v>23</v>
      </c>
      <c r="I297" s="43" cm="1">
        <f t="array" ref="I297">IF(J297="-","-",_xlfn.IFS(K297&lt;=5,0,K297&lt;=10,1,K297&lt;=15,2,K297&gt;=16,3))</f>
        <v>3</v>
      </c>
      <c r="J297" s="19" cm="1">
        <f t="array" ref="J297">IFERROR(IF(_xlfn.XLOOKUP(L297,NC導入施設!B:B,NC導入施設!E:E)=0,_xlfn.IFS(H297&lt;=5,0,H297&lt;=10,1,H297&lt;=15,2,H297&gt;=16,3),"Null"),"-")</f>
        <v>3</v>
      </c>
      <c r="K297" s="60">
        <f t="shared" ref="K297" si="120">IFERROR(SUM(H297:H301),"-")</f>
        <v>26</v>
      </c>
      <c r="L297" s="1">
        <v>2313171100</v>
      </c>
    </row>
    <row r="298" spans="1:12" ht="18" customHeight="1" x14ac:dyDescent="0.45">
      <c r="A298" s="13">
        <v>292</v>
      </c>
      <c r="B298" s="41" t="str">
        <f t="shared" ref="B298:C301" si="121">B297</f>
        <v>東京本部</v>
      </c>
      <c r="C298" s="41" t="str">
        <f t="shared" si="121"/>
        <v>ラヴィーレ国立矢川</v>
      </c>
      <c r="D298" s="14" t="s">
        <v>4</v>
      </c>
      <c r="E298" s="15">
        <v>1</v>
      </c>
      <c r="F298" s="17">
        <v>0</v>
      </c>
      <c r="G298" s="17">
        <v>0</v>
      </c>
      <c r="H298" s="15">
        <f t="shared" si="107"/>
        <v>0</v>
      </c>
      <c r="I298" s="44"/>
      <c r="J298" s="19" cm="1">
        <f t="array" ref="J298">IFERROR(IF(_xlfn.XLOOKUP(L298,NC導入施設!B:B,NC導入施設!E:E)=0,_xlfn.IFS(H298&lt;=5,0,H298&lt;=10,1,H298&lt;=15,2,H298&gt;=16,3),"Null"),"-")</f>
        <v>0</v>
      </c>
      <c r="K298" s="61"/>
      <c r="L298" s="1">
        <v>2313171100</v>
      </c>
    </row>
    <row r="299" spans="1:12" ht="18" customHeight="1" x14ac:dyDescent="0.45">
      <c r="A299" s="13">
        <v>293</v>
      </c>
      <c r="B299" s="41" t="str">
        <f t="shared" si="121"/>
        <v>東京本部</v>
      </c>
      <c r="C299" s="41" t="str">
        <f t="shared" si="121"/>
        <v>ラヴィーレ国立矢川</v>
      </c>
      <c r="D299" s="14" t="s">
        <v>5</v>
      </c>
      <c r="E299" s="15">
        <v>2</v>
      </c>
      <c r="F299" s="17">
        <v>0</v>
      </c>
      <c r="G299" s="17">
        <v>0</v>
      </c>
      <c r="H299" s="15">
        <f t="shared" si="107"/>
        <v>0</v>
      </c>
      <c r="I299" s="44"/>
      <c r="J299" s="19" cm="1">
        <f t="array" ref="J299">IFERROR(IF(_xlfn.XLOOKUP(L299,NC導入施設!B:B,NC導入施設!E:E)=0,_xlfn.IFS(H299&lt;=5,0,H299&lt;=10,1,H299&lt;=15,2,H299&gt;=16,3),"Null"),"-")</f>
        <v>0</v>
      </c>
      <c r="K299" s="61"/>
      <c r="L299" s="1">
        <v>2313171100</v>
      </c>
    </row>
    <row r="300" spans="1:12" ht="18" customHeight="1" x14ac:dyDescent="0.45">
      <c r="A300" s="13">
        <v>294</v>
      </c>
      <c r="B300" s="41" t="str">
        <f t="shared" si="121"/>
        <v>東京本部</v>
      </c>
      <c r="C300" s="41" t="str">
        <f t="shared" si="121"/>
        <v>ラヴィーレ国立矢川</v>
      </c>
      <c r="D300" s="14" t="s">
        <v>6</v>
      </c>
      <c r="E300" s="15">
        <v>3</v>
      </c>
      <c r="F300" s="17">
        <v>1</v>
      </c>
      <c r="G300" s="17">
        <v>0.3</v>
      </c>
      <c r="H300" s="15">
        <f t="shared" si="107"/>
        <v>1</v>
      </c>
      <c r="I300" s="44"/>
      <c r="J300" s="19" cm="1">
        <f t="array" ref="J300">IFERROR(IF(_xlfn.XLOOKUP(L300,NC導入施設!B:B,NC導入施設!E:E)=0,_xlfn.IFS(H300&lt;=5,0,H300&lt;=10,1,H300&lt;=15,2,H300&gt;=16,3),"Null"),"-")</f>
        <v>0</v>
      </c>
      <c r="K300" s="61"/>
      <c r="L300" s="1">
        <v>2313171100</v>
      </c>
    </row>
    <row r="301" spans="1:12" ht="18" customHeight="1" x14ac:dyDescent="0.45">
      <c r="A301" s="13">
        <v>295</v>
      </c>
      <c r="B301" s="42" t="str">
        <f t="shared" si="121"/>
        <v>東京本部</v>
      </c>
      <c r="C301" s="42" t="str">
        <f t="shared" si="121"/>
        <v>ラヴィーレ国立矢川</v>
      </c>
      <c r="D301" s="14" t="s">
        <v>2</v>
      </c>
      <c r="E301" s="15">
        <v>1</v>
      </c>
      <c r="F301" s="17">
        <v>2</v>
      </c>
      <c r="G301" s="17">
        <v>2</v>
      </c>
      <c r="H301" s="15">
        <f t="shared" si="107"/>
        <v>2</v>
      </c>
      <c r="I301" s="45"/>
      <c r="J301" s="19" cm="1">
        <f t="array" ref="J301">IFERROR(IF(_xlfn.XLOOKUP(L301,NC導入施設!B:B,NC導入施設!E:E)=0,_xlfn.IFS(H301&lt;=5,0,H301&lt;=10,1,H301&lt;=15,2,H301&gt;=16,3),"Null"),"-")</f>
        <v>0</v>
      </c>
      <c r="K301" s="62"/>
      <c r="L301" s="1">
        <v>2313171100</v>
      </c>
    </row>
    <row r="302" spans="1:12" ht="18" customHeight="1" x14ac:dyDescent="0.45">
      <c r="A302" s="8">
        <v>296</v>
      </c>
      <c r="B302" s="34" t="s">
        <v>8</v>
      </c>
      <c r="C302" s="34" t="s">
        <v>39</v>
      </c>
      <c r="D302" s="9" t="s">
        <v>3</v>
      </c>
      <c r="E302" s="10">
        <v>1</v>
      </c>
      <c r="F302" s="12">
        <v>8</v>
      </c>
      <c r="G302" s="12">
        <v>8</v>
      </c>
      <c r="H302" s="10">
        <f t="shared" si="107"/>
        <v>8</v>
      </c>
      <c r="I302" s="37" cm="1">
        <f t="array" ref="I302">IF(J302="-","-",_xlfn.IFS(K302&lt;=5,0,K302&lt;=10,1,K302&lt;=15,2,K302&gt;=16,3))</f>
        <v>2</v>
      </c>
      <c r="J302" s="19" cm="1">
        <f t="array" ref="J302">IFERROR(IF(_xlfn.XLOOKUP(L302,NC導入施設!B:B,NC導入施設!E:E)=0,_xlfn.IFS(H302&lt;=5,0,H302&lt;=10,1,H302&lt;=15,2,H302&gt;=16,3),"Null"),"-")</f>
        <v>1</v>
      </c>
      <c r="K302" s="60">
        <f t="shared" ref="K302" si="122">IFERROR(SUM(H302:H306),"-")</f>
        <v>13</v>
      </c>
      <c r="L302" s="1">
        <v>2313191100</v>
      </c>
    </row>
    <row r="303" spans="1:12" ht="18" customHeight="1" x14ac:dyDescent="0.45">
      <c r="A303" s="8">
        <v>297</v>
      </c>
      <c r="B303" s="35" t="str">
        <f t="shared" ref="B303:C306" si="123">B302</f>
        <v>東京本部</v>
      </c>
      <c r="C303" s="35" t="str">
        <f t="shared" si="123"/>
        <v>そんぽの家　国立南</v>
      </c>
      <c r="D303" s="9" t="s">
        <v>4</v>
      </c>
      <c r="E303" s="10">
        <v>1</v>
      </c>
      <c r="F303" s="12">
        <v>1</v>
      </c>
      <c r="G303" s="12">
        <v>1</v>
      </c>
      <c r="H303" s="10">
        <f t="shared" si="107"/>
        <v>1</v>
      </c>
      <c r="I303" s="38"/>
      <c r="J303" s="19" cm="1">
        <f t="array" ref="J303">IFERROR(IF(_xlfn.XLOOKUP(L303,NC導入施設!B:B,NC導入施設!E:E)=0,_xlfn.IFS(H303&lt;=5,0,H303&lt;=10,1,H303&lt;=15,2,H303&gt;=16,3),"Null"),"-")</f>
        <v>0</v>
      </c>
      <c r="K303" s="61"/>
      <c r="L303" s="1">
        <v>2313191100</v>
      </c>
    </row>
    <row r="304" spans="1:12" ht="18" customHeight="1" x14ac:dyDescent="0.45">
      <c r="A304" s="8">
        <v>298</v>
      </c>
      <c r="B304" s="35" t="str">
        <f t="shared" si="123"/>
        <v>東京本部</v>
      </c>
      <c r="C304" s="35" t="str">
        <f t="shared" si="123"/>
        <v>そんぽの家　国立南</v>
      </c>
      <c r="D304" s="9" t="s">
        <v>5</v>
      </c>
      <c r="E304" s="10">
        <v>1</v>
      </c>
      <c r="F304" s="12">
        <v>1</v>
      </c>
      <c r="G304" s="12">
        <v>1</v>
      </c>
      <c r="H304" s="10">
        <f t="shared" si="107"/>
        <v>1</v>
      </c>
      <c r="I304" s="38"/>
      <c r="J304" s="19" cm="1">
        <f t="array" ref="J304">IFERROR(IF(_xlfn.XLOOKUP(L304,NC導入施設!B:B,NC導入施設!E:E)=0,_xlfn.IFS(H304&lt;=5,0,H304&lt;=10,1,H304&lt;=15,2,H304&gt;=16,3),"Null"),"-")</f>
        <v>0</v>
      </c>
      <c r="K304" s="61"/>
      <c r="L304" s="1">
        <v>2313191100</v>
      </c>
    </row>
    <row r="305" spans="1:12" ht="18" customHeight="1" x14ac:dyDescent="0.45">
      <c r="A305" s="8">
        <v>299</v>
      </c>
      <c r="B305" s="35" t="str">
        <f t="shared" si="123"/>
        <v>東京本部</v>
      </c>
      <c r="C305" s="35" t="str">
        <f t="shared" si="123"/>
        <v>そんぽの家　国立南</v>
      </c>
      <c r="D305" s="9" t="s">
        <v>6</v>
      </c>
      <c r="E305" s="10">
        <v>3</v>
      </c>
      <c r="F305" s="12">
        <v>3</v>
      </c>
      <c r="G305" s="12">
        <v>1</v>
      </c>
      <c r="H305" s="10">
        <f t="shared" si="107"/>
        <v>3</v>
      </c>
      <c r="I305" s="38"/>
      <c r="J305" s="19" cm="1">
        <f t="array" ref="J305">IFERROR(IF(_xlfn.XLOOKUP(L305,NC導入施設!B:B,NC導入施設!E:E)=0,_xlfn.IFS(H305&lt;=5,0,H305&lt;=10,1,H305&lt;=15,2,H305&gt;=16,3),"Null"),"-")</f>
        <v>0</v>
      </c>
      <c r="K305" s="61"/>
      <c r="L305" s="1">
        <v>2313191100</v>
      </c>
    </row>
    <row r="306" spans="1:12" ht="18" customHeight="1" x14ac:dyDescent="0.45">
      <c r="A306" s="8">
        <v>300</v>
      </c>
      <c r="B306" s="36" t="str">
        <f t="shared" si="123"/>
        <v>東京本部</v>
      </c>
      <c r="C306" s="36" t="str">
        <f t="shared" si="123"/>
        <v>そんぽの家　国立南</v>
      </c>
      <c r="D306" s="9" t="s">
        <v>2</v>
      </c>
      <c r="E306" s="10">
        <v>0</v>
      </c>
      <c r="F306" s="12">
        <v>0</v>
      </c>
      <c r="G306" s="12">
        <v>0</v>
      </c>
      <c r="H306" s="10">
        <f t="shared" si="107"/>
        <v>0</v>
      </c>
      <c r="I306" s="39"/>
      <c r="J306" s="19" cm="1">
        <f t="array" ref="J306">IFERROR(IF(_xlfn.XLOOKUP(L306,NC導入施設!B:B,NC導入施設!E:E)=0,_xlfn.IFS(H306&lt;=5,0,H306&lt;=10,1,H306&lt;=15,2,H306&gt;=16,3),"Null"),"-")</f>
        <v>0</v>
      </c>
      <c r="K306" s="62"/>
      <c r="L306" s="1">
        <v>2313191100</v>
      </c>
    </row>
    <row r="307" spans="1:12" ht="18" customHeight="1" x14ac:dyDescent="0.45">
      <c r="A307" s="13">
        <v>301</v>
      </c>
      <c r="B307" s="40" t="s">
        <v>8</v>
      </c>
      <c r="C307" s="40" t="s">
        <v>40</v>
      </c>
      <c r="D307" s="14" t="s">
        <v>3</v>
      </c>
      <c r="E307" s="15">
        <v>1</v>
      </c>
      <c r="F307" s="17">
        <v>1</v>
      </c>
      <c r="G307" s="17">
        <v>1</v>
      </c>
      <c r="H307" s="15">
        <f t="shared" si="107"/>
        <v>1</v>
      </c>
      <c r="I307" s="43" cm="1">
        <f t="array" ref="I307">IF(J307="-","-",_xlfn.IFS(K307&lt;=5,0,K307&lt;=10,1,K307&lt;=15,2,K307&gt;=16,3))</f>
        <v>0</v>
      </c>
      <c r="J307" s="19" cm="1">
        <f t="array" ref="J307">IFERROR(IF(_xlfn.XLOOKUP(L307,NC導入施設!B:B,NC導入施設!E:E)=0,_xlfn.IFS(H307&lt;=5,0,H307&lt;=10,1,H307&lt;=15,2,H307&gt;=16,3),"Null"),"-")</f>
        <v>0</v>
      </c>
      <c r="K307" s="60">
        <f t="shared" ref="K307" si="124">IFERROR(SUM(H307:H311),"-")</f>
        <v>1</v>
      </c>
      <c r="L307" s="1">
        <v>2313231100</v>
      </c>
    </row>
    <row r="308" spans="1:12" ht="18" customHeight="1" x14ac:dyDescent="0.45">
      <c r="A308" s="13">
        <v>302</v>
      </c>
      <c r="B308" s="41" t="str">
        <f t="shared" ref="B308:C311" si="125">B307</f>
        <v>東京本部</v>
      </c>
      <c r="C308" s="41" t="str">
        <f t="shared" si="125"/>
        <v>そんぽの家　昭島</v>
      </c>
      <c r="D308" s="14" t="s">
        <v>4</v>
      </c>
      <c r="E308" s="15">
        <v>1</v>
      </c>
      <c r="F308" s="17">
        <v>0</v>
      </c>
      <c r="G308" s="17">
        <v>0</v>
      </c>
      <c r="H308" s="15">
        <f t="shared" si="107"/>
        <v>0</v>
      </c>
      <c r="I308" s="44"/>
      <c r="J308" s="19" cm="1">
        <f t="array" ref="J308">IFERROR(IF(_xlfn.XLOOKUP(L308,NC導入施設!B:B,NC導入施設!E:E)=0,_xlfn.IFS(H308&lt;=5,0,H308&lt;=10,1,H308&lt;=15,2,H308&gt;=16,3),"Null"),"-")</f>
        <v>0</v>
      </c>
      <c r="K308" s="61"/>
      <c r="L308" s="1">
        <v>2313231100</v>
      </c>
    </row>
    <row r="309" spans="1:12" ht="18" customHeight="1" x14ac:dyDescent="0.45">
      <c r="A309" s="13">
        <v>303</v>
      </c>
      <c r="B309" s="41" t="str">
        <f t="shared" si="125"/>
        <v>東京本部</v>
      </c>
      <c r="C309" s="41" t="str">
        <f t="shared" si="125"/>
        <v>そんぽの家　昭島</v>
      </c>
      <c r="D309" s="14" t="s">
        <v>5</v>
      </c>
      <c r="E309" s="15">
        <v>1</v>
      </c>
      <c r="F309" s="17">
        <v>0</v>
      </c>
      <c r="G309" s="17">
        <v>0</v>
      </c>
      <c r="H309" s="15">
        <f t="shared" si="107"/>
        <v>0</v>
      </c>
      <c r="I309" s="44"/>
      <c r="J309" s="19" cm="1">
        <f t="array" ref="J309">IFERROR(IF(_xlfn.XLOOKUP(L309,NC導入施設!B:B,NC導入施設!E:E)=0,_xlfn.IFS(H309&lt;=5,0,H309&lt;=10,1,H309&lt;=15,2,H309&gt;=16,3),"Null"),"-")</f>
        <v>0</v>
      </c>
      <c r="K309" s="61"/>
      <c r="L309" s="1">
        <v>2313231100</v>
      </c>
    </row>
    <row r="310" spans="1:12" ht="18" customHeight="1" x14ac:dyDescent="0.45">
      <c r="A310" s="13">
        <v>304</v>
      </c>
      <c r="B310" s="41" t="str">
        <f t="shared" si="125"/>
        <v>東京本部</v>
      </c>
      <c r="C310" s="41" t="str">
        <f t="shared" si="125"/>
        <v>そんぽの家　昭島</v>
      </c>
      <c r="D310" s="14" t="s">
        <v>6</v>
      </c>
      <c r="E310" s="15">
        <v>3</v>
      </c>
      <c r="F310" s="17">
        <v>0</v>
      </c>
      <c r="G310" s="17">
        <v>0</v>
      </c>
      <c r="H310" s="15">
        <f t="shared" si="107"/>
        <v>0</v>
      </c>
      <c r="I310" s="44"/>
      <c r="J310" s="19" cm="1">
        <f t="array" ref="J310">IFERROR(IF(_xlfn.XLOOKUP(L310,NC導入施設!B:B,NC導入施設!E:E)=0,_xlfn.IFS(H310&lt;=5,0,H310&lt;=10,1,H310&lt;=15,2,H310&gt;=16,3),"Null"),"-")</f>
        <v>0</v>
      </c>
      <c r="K310" s="61"/>
      <c r="L310" s="1">
        <v>2313231100</v>
      </c>
    </row>
    <row r="311" spans="1:12" ht="18" customHeight="1" x14ac:dyDescent="0.45">
      <c r="A311" s="13">
        <v>305</v>
      </c>
      <c r="B311" s="42" t="str">
        <f t="shared" si="125"/>
        <v>東京本部</v>
      </c>
      <c r="C311" s="42" t="str">
        <f t="shared" si="125"/>
        <v>そんぽの家　昭島</v>
      </c>
      <c r="D311" s="14" t="s">
        <v>2</v>
      </c>
      <c r="E311" s="15">
        <v>2</v>
      </c>
      <c r="F311" s="17">
        <v>0</v>
      </c>
      <c r="G311" s="17">
        <v>0</v>
      </c>
      <c r="H311" s="15">
        <f t="shared" si="107"/>
        <v>0</v>
      </c>
      <c r="I311" s="45"/>
      <c r="J311" s="19" cm="1">
        <f t="array" ref="J311">IFERROR(IF(_xlfn.XLOOKUP(L311,NC導入施設!B:B,NC導入施設!E:E)=0,_xlfn.IFS(H311&lt;=5,0,H311&lt;=10,1,H311&lt;=15,2,H311&gt;=16,3),"Null"),"-")</f>
        <v>0</v>
      </c>
      <c r="K311" s="62"/>
      <c r="L311" s="1">
        <v>2313231100</v>
      </c>
    </row>
    <row r="312" spans="1:12" ht="18" customHeight="1" x14ac:dyDescent="0.45">
      <c r="A312" s="8">
        <v>306</v>
      </c>
      <c r="B312" s="34" t="s">
        <v>8</v>
      </c>
      <c r="C312" s="34" t="s">
        <v>41</v>
      </c>
      <c r="D312" s="9" t="s">
        <v>3</v>
      </c>
      <c r="E312" s="10">
        <v>1</v>
      </c>
      <c r="F312" s="12">
        <v>4</v>
      </c>
      <c r="G312" s="12">
        <v>4</v>
      </c>
      <c r="H312" s="10">
        <f t="shared" si="107"/>
        <v>4</v>
      </c>
      <c r="I312" s="37" cm="1">
        <f t="array" ref="I312">IF(J312="-","-",_xlfn.IFS(K312&lt;=5,0,K312&lt;=10,1,K312&lt;=15,2,K312&gt;=16,3))</f>
        <v>1</v>
      </c>
      <c r="J312" s="19" cm="1">
        <f t="array" ref="J312">IFERROR(IF(_xlfn.XLOOKUP(L312,NC導入施設!B:B,NC導入施設!E:E)=0,_xlfn.IFS(H312&lt;=5,0,H312&lt;=10,1,H312&lt;=15,2,H312&gt;=16,3),"Null"),"-")</f>
        <v>0</v>
      </c>
      <c r="K312" s="60">
        <f t="shared" ref="K312" si="126">IFERROR(SUM(H312:H316),"-")</f>
        <v>6</v>
      </c>
      <c r="L312" s="1">
        <v>2313241100</v>
      </c>
    </row>
    <row r="313" spans="1:12" ht="18" customHeight="1" x14ac:dyDescent="0.45">
      <c r="A313" s="8">
        <v>307</v>
      </c>
      <c r="B313" s="35" t="str">
        <f t="shared" ref="B313:C316" si="127">B312</f>
        <v>東京本部</v>
      </c>
      <c r="C313" s="35" t="str">
        <f t="shared" si="127"/>
        <v>そんぽの家　福生公園</v>
      </c>
      <c r="D313" s="9" t="s">
        <v>4</v>
      </c>
      <c r="E313" s="10">
        <v>1</v>
      </c>
      <c r="F313" s="12">
        <v>0</v>
      </c>
      <c r="G313" s="12">
        <v>0</v>
      </c>
      <c r="H313" s="10">
        <f t="shared" si="107"/>
        <v>0</v>
      </c>
      <c r="I313" s="38"/>
      <c r="J313" s="19" cm="1">
        <f t="array" ref="J313">IFERROR(IF(_xlfn.XLOOKUP(L313,NC導入施設!B:B,NC導入施設!E:E)=0,_xlfn.IFS(H313&lt;=5,0,H313&lt;=10,1,H313&lt;=15,2,H313&gt;=16,3),"Null"),"-")</f>
        <v>0</v>
      </c>
      <c r="K313" s="61"/>
      <c r="L313" s="1">
        <v>2313241100</v>
      </c>
    </row>
    <row r="314" spans="1:12" ht="18" customHeight="1" x14ac:dyDescent="0.45">
      <c r="A314" s="8">
        <v>308</v>
      </c>
      <c r="B314" s="35" t="str">
        <f t="shared" si="127"/>
        <v>東京本部</v>
      </c>
      <c r="C314" s="35" t="str">
        <f t="shared" si="127"/>
        <v>そんぽの家　福生公園</v>
      </c>
      <c r="D314" s="9" t="s">
        <v>5</v>
      </c>
      <c r="E314" s="10">
        <v>1</v>
      </c>
      <c r="F314" s="12">
        <v>0</v>
      </c>
      <c r="G314" s="12">
        <v>0</v>
      </c>
      <c r="H314" s="10">
        <f t="shared" si="107"/>
        <v>0</v>
      </c>
      <c r="I314" s="38"/>
      <c r="J314" s="19" cm="1">
        <f t="array" ref="J314">IFERROR(IF(_xlfn.XLOOKUP(L314,NC導入施設!B:B,NC導入施設!E:E)=0,_xlfn.IFS(H314&lt;=5,0,H314&lt;=10,1,H314&lt;=15,2,H314&gt;=16,3),"Null"),"-")</f>
        <v>0</v>
      </c>
      <c r="K314" s="61"/>
      <c r="L314" s="1">
        <v>2313241100</v>
      </c>
    </row>
    <row r="315" spans="1:12" ht="18" customHeight="1" x14ac:dyDescent="0.45">
      <c r="A315" s="8">
        <v>309</v>
      </c>
      <c r="B315" s="35" t="str">
        <f t="shared" si="127"/>
        <v>東京本部</v>
      </c>
      <c r="C315" s="35" t="str">
        <f t="shared" si="127"/>
        <v>そんぽの家　福生公園</v>
      </c>
      <c r="D315" s="9" t="s">
        <v>6</v>
      </c>
      <c r="E315" s="10">
        <v>3</v>
      </c>
      <c r="F315" s="12">
        <v>2</v>
      </c>
      <c r="G315" s="12">
        <v>0.7</v>
      </c>
      <c r="H315" s="10">
        <f t="shared" si="107"/>
        <v>2</v>
      </c>
      <c r="I315" s="38"/>
      <c r="J315" s="19" cm="1">
        <f t="array" ref="J315">IFERROR(IF(_xlfn.XLOOKUP(L315,NC導入施設!B:B,NC導入施設!E:E)=0,_xlfn.IFS(H315&lt;=5,0,H315&lt;=10,1,H315&lt;=15,2,H315&gt;=16,3),"Null"),"-")</f>
        <v>0</v>
      </c>
      <c r="K315" s="61"/>
      <c r="L315" s="1">
        <v>2313241100</v>
      </c>
    </row>
    <row r="316" spans="1:12" ht="18" customHeight="1" x14ac:dyDescent="0.45">
      <c r="A316" s="8">
        <v>310</v>
      </c>
      <c r="B316" s="36" t="str">
        <f t="shared" si="127"/>
        <v>東京本部</v>
      </c>
      <c r="C316" s="36" t="str">
        <f t="shared" si="127"/>
        <v>そんぽの家　福生公園</v>
      </c>
      <c r="D316" s="9" t="s">
        <v>2</v>
      </c>
      <c r="E316" s="10">
        <v>1</v>
      </c>
      <c r="F316" s="12">
        <v>0</v>
      </c>
      <c r="G316" s="12">
        <v>0</v>
      </c>
      <c r="H316" s="10">
        <f t="shared" si="107"/>
        <v>0</v>
      </c>
      <c r="I316" s="39"/>
      <c r="J316" s="19" cm="1">
        <f t="array" ref="J316">IFERROR(IF(_xlfn.XLOOKUP(L316,NC導入施設!B:B,NC導入施設!E:E)=0,_xlfn.IFS(H316&lt;=5,0,H316&lt;=10,1,H316&lt;=15,2,H316&gt;=16,3),"Null"),"-")</f>
        <v>0</v>
      </c>
      <c r="K316" s="62"/>
      <c r="L316" s="1">
        <v>2313241100</v>
      </c>
    </row>
    <row r="317" spans="1:12" ht="18" customHeight="1" x14ac:dyDescent="0.45">
      <c r="A317" s="13">
        <v>311</v>
      </c>
      <c r="B317" s="40" t="s">
        <v>8</v>
      </c>
      <c r="C317" s="40" t="s">
        <v>218</v>
      </c>
      <c r="D317" s="14" t="s">
        <v>3</v>
      </c>
      <c r="E317" s="15">
        <v>1</v>
      </c>
      <c r="F317" s="17">
        <v>5</v>
      </c>
      <c r="G317" s="17">
        <v>5</v>
      </c>
      <c r="H317" s="15">
        <f t="shared" si="107"/>
        <v>5</v>
      </c>
      <c r="I317" s="43" cm="1">
        <f t="array" ref="I317">IF(J317="-","-",_xlfn.IFS(K317&lt;=5,0,K317&lt;=10,1,K317&lt;=15,2,K317&gt;=16,3))</f>
        <v>3</v>
      </c>
      <c r="J317" s="19" cm="1">
        <f t="array" ref="J317">IFERROR(IF(_xlfn.XLOOKUP(L317,NC導入施設!B:B,NC導入施設!E:E)=0,_xlfn.IFS(H317&lt;=5,0,H317&lt;=10,1,H317&lt;=15,2,H317&gt;=16,3),"Null"),"-")</f>
        <v>0</v>
      </c>
      <c r="K317" s="60">
        <f t="shared" ref="K317" si="128">IFERROR(SUM(H317:H321),"-")</f>
        <v>21</v>
      </c>
      <c r="L317" s="1">
        <v>2313251100</v>
      </c>
    </row>
    <row r="318" spans="1:12" ht="18" customHeight="1" x14ac:dyDescent="0.45">
      <c r="A318" s="13">
        <v>312</v>
      </c>
      <c r="B318" s="41" t="str">
        <f t="shared" ref="B318:C321" si="129">B317</f>
        <v>東京本部</v>
      </c>
      <c r="C318" s="41" t="str">
        <f t="shared" si="129"/>
        <v>ラヴィーレ東大和</v>
      </c>
      <c r="D318" s="14" t="s">
        <v>4</v>
      </c>
      <c r="E318" s="15">
        <v>1</v>
      </c>
      <c r="F318" s="17">
        <v>15</v>
      </c>
      <c r="G318" s="17">
        <v>15</v>
      </c>
      <c r="H318" s="15">
        <f t="shared" si="107"/>
        <v>15</v>
      </c>
      <c r="I318" s="44"/>
      <c r="J318" s="19" cm="1">
        <f t="array" ref="J318">IFERROR(IF(_xlfn.XLOOKUP(L318,NC導入施設!B:B,NC導入施設!E:E)=0,_xlfn.IFS(H318&lt;=5,0,H318&lt;=10,1,H318&lt;=15,2,H318&gt;=16,3),"Null"),"-")</f>
        <v>2</v>
      </c>
      <c r="K318" s="61"/>
      <c r="L318" s="1">
        <v>2313251100</v>
      </c>
    </row>
    <row r="319" spans="1:12" ht="18" customHeight="1" x14ac:dyDescent="0.45">
      <c r="A319" s="13">
        <v>313</v>
      </c>
      <c r="B319" s="41" t="str">
        <f t="shared" si="129"/>
        <v>東京本部</v>
      </c>
      <c r="C319" s="41" t="str">
        <f t="shared" si="129"/>
        <v>ラヴィーレ東大和</v>
      </c>
      <c r="D319" s="14" t="s">
        <v>5</v>
      </c>
      <c r="E319" s="15">
        <v>2</v>
      </c>
      <c r="F319" s="17">
        <v>0</v>
      </c>
      <c r="G319" s="17">
        <v>0</v>
      </c>
      <c r="H319" s="15">
        <f t="shared" si="107"/>
        <v>0</v>
      </c>
      <c r="I319" s="44"/>
      <c r="J319" s="19" cm="1">
        <f t="array" ref="J319">IFERROR(IF(_xlfn.XLOOKUP(L319,NC導入施設!B:B,NC導入施設!E:E)=0,_xlfn.IFS(H319&lt;=5,0,H319&lt;=10,1,H319&lt;=15,2,H319&gt;=16,3),"Null"),"-")</f>
        <v>0</v>
      </c>
      <c r="K319" s="61"/>
      <c r="L319" s="1">
        <v>2313251100</v>
      </c>
    </row>
    <row r="320" spans="1:12" ht="18" customHeight="1" x14ac:dyDescent="0.45">
      <c r="A320" s="13">
        <v>314</v>
      </c>
      <c r="B320" s="41" t="str">
        <f t="shared" si="129"/>
        <v>東京本部</v>
      </c>
      <c r="C320" s="41" t="str">
        <f t="shared" si="129"/>
        <v>ラヴィーレ東大和</v>
      </c>
      <c r="D320" s="14" t="s">
        <v>6</v>
      </c>
      <c r="E320" s="15">
        <v>4</v>
      </c>
      <c r="F320" s="17">
        <v>0</v>
      </c>
      <c r="G320" s="17">
        <v>0</v>
      </c>
      <c r="H320" s="15">
        <f t="shared" si="107"/>
        <v>0</v>
      </c>
      <c r="I320" s="44"/>
      <c r="J320" s="19" cm="1">
        <f t="array" ref="J320">IFERROR(IF(_xlfn.XLOOKUP(L320,NC導入施設!B:B,NC導入施設!E:E)=0,_xlfn.IFS(H320&lt;=5,0,H320&lt;=10,1,H320&lt;=15,2,H320&gt;=16,3),"Null"),"-")</f>
        <v>0</v>
      </c>
      <c r="K320" s="61"/>
      <c r="L320" s="1">
        <v>2313251100</v>
      </c>
    </row>
    <row r="321" spans="1:12" ht="18" customHeight="1" x14ac:dyDescent="0.45">
      <c r="A321" s="13">
        <v>315</v>
      </c>
      <c r="B321" s="42" t="str">
        <f t="shared" si="129"/>
        <v>東京本部</v>
      </c>
      <c r="C321" s="42" t="str">
        <f t="shared" si="129"/>
        <v>ラヴィーレ東大和</v>
      </c>
      <c r="D321" s="14" t="s">
        <v>2</v>
      </c>
      <c r="E321" s="15">
        <v>2</v>
      </c>
      <c r="F321" s="17">
        <v>1</v>
      </c>
      <c r="G321" s="17">
        <v>0.5</v>
      </c>
      <c r="H321" s="15">
        <f t="shared" si="107"/>
        <v>1</v>
      </c>
      <c r="I321" s="45"/>
      <c r="J321" s="19" cm="1">
        <f t="array" ref="J321">IFERROR(IF(_xlfn.XLOOKUP(L321,NC導入施設!B:B,NC導入施設!E:E)=0,_xlfn.IFS(H321&lt;=5,0,H321&lt;=10,1,H321&lt;=15,2,H321&gt;=16,3),"Null"),"-")</f>
        <v>0</v>
      </c>
      <c r="K321" s="62"/>
      <c r="L321" s="1">
        <v>2313251100</v>
      </c>
    </row>
    <row r="322" spans="1:12" ht="18" customHeight="1" x14ac:dyDescent="0.45">
      <c r="A322" s="8">
        <v>316</v>
      </c>
      <c r="B322" s="34" t="s">
        <v>8</v>
      </c>
      <c r="C322" s="34" t="s">
        <v>42</v>
      </c>
      <c r="D322" s="9" t="s">
        <v>3</v>
      </c>
      <c r="E322" s="10">
        <v>1</v>
      </c>
      <c r="F322" s="12">
        <v>0</v>
      </c>
      <c r="G322" s="12">
        <v>0</v>
      </c>
      <c r="H322" s="10">
        <f t="shared" si="107"/>
        <v>0</v>
      </c>
      <c r="I322" s="37" cm="1">
        <f t="array" ref="I322">IF(J322="-","-",_xlfn.IFS(K322&lt;=5,0,K322&lt;=10,1,K322&lt;=15,2,K322&gt;=16,3))</f>
        <v>3</v>
      </c>
      <c r="J322" s="19" cm="1">
        <f t="array" ref="J322">IFERROR(IF(_xlfn.XLOOKUP(L322,NC導入施設!B:B,NC導入施設!E:E)=0,_xlfn.IFS(H322&lt;=5,0,H322&lt;=10,1,H322&lt;=15,2,H322&gt;=16,3),"Null"),"-")</f>
        <v>0</v>
      </c>
      <c r="K322" s="60">
        <f t="shared" ref="K322" si="130">IFERROR(SUM(H322:H326),"-")</f>
        <v>17</v>
      </c>
      <c r="L322" s="1">
        <v>2313261100</v>
      </c>
    </row>
    <row r="323" spans="1:12" ht="18" customHeight="1" x14ac:dyDescent="0.45">
      <c r="A323" s="8">
        <v>317</v>
      </c>
      <c r="B323" s="35" t="str">
        <f t="shared" ref="B323:C326" si="131">B322</f>
        <v>東京本部</v>
      </c>
      <c r="C323" s="35" t="str">
        <f t="shared" si="131"/>
        <v>そんぽの家　上北台</v>
      </c>
      <c r="D323" s="9" t="s">
        <v>4</v>
      </c>
      <c r="E323" s="10">
        <v>1</v>
      </c>
      <c r="F323" s="12">
        <v>13</v>
      </c>
      <c r="G323" s="12">
        <v>13</v>
      </c>
      <c r="H323" s="10">
        <f t="shared" si="107"/>
        <v>13</v>
      </c>
      <c r="I323" s="38"/>
      <c r="J323" s="19" cm="1">
        <f t="array" ref="J323">IFERROR(IF(_xlfn.XLOOKUP(L323,NC導入施設!B:B,NC導入施設!E:E)=0,_xlfn.IFS(H323&lt;=5,0,H323&lt;=10,1,H323&lt;=15,2,H323&gt;=16,3),"Null"),"-")</f>
        <v>2</v>
      </c>
      <c r="K323" s="61"/>
      <c r="L323" s="1">
        <v>2313261100</v>
      </c>
    </row>
    <row r="324" spans="1:12" ht="18" customHeight="1" x14ac:dyDescent="0.45">
      <c r="A324" s="8">
        <v>318</v>
      </c>
      <c r="B324" s="35" t="str">
        <f t="shared" si="131"/>
        <v>東京本部</v>
      </c>
      <c r="C324" s="35" t="str">
        <f t="shared" si="131"/>
        <v>そんぽの家　上北台</v>
      </c>
      <c r="D324" s="9" t="s">
        <v>5</v>
      </c>
      <c r="E324" s="10">
        <v>1</v>
      </c>
      <c r="F324" s="12">
        <v>1</v>
      </c>
      <c r="G324" s="12">
        <v>1</v>
      </c>
      <c r="H324" s="10">
        <f t="shared" si="107"/>
        <v>1</v>
      </c>
      <c r="I324" s="38"/>
      <c r="J324" s="19" cm="1">
        <f t="array" ref="J324">IFERROR(IF(_xlfn.XLOOKUP(L324,NC導入施設!B:B,NC導入施設!E:E)=0,_xlfn.IFS(H324&lt;=5,0,H324&lt;=10,1,H324&lt;=15,2,H324&gt;=16,3),"Null"),"-")</f>
        <v>0</v>
      </c>
      <c r="K324" s="61"/>
      <c r="L324" s="1">
        <v>2313261100</v>
      </c>
    </row>
    <row r="325" spans="1:12" ht="18" customHeight="1" x14ac:dyDescent="0.45">
      <c r="A325" s="8">
        <v>319</v>
      </c>
      <c r="B325" s="35" t="str">
        <f t="shared" si="131"/>
        <v>東京本部</v>
      </c>
      <c r="C325" s="35" t="str">
        <f t="shared" si="131"/>
        <v>そんぽの家　上北台</v>
      </c>
      <c r="D325" s="9" t="s">
        <v>6</v>
      </c>
      <c r="E325" s="10">
        <v>4</v>
      </c>
      <c r="F325" s="12">
        <v>0</v>
      </c>
      <c r="G325" s="12">
        <v>0</v>
      </c>
      <c r="H325" s="10">
        <f t="shared" si="107"/>
        <v>0</v>
      </c>
      <c r="I325" s="38"/>
      <c r="J325" s="19" cm="1">
        <f t="array" ref="J325">IFERROR(IF(_xlfn.XLOOKUP(L325,NC導入施設!B:B,NC導入施設!E:E)=0,_xlfn.IFS(H325&lt;=5,0,H325&lt;=10,1,H325&lt;=15,2,H325&gt;=16,3),"Null"),"-")</f>
        <v>0</v>
      </c>
      <c r="K325" s="61"/>
      <c r="L325" s="1">
        <v>2313261100</v>
      </c>
    </row>
    <row r="326" spans="1:12" ht="18" customHeight="1" x14ac:dyDescent="0.45">
      <c r="A326" s="8">
        <v>320</v>
      </c>
      <c r="B326" s="36" t="str">
        <f t="shared" si="131"/>
        <v>東京本部</v>
      </c>
      <c r="C326" s="36" t="str">
        <f t="shared" si="131"/>
        <v>そんぽの家　上北台</v>
      </c>
      <c r="D326" s="9" t="s">
        <v>2</v>
      </c>
      <c r="E326" s="10">
        <v>2</v>
      </c>
      <c r="F326" s="12">
        <v>3</v>
      </c>
      <c r="G326" s="12">
        <v>1.5</v>
      </c>
      <c r="H326" s="10">
        <f t="shared" si="107"/>
        <v>3</v>
      </c>
      <c r="I326" s="39"/>
      <c r="J326" s="19" cm="1">
        <f t="array" ref="J326">IFERROR(IF(_xlfn.XLOOKUP(L326,NC導入施設!B:B,NC導入施設!E:E)=0,_xlfn.IFS(H326&lt;=5,0,H326&lt;=10,1,H326&lt;=15,2,H326&gt;=16,3),"Null"),"-")</f>
        <v>0</v>
      </c>
      <c r="K326" s="62"/>
      <c r="L326" s="1">
        <v>2313261100</v>
      </c>
    </row>
    <row r="327" spans="1:12" ht="18" customHeight="1" x14ac:dyDescent="0.45">
      <c r="A327" s="13">
        <v>321</v>
      </c>
      <c r="B327" s="40" t="s">
        <v>8</v>
      </c>
      <c r="C327" s="40" t="s">
        <v>43</v>
      </c>
      <c r="D327" s="14" t="s">
        <v>3</v>
      </c>
      <c r="E327" s="15">
        <v>1</v>
      </c>
      <c r="F327" s="17">
        <v>9</v>
      </c>
      <c r="G327" s="17">
        <v>9</v>
      </c>
      <c r="H327" s="15">
        <f t="shared" si="107"/>
        <v>9</v>
      </c>
      <c r="I327" s="43" cm="1">
        <f t="array" ref="I327">IF(J327="-","-",_xlfn.IFS(K327&lt;=5,0,K327&lt;=10,1,K327&lt;=15,2,K327&gt;=16,3))</f>
        <v>3</v>
      </c>
      <c r="J327" s="19" cm="1">
        <f t="array" ref="J327">IFERROR(IF(_xlfn.XLOOKUP(L327,NC導入施設!B:B,NC導入施設!E:E)=0,_xlfn.IFS(H327&lt;=5,0,H327&lt;=10,1,H327&lt;=15,2,H327&gt;=16,3),"Null"),"-")</f>
        <v>1</v>
      </c>
      <c r="K327" s="60">
        <f t="shared" ref="K327" si="132">IFERROR(SUM(H327:H331),"-")</f>
        <v>18</v>
      </c>
      <c r="L327" s="1">
        <v>2313271100</v>
      </c>
    </row>
    <row r="328" spans="1:12" ht="18" customHeight="1" x14ac:dyDescent="0.45">
      <c r="A328" s="13">
        <v>322</v>
      </c>
      <c r="B328" s="41" t="str">
        <f t="shared" ref="B328:C331" si="133">B327</f>
        <v>東京本部</v>
      </c>
      <c r="C328" s="41" t="str">
        <f t="shared" si="133"/>
        <v>そんぽの家　武蔵村山</v>
      </c>
      <c r="D328" s="14" t="s">
        <v>4</v>
      </c>
      <c r="E328" s="15">
        <v>1</v>
      </c>
      <c r="F328" s="17">
        <v>0</v>
      </c>
      <c r="G328" s="17">
        <v>0</v>
      </c>
      <c r="H328" s="15">
        <f t="shared" ref="H328:H391" si="134">F328</f>
        <v>0</v>
      </c>
      <c r="I328" s="44"/>
      <c r="J328" s="19" cm="1">
        <f t="array" ref="J328">IFERROR(IF(_xlfn.XLOOKUP(L328,NC導入施設!B:B,NC導入施設!E:E)=0,_xlfn.IFS(H328&lt;=5,0,H328&lt;=10,1,H328&lt;=15,2,H328&gt;=16,3),"Null"),"-")</f>
        <v>0</v>
      </c>
      <c r="K328" s="61"/>
      <c r="L328" s="1">
        <v>2313271100</v>
      </c>
    </row>
    <row r="329" spans="1:12" ht="18" customHeight="1" x14ac:dyDescent="0.45">
      <c r="A329" s="13">
        <v>323</v>
      </c>
      <c r="B329" s="41" t="str">
        <f t="shared" si="133"/>
        <v>東京本部</v>
      </c>
      <c r="C329" s="41" t="str">
        <f t="shared" si="133"/>
        <v>そんぽの家　武蔵村山</v>
      </c>
      <c r="D329" s="14" t="s">
        <v>5</v>
      </c>
      <c r="E329" s="15">
        <v>1</v>
      </c>
      <c r="F329" s="17">
        <v>1</v>
      </c>
      <c r="G329" s="17">
        <v>1</v>
      </c>
      <c r="H329" s="15">
        <f t="shared" si="134"/>
        <v>1</v>
      </c>
      <c r="I329" s="44"/>
      <c r="J329" s="19" cm="1">
        <f t="array" ref="J329">IFERROR(IF(_xlfn.XLOOKUP(L329,NC導入施設!B:B,NC導入施設!E:E)=0,_xlfn.IFS(H329&lt;=5,0,H329&lt;=10,1,H329&lt;=15,2,H329&gt;=16,3),"Null"),"-")</f>
        <v>0</v>
      </c>
      <c r="K329" s="61"/>
      <c r="L329" s="1">
        <v>2313271100</v>
      </c>
    </row>
    <row r="330" spans="1:12" ht="18" customHeight="1" x14ac:dyDescent="0.45">
      <c r="A330" s="13">
        <v>324</v>
      </c>
      <c r="B330" s="41" t="str">
        <f t="shared" si="133"/>
        <v>東京本部</v>
      </c>
      <c r="C330" s="41" t="str">
        <f t="shared" si="133"/>
        <v>そんぽの家　武蔵村山</v>
      </c>
      <c r="D330" s="14" t="s">
        <v>6</v>
      </c>
      <c r="E330" s="15">
        <v>3</v>
      </c>
      <c r="F330" s="17">
        <v>2</v>
      </c>
      <c r="G330" s="17">
        <v>0.7</v>
      </c>
      <c r="H330" s="15">
        <f t="shared" si="134"/>
        <v>2</v>
      </c>
      <c r="I330" s="44"/>
      <c r="J330" s="19" cm="1">
        <f t="array" ref="J330">IFERROR(IF(_xlfn.XLOOKUP(L330,NC導入施設!B:B,NC導入施設!E:E)=0,_xlfn.IFS(H330&lt;=5,0,H330&lt;=10,1,H330&lt;=15,2,H330&gt;=16,3),"Null"),"-")</f>
        <v>0</v>
      </c>
      <c r="K330" s="61"/>
      <c r="L330" s="1">
        <v>2313271100</v>
      </c>
    </row>
    <row r="331" spans="1:12" ht="18" customHeight="1" x14ac:dyDescent="0.45">
      <c r="A331" s="13">
        <v>325</v>
      </c>
      <c r="B331" s="42" t="str">
        <f t="shared" si="133"/>
        <v>東京本部</v>
      </c>
      <c r="C331" s="42" t="str">
        <f t="shared" si="133"/>
        <v>そんぽの家　武蔵村山</v>
      </c>
      <c r="D331" s="14" t="s">
        <v>2</v>
      </c>
      <c r="E331" s="15">
        <v>2</v>
      </c>
      <c r="F331" s="17">
        <v>6</v>
      </c>
      <c r="G331" s="17">
        <v>3</v>
      </c>
      <c r="H331" s="15">
        <f t="shared" si="134"/>
        <v>6</v>
      </c>
      <c r="I331" s="45"/>
      <c r="J331" s="19" cm="1">
        <f t="array" ref="J331">IFERROR(IF(_xlfn.XLOOKUP(L331,NC導入施設!B:B,NC導入施設!E:E)=0,_xlfn.IFS(H331&lt;=5,0,H331&lt;=10,1,H331&lt;=15,2,H331&gt;=16,3),"Null"),"-")</f>
        <v>1</v>
      </c>
      <c r="K331" s="62"/>
      <c r="L331" s="1">
        <v>2313271100</v>
      </c>
    </row>
    <row r="332" spans="1:12" ht="18" customHeight="1" x14ac:dyDescent="0.45">
      <c r="A332" s="8">
        <v>326</v>
      </c>
      <c r="B332" s="34" t="s">
        <v>8</v>
      </c>
      <c r="C332" s="34" t="s">
        <v>44</v>
      </c>
      <c r="D332" s="9" t="s">
        <v>3</v>
      </c>
      <c r="E332" s="10">
        <v>1</v>
      </c>
      <c r="F332" s="12">
        <v>10</v>
      </c>
      <c r="G332" s="12">
        <v>10</v>
      </c>
      <c r="H332" s="10">
        <f t="shared" si="134"/>
        <v>10</v>
      </c>
      <c r="I332" s="37" cm="1">
        <f t="array" ref="I332">IF(J332="-","-",_xlfn.IFS(K332&lt;=5,0,K332&lt;=10,1,K332&lt;=15,2,K332&gt;=16,3))</f>
        <v>3</v>
      </c>
      <c r="J332" s="19" cm="1">
        <f t="array" ref="J332">IFERROR(IF(_xlfn.XLOOKUP(L332,NC導入施設!B:B,NC導入施設!E:E)=0,_xlfn.IFS(H332&lt;=5,0,H332&lt;=10,1,H332&lt;=15,2,H332&gt;=16,3),"Null"),"-")</f>
        <v>1</v>
      </c>
      <c r="K332" s="60">
        <f t="shared" ref="K332" si="135">IFERROR(SUM(H332:H336),"-")</f>
        <v>32</v>
      </c>
      <c r="L332" s="1">
        <v>2313281100</v>
      </c>
    </row>
    <row r="333" spans="1:12" ht="18" customHeight="1" x14ac:dyDescent="0.45">
      <c r="A333" s="8">
        <v>327</v>
      </c>
      <c r="B333" s="35" t="str">
        <f t="shared" ref="B333:C336" si="136">B332</f>
        <v>東京本部</v>
      </c>
      <c r="C333" s="35" t="str">
        <f t="shared" si="136"/>
        <v>そんぽの家　八王子小宮</v>
      </c>
      <c r="D333" s="9" t="s">
        <v>4</v>
      </c>
      <c r="E333" s="10">
        <v>1</v>
      </c>
      <c r="F333" s="12">
        <v>0</v>
      </c>
      <c r="G333" s="12">
        <v>0</v>
      </c>
      <c r="H333" s="10">
        <f t="shared" si="134"/>
        <v>0</v>
      </c>
      <c r="I333" s="38"/>
      <c r="J333" s="19" cm="1">
        <f t="array" ref="J333">IFERROR(IF(_xlfn.XLOOKUP(L333,NC導入施設!B:B,NC導入施設!E:E)=0,_xlfn.IFS(H333&lt;=5,0,H333&lt;=10,1,H333&lt;=15,2,H333&gt;=16,3),"Null"),"-")</f>
        <v>0</v>
      </c>
      <c r="K333" s="61"/>
      <c r="L333" s="1">
        <v>2313281100</v>
      </c>
    </row>
    <row r="334" spans="1:12" ht="18" customHeight="1" x14ac:dyDescent="0.45">
      <c r="A334" s="8">
        <v>328</v>
      </c>
      <c r="B334" s="35" t="str">
        <f t="shared" si="136"/>
        <v>東京本部</v>
      </c>
      <c r="C334" s="35" t="str">
        <f t="shared" si="136"/>
        <v>そんぽの家　八王子小宮</v>
      </c>
      <c r="D334" s="9" t="s">
        <v>5</v>
      </c>
      <c r="E334" s="10">
        <v>1</v>
      </c>
      <c r="F334" s="12">
        <v>20</v>
      </c>
      <c r="G334" s="12">
        <v>20</v>
      </c>
      <c r="H334" s="10">
        <f t="shared" si="134"/>
        <v>20</v>
      </c>
      <c r="I334" s="38"/>
      <c r="J334" s="19" cm="1">
        <f t="array" ref="J334">IFERROR(IF(_xlfn.XLOOKUP(L334,NC導入施設!B:B,NC導入施設!E:E)=0,_xlfn.IFS(H334&lt;=5,0,H334&lt;=10,1,H334&lt;=15,2,H334&gt;=16,3),"Null"),"-")</f>
        <v>3</v>
      </c>
      <c r="K334" s="61"/>
      <c r="L334" s="1">
        <v>2313281100</v>
      </c>
    </row>
    <row r="335" spans="1:12" ht="18" customHeight="1" x14ac:dyDescent="0.45">
      <c r="A335" s="8">
        <v>329</v>
      </c>
      <c r="B335" s="35" t="str">
        <f t="shared" si="136"/>
        <v>東京本部</v>
      </c>
      <c r="C335" s="35" t="str">
        <f t="shared" si="136"/>
        <v>そんぽの家　八王子小宮</v>
      </c>
      <c r="D335" s="9" t="s">
        <v>6</v>
      </c>
      <c r="E335" s="10">
        <v>3</v>
      </c>
      <c r="F335" s="12">
        <v>2</v>
      </c>
      <c r="G335" s="12">
        <v>0.7</v>
      </c>
      <c r="H335" s="10">
        <f t="shared" si="134"/>
        <v>2</v>
      </c>
      <c r="I335" s="38"/>
      <c r="J335" s="19" cm="1">
        <f t="array" ref="J335">IFERROR(IF(_xlfn.XLOOKUP(L335,NC導入施設!B:B,NC導入施設!E:E)=0,_xlfn.IFS(H335&lt;=5,0,H335&lt;=10,1,H335&lt;=15,2,H335&gt;=16,3),"Null"),"-")</f>
        <v>0</v>
      </c>
      <c r="K335" s="61"/>
      <c r="L335" s="1">
        <v>2313281100</v>
      </c>
    </row>
    <row r="336" spans="1:12" ht="18" customHeight="1" x14ac:dyDescent="0.45">
      <c r="A336" s="8">
        <v>330</v>
      </c>
      <c r="B336" s="36" t="str">
        <f t="shared" si="136"/>
        <v>東京本部</v>
      </c>
      <c r="C336" s="36" t="str">
        <f t="shared" si="136"/>
        <v>そんぽの家　八王子小宮</v>
      </c>
      <c r="D336" s="9" t="s">
        <v>2</v>
      </c>
      <c r="E336" s="10">
        <v>1</v>
      </c>
      <c r="F336" s="12">
        <v>0</v>
      </c>
      <c r="G336" s="12">
        <v>0</v>
      </c>
      <c r="H336" s="10">
        <f t="shared" si="134"/>
        <v>0</v>
      </c>
      <c r="I336" s="39"/>
      <c r="J336" s="19" cm="1">
        <f t="array" ref="J336">IFERROR(IF(_xlfn.XLOOKUP(L336,NC導入施設!B:B,NC導入施設!E:E)=0,_xlfn.IFS(H336&lt;=5,0,H336&lt;=10,1,H336&lt;=15,2,H336&gt;=16,3),"Null"),"-")</f>
        <v>0</v>
      </c>
      <c r="K336" s="62"/>
      <c r="L336" s="1">
        <v>2313281100</v>
      </c>
    </row>
    <row r="337" spans="1:12" ht="18" customHeight="1" x14ac:dyDescent="0.45">
      <c r="A337" s="13">
        <v>331</v>
      </c>
      <c r="B337" s="40" t="s">
        <v>8</v>
      </c>
      <c r="C337" s="40" t="s">
        <v>45</v>
      </c>
      <c r="D337" s="14" t="s">
        <v>3</v>
      </c>
      <c r="E337" s="15">
        <v>1</v>
      </c>
      <c r="F337" s="17">
        <v>2</v>
      </c>
      <c r="G337" s="17">
        <v>2</v>
      </c>
      <c r="H337" s="15">
        <f t="shared" si="134"/>
        <v>2</v>
      </c>
      <c r="I337" s="43" cm="1">
        <f t="array" ref="I337">IF(J337="-","-",_xlfn.IFS(K337&lt;=5,0,K337&lt;=10,1,K337&lt;=15,2,K337&gt;=16,3))</f>
        <v>3</v>
      </c>
      <c r="J337" s="19" cm="1">
        <f t="array" ref="J337">IFERROR(IF(_xlfn.XLOOKUP(L337,NC導入施設!B:B,NC導入施設!E:E)=0,_xlfn.IFS(H337&lt;=5,0,H337&lt;=10,1,H337&lt;=15,2,H337&gt;=16,3),"Null"),"-")</f>
        <v>0</v>
      </c>
      <c r="K337" s="60">
        <f t="shared" ref="K337" si="137">IFERROR(SUM(H337:H341),"-")</f>
        <v>34</v>
      </c>
      <c r="L337" s="1">
        <v>2313291100</v>
      </c>
    </row>
    <row r="338" spans="1:12" ht="18" customHeight="1" x14ac:dyDescent="0.45">
      <c r="A338" s="13">
        <v>332</v>
      </c>
      <c r="B338" s="41" t="str">
        <f t="shared" ref="B338:C341" si="138">B337</f>
        <v>東京本部</v>
      </c>
      <c r="C338" s="41" t="str">
        <f t="shared" si="138"/>
        <v>そんぽの家　八王子元本郷</v>
      </c>
      <c r="D338" s="14" t="s">
        <v>4</v>
      </c>
      <c r="E338" s="15">
        <v>1</v>
      </c>
      <c r="F338" s="17">
        <v>20</v>
      </c>
      <c r="G338" s="17">
        <v>20</v>
      </c>
      <c r="H338" s="15">
        <f t="shared" si="134"/>
        <v>20</v>
      </c>
      <c r="I338" s="44"/>
      <c r="J338" s="19" cm="1">
        <f t="array" ref="J338">IFERROR(IF(_xlfn.XLOOKUP(L338,NC導入施設!B:B,NC導入施設!E:E)=0,_xlfn.IFS(H338&lt;=5,0,H338&lt;=10,1,H338&lt;=15,2,H338&gt;=16,3),"Null"),"-")</f>
        <v>3</v>
      </c>
      <c r="K338" s="61"/>
      <c r="L338" s="1">
        <v>2313291100</v>
      </c>
    </row>
    <row r="339" spans="1:12" ht="18" customHeight="1" x14ac:dyDescent="0.45">
      <c r="A339" s="13">
        <v>333</v>
      </c>
      <c r="B339" s="41" t="str">
        <f t="shared" si="138"/>
        <v>東京本部</v>
      </c>
      <c r="C339" s="41" t="str">
        <f t="shared" si="138"/>
        <v>そんぽの家　八王子元本郷</v>
      </c>
      <c r="D339" s="14" t="s">
        <v>5</v>
      </c>
      <c r="E339" s="15">
        <v>2</v>
      </c>
      <c r="F339" s="17">
        <v>2</v>
      </c>
      <c r="G339" s="17">
        <v>1</v>
      </c>
      <c r="H339" s="15">
        <f t="shared" si="134"/>
        <v>2</v>
      </c>
      <c r="I339" s="44"/>
      <c r="J339" s="19" cm="1">
        <f t="array" ref="J339">IFERROR(IF(_xlfn.XLOOKUP(L339,NC導入施設!B:B,NC導入施設!E:E)=0,_xlfn.IFS(H339&lt;=5,0,H339&lt;=10,1,H339&lt;=15,2,H339&gt;=16,3),"Null"),"-")</f>
        <v>0</v>
      </c>
      <c r="K339" s="61"/>
      <c r="L339" s="1">
        <v>2313291100</v>
      </c>
    </row>
    <row r="340" spans="1:12" ht="18" customHeight="1" x14ac:dyDescent="0.45">
      <c r="A340" s="13">
        <v>334</v>
      </c>
      <c r="B340" s="41" t="str">
        <f t="shared" si="138"/>
        <v>東京本部</v>
      </c>
      <c r="C340" s="41" t="str">
        <f t="shared" si="138"/>
        <v>そんぽの家　八王子元本郷</v>
      </c>
      <c r="D340" s="14" t="s">
        <v>6</v>
      </c>
      <c r="E340" s="15">
        <v>4</v>
      </c>
      <c r="F340" s="17">
        <v>0</v>
      </c>
      <c r="G340" s="17">
        <v>0</v>
      </c>
      <c r="H340" s="15">
        <f t="shared" si="134"/>
        <v>0</v>
      </c>
      <c r="I340" s="44"/>
      <c r="J340" s="19" cm="1">
        <f t="array" ref="J340">IFERROR(IF(_xlfn.XLOOKUP(L340,NC導入施設!B:B,NC導入施設!E:E)=0,_xlfn.IFS(H340&lt;=5,0,H340&lt;=10,1,H340&lt;=15,2,H340&gt;=16,3),"Null"),"-")</f>
        <v>0</v>
      </c>
      <c r="K340" s="61"/>
      <c r="L340" s="1">
        <v>2313291100</v>
      </c>
    </row>
    <row r="341" spans="1:12" ht="18" customHeight="1" x14ac:dyDescent="0.45">
      <c r="A341" s="13">
        <v>335</v>
      </c>
      <c r="B341" s="42" t="str">
        <f t="shared" si="138"/>
        <v>東京本部</v>
      </c>
      <c r="C341" s="42" t="str">
        <f t="shared" si="138"/>
        <v>そんぽの家　八王子元本郷</v>
      </c>
      <c r="D341" s="14" t="s">
        <v>2</v>
      </c>
      <c r="E341" s="15">
        <v>2</v>
      </c>
      <c r="F341" s="17">
        <v>10</v>
      </c>
      <c r="G341" s="17">
        <v>5</v>
      </c>
      <c r="H341" s="15">
        <f t="shared" si="134"/>
        <v>10</v>
      </c>
      <c r="I341" s="45"/>
      <c r="J341" s="19" cm="1">
        <f t="array" ref="J341">IFERROR(IF(_xlfn.XLOOKUP(L341,NC導入施設!B:B,NC導入施設!E:E)=0,_xlfn.IFS(H341&lt;=5,0,H341&lt;=10,1,H341&lt;=15,2,H341&gt;=16,3),"Null"),"-")</f>
        <v>1</v>
      </c>
      <c r="K341" s="62"/>
      <c r="L341" s="1">
        <v>2313291100</v>
      </c>
    </row>
    <row r="342" spans="1:12" ht="18" customHeight="1" x14ac:dyDescent="0.45">
      <c r="A342" s="8">
        <v>336</v>
      </c>
      <c r="B342" s="34" t="s">
        <v>8</v>
      </c>
      <c r="C342" s="34" t="s">
        <v>46</v>
      </c>
      <c r="D342" s="9" t="s">
        <v>3</v>
      </c>
      <c r="E342" s="10">
        <v>1</v>
      </c>
      <c r="F342" s="12">
        <v>11</v>
      </c>
      <c r="G342" s="12">
        <v>11</v>
      </c>
      <c r="H342" s="10">
        <f t="shared" si="134"/>
        <v>11</v>
      </c>
      <c r="I342" s="37" cm="1">
        <f t="array" ref="I342">IF(J342="-","-",_xlfn.IFS(K342&lt;=5,0,K342&lt;=10,1,K342&lt;=15,2,K342&gt;=16,3))</f>
        <v>3</v>
      </c>
      <c r="J342" s="19" cm="1">
        <f t="array" ref="J342">IFERROR(IF(_xlfn.XLOOKUP(L342,NC導入施設!B:B,NC導入施設!E:E)=0,_xlfn.IFS(H342&lt;=5,0,H342&lt;=10,1,H342&lt;=15,2,H342&gt;=16,3),"Null"),"-")</f>
        <v>2</v>
      </c>
      <c r="K342" s="60">
        <f t="shared" ref="K342" si="139">IFERROR(SUM(H342:H346),"-")</f>
        <v>36</v>
      </c>
      <c r="L342" s="1">
        <v>2313321200</v>
      </c>
    </row>
    <row r="343" spans="1:12" ht="18" customHeight="1" x14ac:dyDescent="0.45">
      <c r="A343" s="8">
        <v>337</v>
      </c>
      <c r="B343" s="35" t="str">
        <f t="shared" ref="B343:C346" si="140">B342</f>
        <v>東京本部</v>
      </c>
      <c r="C343" s="35" t="str">
        <f t="shared" si="140"/>
        <v>そんぽの家　羽村</v>
      </c>
      <c r="D343" s="9" t="s">
        <v>4</v>
      </c>
      <c r="E343" s="10">
        <v>2</v>
      </c>
      <c r="F343" s="12">
        <v>9</v>
      </c>
      <c r="G343" s="12">
        <v>4.5</v>
      </c>
      <c r="H343" s="10">
        <f t="shared" si="134"/>
        <v>9</v>
      </c>
      <c r="I343" s="38"/>
      <c r="J343" s="19" cm="1">
        <f t="array" ref="J343">IFERROR(IF(_xlfn.XLOOKUP(L343,NC導入施設!B:B,NC導入施設!E:E)=0,_xlfn.IFS(H343&lt;=5,0,H343&lt;=10,1,H343&lt;=15,2,H343&gt;=16,3),"Null"),"-")</f>
        <v>1</v>
      </c>
      <c r="K343" s="61"/>
      <c r="L343" s="1">
        <v>2313321200</v>
      </c>
    </row>
    <row r="344" spans="1:12" ht="18" customHeight="1" x14ac:dyDescent="0.45">
      <c r="A344" s="8">
        <v>338</v>
      </c>
      <c r="B344" s="35" t="str">
        <f t="shared" si="140"/>
        <v>東京本部</v>
      </c>
      <c r="C344" s="35" t="str">
        <f t="shared" si="140"/>
        <v>そんぽの家　羽村</v>
      </c>
      <c r="D344" s="9" t="s">
        <v>5</v>
      </c>
      <c r="E344" s="10">
        <v>3</v>
      </c>
      <c r="F344" s="12">
        <v>6</v>
      </c>
      <c r="G344" s="12">
        <v>2</v>
      </c>
      <c r="H344" s="10">
        <f t="shared" si="134"/>
        <v>6</v>
      </c>
      <c r="I344" s="38"/>
      <c r="J344" s="19" cm="1">
        <f t="array" ref="J344">IFERROR(IF(_xlfn.XLOOKUP(L344,NC導入施設!B:B,NC導入施設!E:E)=0,_xlfn.IFS(H344&lt;=5,0,H344&lt;=10,1,H344&lt;=15,2,H344&gt;=16,3),"Null"),"-")</f>
        <v>1</v>
      </c>
      <c r="K344" s="61"/>
      <c r="L344" s="1">
        <v>2313321200</v>
      </c>
    </row>
    <row r="345" spans="1:12" ht="18" customHeight="1" x14ac:dyDescent="0.45">
      <c r="A345" s="8">
        <v>339</v>
      </c>
      <c r="B345" s="35" t="str">
        <f t="shared" si="140"/>
        <v>東京本部</v>
      </c>
      <c r="C345" s="35" t="str">
        <f t="shared" si="140"/>
        <v>そんぽの家　羽村</v>
      </c>
      <c r="D345" s="9" t="s">
        <v>6</v>
      </c>
      <c r="E345" s="10">
        <v>17</v>
      </c>
      <c r="F345" s="12">
        <v>3</v>
      </c>
      <c r="G345" s="12">
        <v>0.2</v>
      </c>
      <c r="H345" s="10">
        <f t="shared" si="134"/>
        <v>3</v>
      </c>
      <c r="I345" s="38"/>
      <c r="J345" s="19" cm="1">
        <f t="array" ref="J345">IFERROR(IF(_xlfn.XLOOKUP(L345,NC導入施設!B:B,NC導入施設!E:E)=0,_xlfn.IFS(H345&lt;=5,0,H345&lt;=10,1,H345&lt;=15,2,H345&gt;=16,3),"Null"),"-")</f>
        <v>0</v>
      </c>
      <c r="K345" s="61"/>
      <c r="L345" s="1">
        <v>2313321200</v>
      </c>
    </row>
    <row r="346" spans="1:12" ht="18" customHeight="1" x14ac:dyDescent="0.45">
      <c r="A346" s="8">
        <v>340</v>
      </c>
      <c r="B346" s="36" t="str">
        <f t="shared" si="140"/>
        <v>東京本部</v>
      </c>
      <c r="C346" s="36" t="str">
        <f t="shared" si="140"/>
        <v>そんぽの家　羽村</v>
      </c>
      <c r="D346" s="9" t="s">
        <v>2</v>
      </c>
      <c r="E346" s="10">
        <v>3</v>
      </c>
      <c r="F346" s="12">
        <v>7</v>
      </c>
      <c r="G346" s="12">
        <v>2.2999999999999998</v>
      </c>
      <c r="H346" s="10">
        <f t="shared" si="134"/>
        <v>7</v>
      </c>
      <c r="I346" s="39"/>
      <c r="J346" s="19" cm="1">
        <f t="array" ref="J346">IFERROR(IF(_xlfn.XLOOKUP(L346,NC導入施設!B:B,NC導入施設!E:E)=0,_xlfn.IFS(H346&lt;=5,0,H346&lt;=10,1,H346&lt;=15,2,H346&gt;=16,3),"Null"),"-")</f>
        <v>1</v>
      </c>
      <c r="K346" s="62"/>
      <c r="L346" s="1">
        <v>2313321200</v>
      </c>
    </row>
    <row r="347" spans="1:12" ht="18" customHeight="1" x14ac:dyDescent="0.45">
      <c r="A347" s="13">
        <v>341</v>
      </c>
      <c r="B347" s="40" t="s">
        <v>8</v>
      </c>
      <c r="C347" s="40" t="s">
        <v>219</v>
      </c>
      <c r="D347" s="14" t="s">
        <v>3</v>
      </c>
      <c r="E347" s="15">
        <v>1</v>
      </c>
      <c r="F347" s="17">
        <v>6</v>
      </c>
      <c r="G347" s="17">
        <v>6</v>
      </c>
      <c r="H347" s="15">
        <f t="shared" si="134"/>
        <v>6</v>
      </c>
      <c r="I347" s="43" cm="1">
        <f t="array" ref="I347">IF(J347="-","-",_xlfn.IFS(K347&lt;=5,0,K347&lt;=10,1,K347&lt;=15,2,K347&gt;=16,3))</f>
        <v>2</v>
      </c>
      <c r="J347" s="19" cm="1">
        <f t="array" ref="J347">IFERROR(IF(_xlfn.XLOOKUP(L347,NC導入施設!B:B,NC導入施設!E:E)=0,_xlfn.IFS(H347&lt;=5,0,H347&lt;=10,1,H347&lt;=15,2,H347&gt;=16,3),"Null"),"-")</f>
        <v>1</v>
      </c>
      <c r="K347" s="60">
        <f t="shared" ref="K347" si="141">IFERROR(SUM(H347:H351),"-")</f>
        <v>12</v>
      </c>
      <c r="L347" s="1">
        <v>2313331100</v>
      </c>
    </row>
    <row r="348" spans="1:12" ht="18" customHeight="1" x14ac:dyDescent="0.45">
      <c r="A348" s="13">
        <v>342</v>
      </c>
      <c r="B348" s="41" t="str">
        <f t="shared" ref="B348:C351" si="142">B347</f>
        <v>東京本部</v>
      </c>
      <c r="C348" s="41" t="str">
        <f t="shared" si="142"/>
        <v>ラヴィーレ羽村</v>
      </c>
      <c r="D348" s="14" t="s">
        <v>4</v>
      </c>
      <c r="E348" s="15">
        <v>1</v>
      </c>
      <c r="F348" s="17">
        <v>3</v>
      </c>
      <c r="G348" s="17">
        <v>3</v>
      </c>
      <c r="H348" s="15">
        <f t="shared" si="134"/>
        <v>3</v>
      </c>
      <c r="I348" s="44"/>
      <c r="J348" s="19" cm="1">
        <f t="array" ref="J348">IFERROR(IF(_xlfn.XLOOKUP(L348,NC導入施設!B:B,NC導入施設!E:E)=0,_xlfn.IFS(H348&lt;=5,0,H348&lt;=10,1,H348&lt;=15,2,H348&gt;=16,3),"Null"),"-")</f>
        <v>0</v>
      </c>
      <c r="K348" s="61"/>
      <c r="L348" s="1">
        <v>2313331100</v>
      </c>
    </row>
    <row r="349" spans="1:12" ht="18" customHeight="1" x14ac:dyDescent="0.45">
      <c r="A349" s="13">
        <v>343</v>
      </c>
      <c r="B349" s="41" t="str">
        <f t="shared" si="142"/>
        <v>東京本部</v>
      </c>
      <c r="C349" s="41" t="str">
        <f t="shared" si="142"/>
        <v>ラヴィーレ羽村</v>
      </c>
      <c r="D349" s="14" t="s">
        <v>5</v>
      </c>
      <c r="E349" s="15">
        <v>2</v>
      </c>
      <c r="F349" s="17">
        <v>3</v>
      </c>
      <c r="G349" s="17">
        <v>1.5</v>
      </c>
      <c r="H349" s="15">
        <f t="shared" si="134"/>
        <v>3</v>
      </c>
      <c r="I349" s="44"/>
      <c r="J349" s="19" cm="1">
        <f t="array" ref="J349">IFERROR(IF(_xlfn.XLOOKUP(L349,NC導入施設!B:B,NC導入施設!E:E)=0,_xlfn.IFS(H349&lt;=5,0,H349&lt;=10,1,H349&lt;=15,2,H349&gt;=16,3),"Null"),"-")</f>
        <v>0</v>
      </c>
      <c r="K349" s="61"/>
      <c r="L349" s="1">
        <v>2313331100</v>
      </c>
    </row>
    <row r="350" spans="1:12" ht="18" customHeight="1" x14ac:dyDescent="0.45">
      <c r="A350" s="13">
        <v>344</v>
      </c>
      <c r="B350" s="41" t="str">
        <f t="shared" si="142"/>
        <v>東京本部</v>
      </c>
      <c r="C350" s="41" t="str">
        <f t="shared" si="142"/>
        <v>ラヴィーレ羽村</v>
      </c>
      <c r="D350" s="14" t="s">
        <v>6</v>
      </c>
      <c r="E350" s="15">
        <v>4</v>
      </c>
      <c r="F350" s="17">
        <v>0</v>
      </c>
      <c r="G350" s="17">
        <v>0</v>
      </c>
      <c r="H350" s="15">
        <f t="shared" si="134"/>
        <v>0</v>
      </c>
      <c r="I350" s="44"/>
      <c r="J350" s="19" cm="1">
        <f t="array" ref="J350">IFERROR(IF(_xlfn.XLOOKUP(L350,NC導入施設!B:B,NC導入施設!E:E)=0,_xlfn.IFS(H350&lt;=5,0,H350&lt;=10,1,H350&lt;=15,2,H350&gt;=16,3),"Null"),"-")</f>
        <v>0</v>
      </c>
      <c r="K350" s="61"/>
      <c r="L350" s="1">
        <v>2313331100</v>
      </c>
    </row>
    <row r="351" spans="1:12" ht="18" customHeight="1" x14ac:dyDescent="0.45">
      <c r="A351" s="13">
        <v>345</v>
      </c>
      <c r="B351" s="42" t="str">
        <f t="shared" si="142"/>
        <v>東京本部</v>
      </c>
      <c r="C351" s="42" t="str">
        <f t="shared" si="142"/>
        <v>ラヴィーレ羽村</v>
      </c>
      <c r="D351" s="14" t="s">
        <v>2</v>
      </c>
      <c r="E351" s="15">
        <v>2</v>
      </c>
      <c r="F351" s="17">
        <v>0</v>
      </c>
      <c r="G351" s="17">
        <v>0</v>
      </c>
      <c r="H351" s="15">
        <f t="shared" si="134"/>
        <v>0</v>
      </c>
      <c r="I351" s="45"/>
      <c r="J351" s="19" cm="1">
        <f t="array" ref="J351">IFERROR(IF(_xlfn.XLOOKUP(L351,NC導入施設!B:B,NC導入施設!E:E)=0,_xlfn.IFS(H351&lt;=5,0,H351&lt;=10,1,H351&lt;=15,2,H351&gt;=16,3),"Null"),"-")</f>
        <v>0</v>
      </c>
      <c r="K351" s="62"/>
      <c r="L351" s="1">
        <v>2313331100</v>
      </c>
    </row>
    <row r="352" spans="1:12" ht="18" customHeight="1" x14ac:dyDescent="0.45">
      <c r="A352" s="8">
        <v>346</v>
      </c>
      <c r="B352" s="34" t="s">
        <v>8</v>
      </c>
      <c r="C352" s="34" t="s">
        <v>220</v>
      </c>
      <c r="D352" s="9" t="s">
        <v>3</v>
      </c>
      <c r="E352" s="10">
        <v>1</v>
      </c>
      <c r="F352" s="12">
        <v>16</v>
      </c>
      <c r="G352" s="12">
        <v>16</v>
      </c>
      <c r="H352" s="10">
        <f t="shared" si="134"/>
        <v>16</v>
      </c>
      <c r="I352" s="37" cm="1">
        <f t="array" ref="I352">IF(J352="-","-",_xlfn.IFS(K352&lt;=5,0,K352&lt;=10,1,K352&lt;=15,2,K352&gt;=16,3))</f>
        <v>3</v>
      </c>
      <c r="J352" s="19" cm="1">
        <f t="array" ref="J352">IFERROR(IF(_xlfn.XLOOKUP(L352,NC導入施設!B:B,NC導入施設!E:E)=0,_xlfn.IFS(H352&lt;=5,0,H352&lt;=10,1,H352&lt;=15,2,H352&gt;=16,3),"Null"),"-")</f>
        <v>3</v>
      </c>
      <c r="K352" s="60">
        <f t="shared" ref="K352" si="143">IFERROR(SUM(H352:H356),"-")</f>
        <v>27</v>
      </c>
      <c r="L352" s="1">
        <v>2313361100</v>
      </c>
    </row>
    <row r="353" spans="1:12" ht="18" customHeight="1" x14ac:dyDescent="0.45">
      <c r="A353" s="8">
        <v>347</v>
      </c>
      <c r="B353" s="35" t="str">
        <f t="shared" ref="B353:C356" si="144">B352</f>
        <v>東京本部</v>
      </c>
      <c r="C353" s="35" t="str">
        <f t="shared" si="144"/>
        <v>ラヴィーレ堀之内</v>
      </c>
      <c r="D353" s="9" t="s">
        <v>4</v>
      </c>
      <c r="E353" s="10">
        <v>1</v>
      </c>
      <c r="F353" s="12">
        <v>7</v>
      </c>
      <c r="G353" s="12">
        <v>7</v>
      </c>
      <c r="H353" s="10">
        <f t="shared" si="134"/>
        <v>7</v>
      </c>
      <c r="I353" s="38"/>
      <c r="J353" s="19" cm="1">
        <f t="array" ref="J353">IFERROR(IF(_xlfn.XLOOKUP(L353,NC導入施設!B:B,NC導入施設!E:E)=0,_xlfn.IFS(H353&lt;=5,0,H353&lt;=10,1,H353&lt;=15,2,H353&gt;=16,3),"Null"),"-")</f>
        <v>1</v>
      </c>
      <c r="K353" s="61"/>
      <c r="L353" s="1">
        <v>2313361100</v>
      </c>
    </row>
    <row r="354" spans="1:12" ht="18" customHeight="1" x14ac:dyDescent="0.45">
      <c r="A354" s="8">
        <v>348</v>
      </c>
      <c r="B354" s="35" t="str">
        <f t="shared" si="144"/>
        <v>東京本部</v>
      </c>
      <c r="C354" s="35" t="str">
        <f t="shared" si="144"/>
        <v>ラヴィーレ堀之内</v>
      </c>
      <c r="D354" s="9" t="s">
        <v>5</v>
      </c>
      <c r="E354" s="10">
        <v>1</v>
      </c>
      <c r="F354" s="12">
        <v>3</v>
      </c>
      <c r="G354" s="12">
        <v>3</v>
      </c>
      <c r="H354" s="10">
        <f t="shared" si="134"/>
        <v>3</v>
      </c>
      <c r="I354" s="38"/>
      <c r="J354" s="19" cm="1">
        <f t="array" ref="J354">IFERROR(IF(_xlfn.XLOOKUP(L354,NC導入施設!B:B,NC導入施設!E:E)=0,_xlfn.IFS(H354&lt;=5,0,H354&lt;=10,1,H354&lt;=15,2,H354&gt;=16,3),"Null"),"-")</f>
        <v>0</v>
      </c>
      <c r="K354" s="61"/>
      <c r="L354" s="1">
        <v>2313361100</v>
      </c>
    </row>
    <row r="355" spans="1:12" ht="18" customHeight="1" x14ac:dyDescent="0.45">
      <c r="A355" s="8">
        <v>349</v>
      </c>
      <c r="B355" s="35" t="str">
        <f t="shared" si="144"/>
        <v>東京本部</v>
      </c>
      <c r="C355" s="35" t="str">
        <f t="shared" si="144"/>
        <v>ラヴィーレ堀之内</v>
      </c>
      <c r="D355" s="9" t="s">
        <v>6</v>
      </c>
      <c r="E355" s="10">
        <v>4</v>
      </c>
      <c r="F355" s="12">
        <v>0</v>
      </c>
      <c r="G355" s="12">
        <v>0</v>
      </c>
      <c r="H355" s="10">
        <f t="shared" si="134"/>
        <v>0</v>
      </c>
      <c r="I355" s="38"/>
      <c r="J355" s="19" cm="1">
        <f t="array" ref="J355">IFERROR(IF(_xlfn.XLOOKUP(L355,NC導入施設!B:B,NC導入施設!E:E)=0,_xlfn.IFS(H355&lt;=5,0,H355&lt;=10,1,H355&lt;=15,2,H355&gt;=16,3),"Null"),"-")</f>
        <v>0</v>
      </c>
      <c r="K355" s="61"/>
      <c r="L355" s="1">
        <v>2313361100</v>
      </c>
    </row>
    <row r="356" spans="1:12" ht="18" customHeight="1" x14ac:dyDescent="0.45">
      <c r="A356" s="8">
        <v>350</v>
      </c>
      <c r="B356" s="36" t="str">
        <f t="shared" si="144"/>
        <v>東京本部</v>
      </c>
      <c r="C356" s="36" t="str">
        <f t="shared" si="144"/>
        <v>ラヴィーレ堀之内</v>
      </c>
      <c r="D356" s="9" t="s">
        <v>2</v>
      </c>
      <c r="E356" s="10">
        <v>1</v>
      </c>
      <c r="F356" s="12">
        <v>1</v>
      </c>
      <c r="G356" s="12">
        <v>1</v>
      </c>
      <c r="H356" s="10">
        <f t="shared" si="134"/>
        <v>1</v>
      </c>
      <c r="I356" s="39"/>
      <c r="J356" s="19" cm="1">
        <f t="array" ref="J356">IFERROR(IF(_xlfn.XLOOKUP(L356,NC導入施設!B:B,NC導入施設!E:E)=0,_xlfn.IFS(H356&lt;=5,0,H356&lt;=10,1,H356&lt;=15,2,H356&gt;=16,3),"Null"),"-")</f>
        <v>0</v>
      </c>
      <c r="K356" s="62"/>
      <c r="L356" s="1">
        <v>2313361100</v>
      </c>
    </row>
    <row r="357" spans="1:12" ht="18" customHeight="1" x14ac:dyDescent="0.45">
      <c r="A357" s="13">
        <v>351</v>
      </c>
      <c r="B357" s="40" t="s">
        <v>8</v>
      </c>
      <c r="C357" s="40" t="s">
        <v>221</v>
      </c>
      <c r="D357" s="14" t="s">
        <v>3</v>
      </c>
      <c r="E357" s="15">
        <v>1</v>
      </c>
      <c r="F357" s="17">
        <v>1</v>
      </c>
      <c r="G357" s="17">
        <v>1</v>
      </c>
      <c r="H357" s="15">
        <f t="shared" si="134"/>
        <v>1</v>
      </c>
      <c r="I357" s="43" t="str" cm="1">
        <f t="array" ref="I357">IF(J357="-","-",_xlfn.IFS(K357&lt;=5,0,K357&lt;=10,1,K357&lt;=15,2,K357&gt;=16,3))</f>
        <v>-</v>
      </c>
      <c r="J357" s="19" t="str" cm="1">
        <f t="array" ref="J357">IFERROR(IF(_xlfn.XLOOKUP(L357,NC導入施設!B:B,NC導入施設!E:E)=0,_xlfn.IFS(H357&lt;=5,0,H357&lt;=10,1,H357&lt;=15,2,H357&gt;=16,3),"Null"),"-")</f>
        <v>-</v>
      </c>
      <c r="K357" s="60">
        <f t="shared" ref="K357" si="145">IFERROR(SUM(H357:H361),"-")</f>
        <v>1</v>
      </c>
      <c r="L357" s="1">
        <v>2313371100</v>
      </c>
    </row>
    <row r="358" spans="1:12" ht="18" customHeight="1" x14ac:dyDescent="0.45">
      <c r="A358" s="13">
        <v>352</v>
      </c>
      <c r="B358" s="41" t="str">
        <f t="shared" ref="B358:C361" si="146">B357</f>
        <v>東京本部</v>
      </c>
      <c r="C358" s="41" t="str">
        <f t="shared" si="146"/>
        <v>ラヴィーレ八王子片倉</v>
      </c>
      <c r="D358" s="14" t="s">
        <v>4</v>
      </c>
      <c r="E358" s="15">
        <v>2</v>
      </c>
      <c r="F358" s="17">
        <v>0</v>
      </c>
      <c r="G358" s="17">
        <v>0</v>
      </c>
      <c r="H358" s="15">
        <f t="shared" si="134"/>
        <v>0</v>
      </c>
      <c r="I358" s="44"/>
      <c r="J358" s="19" t="str" cm="1">
        <f t="array" ref="J358">IFERROR(IF(_xlfn.XLOOKUP(L358,NC導入施設!B:B,NC導入施設!E:E)=0,_xlfn.IFS(H358&lt;=5,0,H358&lt;=10,1,H358&lt;=15,2,H358&gt;=16,3),"Null"),"-")</f>
        <v>-</v>
      </c>
      <c r="K358" s="61"/>
      <c r="L358" s="1">
        <v>2313371100</v>
      </c>
    </row>
    <row r="359" spans="1:12" ht="18" customHeight="1" x14ac:dyDescent="0.45">
      <c r="A359" s="13">
        <v>353</v>
      </c>
      <c r="B359" s="41" t="str">
        <f t="shared" si="146"/>
        <v>東京本部</v>
      </c>
      <c r="C359" s="41" t="str">
        <f t="shared" si="146"/>
        <v>ラヴィーレ八王子片倉</v>
      </c>
      <c r="D359" s="14" t="s">
        <v>5</v>
      </c>
      <c r="E359" s="15">
        <v>2</v>
      </c>
      <c r="F359" s="17">
        <v>0</v>
      </c>
      <c r="G359" s="17">
        <v>0</v>
      </c>
      <c r="H359" s="15">
        <f t="shared" si="134"/>
        <v>0</v>
      </c>
      <c r="I359" s="44"/>
      <c r="J359" s="19" t="str" cm="1">
        <f t="array" ref="J359">IFERROR(IF(_xlfn.XLOOKUP(L359,NC導入施設!B:B,NC導入施設!E:E)=0,_xlfn.IFS(H359&lt;=5,0,H359&lt;=10,1,H359&lt;=15,2,H359&gt;=16,3),"Null"),"-")</f>
        <v>-</v>
      </c>
      <c r="K359" s="61"/>
      <c r="L359" s="1">
        <v>2313371100</v>
      </c>
    </row>
    <row r="360" spans="1:12" ht="18" customHeight="1" x14ac:dyDescent="0.45">
      <c r="A360" s="13">
        <v>354</v>
      </c>
      <c r="B360" s="41" t="str">
        <f t="shared" si="146"/>
        <v>東京本部</v>
      </c>
      <c r="C360" s="41" t="str">
        <f t="shared" si="146"/>
        <v>ラヴィーレ八王子片倉</v>
      </c>
      <c r="D360" s="14" t="s">
        <v>6</v>
      </c>
      <c r="E360" s="15">
        <v>4</v>
      </c>
      <c r="F360" s="17">
        <v>0</v>
      </c>
      <c r="G360" s="17">
        <v>0</v>
      </c>
      <c r="H360" s="15">
        <f t="shared" si="134"/>
        <v>0</v>
      </c>
      <c r="I360" s="44"/>
      <c r="J360" s="19" t="str" cm="1">
        <f t="array" ref="J360">IFERROR(IF(_xlfn.XLOOKUP(L360,NC導入施設!B:B,NC導入施設!E:E)=0,_xlfn.IFS(H360&lt;=5,0,H360&lt;=10,1,H360&lt;=15,2,H360&gt;=16,3),"Null"),"-")</f>
        <v>-</v>
      </c>
      <c r="K360" s="61"/>
      <c r="L360" s="1">
        <v>2313371100</v>
      </c>
    </row>
    <row r="361" spans="1:12" ht="18" customHeight="1" x14ac:dyDescent="0.45">
      <c r="A361" s="13">
        <v>355</v>
      </c>
      <c r="B361" s="42" t="str">
        <f t="shared" si="146"/>
        <v>東京本部</v>
      </c>
      <c r="C361" s="42" t="str">
        <f t="shared" si="146"/>
        <v>ラヴィーレ八王子片倉</v>
      </c>
      <c r="D361" s="14" t="s">
        <v>2</v>
      </c>
      <c r="E361" s="15">
        <v>1</v>
      </c>
      <c r="F361" s="17">
        <v>0</v>
      </c>
      <c r="G361" s="17">
        <v>0</v>
      </c>
      <c r="H361" s="15">
        <f t="shared" si="134"/>
        <v>0</v>
      </c>
      <c r="I361" s="45"/>
      <c r="J361" s="19" t="str" cm="1">
        <f t="array" ref="J361">IFERROR(IF(_xlfn.XLOOKUP(L361,NC導入施設!B:B,NC導入施設!E:E)=0,_xlfn.IFS(H361&lt;=5,0,H361&lt;=10,1,H361&lt;=15,2,H361&gt;=16,3),"Null"),"-")</f>
        <v>-</v>
      </c>
      <c r="K361" s="62"/>
      <c r="L361" s="1">
        <v>2313371100</v>
      </c>
    </row>
    <row r="362" spans="1:12" ht="18" customHeight="1" x14ac:dyDescent="0.45">
      <c r="A362" s="8">
        <v>356</v>
      </c>
      <c r="B362" s="34" t="s">
        <v>8</v>
      </c>
      <c r="C362" s="34" t="s">
        <v>222</v>
      </c>
      <c r="D362" s="9" t="s">
        <v>3</v>
      </c>
      <c r="E362" s="10">
        <v>1</v>
      </c>
      <c r="F362" s="12">
        <v>5</v>
      </c>
      <c r="G362" s="12">
        <v>5</v>
      </c>
      <c r="H362" s="10">
        <f t="shared" si="134"/>
        <v>5</v>
      </c>
      <c r="I362" s="37" cm="1">
        <f t="array" ref="I362">IF(J362="-","-",_xlfn.IFS(K362&lt;=5,0,K362&lt;=10,1,K362&lt;=15,2,K362&gt;=16,3))</f>
        <v>3</v>
      </c>
      <c r="J362" s="19" cm="1">
        <f t="array" ref="J362">IFERROR(IF(_xlfn.XLOOKUP(L362,NC導入施設!B:B,NC導入施設!E:E)=0,_xlfn.IFS(H362&lt;=5,0,H362&lt;=10,1,H362&lt;=15,2,H362&gt;=16,3),"Null"),"-")</f>
        <v>0</v>
      </c>
      <c r="K362" s="60">
        <f t="shared" ref="K362" si="147">IFERROR(SUM(H362:H366),"-")</f>
        <v>46</v>
      </c>
      <c r="L362" s="1">
        <v>2313391100</v>
      </c>
    </row>
    <row r="363" spans="1:12" ht="18" customHeight="1" x14ac:dyDescent="0.45">
      <c r="A363" s="8">
        <v>357</v>
      </c>
      <c r="B363" s="35" t="str">
        <f t="shared" ref="B363:C366" si="148">B362</f>
        <v>東京本部</v>
      </c>
      <c r="C363" s="35" t="str">
        <f t="shared" si="148"/>
        <v>ラヴィーレ南町田</v>
      </c>
      <c r="D363" s="9" t="s">
        <v>4</v>
      </c>
      <c r="E363" s="10">
        <v>1</v>
      </c>
      <c r="F363" s="12">
        <v>14</v>
      </c>
      <c r="G363" s="12">
        <v>14</v>
      </c>
      <c r="H363" s="10">
        <f t="shared" si="134"/>
        <v>14</v>
      </c>
      <c r="I363" s="38"/>
      <c r="J363" s="19" cm="1">
        <f t="array" ref="J363">IFERROR(IF(_xlfn.XLOOKUP(L363,NC導入施設!B:B,NC導入施設!E:E)=0,_xlfn.IFS(H363&lt;=5,0,H363&lt;=10,1,H363&lt;=15,2,H363&gt;=16,3),"Null"),"-")</f>
        <v>2</v>
      </c>
      <c r="K363" s="61"/>
      <c r="L363" s="1">
        <v>2313391100</v>
      </c>
    </row>
    <row r="364" spans="1:12" ht="18" customHeight="1" x14ac:dyDescent="0.45">
      <c r="A364" s="8">
        <v>358</v>
      </c>
      <c r="B364" s="35" t="str">
        <f t="shared" si="148"/>
        <v>東京本部</v>
      </c>
      <c r="C364" s="35" t="str">
        <f t="shared" si="148"/>
        <v>ラヴィーレ南町田</v>
      </c>
      <c r="D364" s="9" t="s">
        <v>5</v>
      </c>
      <c r="E364" s="10">
        <v>2</v>
      </c>
      <c r="F364" s="12">
        <v>19</v>
      </c>
      <c r="G364" s="12">
        <v>9.5</v>
      </c>
      <c r="H364" s="10">
        <f t="shared" si="134"/>
        <v>19</v>
      </c>
      <c r="I364" s="38"/>
      <c r="J364" s="19" cm="1">
        <f t="array" ref="J364">IFERROR(IF(_xlfn.XLOOKUP(L364,NC導入施設!B:B,NC導入施設!E:E)=0,_xlfn.IFS(H364&lt;=5,0,H364&lt;=10,1,H364&lt;=15,2,H364&gt;=16,3),"Null"),"-")</f>
        <v>3</v>
      </c>
      <c r="K364" s="61"/>
      <c r="L364" s="1">
        <v>2313391100</v>
      </c>
    </row>
    <row r="365" spans="1:12" ht="18" customHeight="1" x14ac:dyDescent="0.45">
      <c r="A365" s="8">
        <v>359</v>
      </c>
      <c r="B365" s="35" t="str">
        <f t="shared" si="148"/>
        <v>東京本部</v>
      </c>
      <c r="C365" s="35" t="str">
        <f t="shared" si="148"/>
        <v>ラヴィーレ南町田</v>
      </c>
      <c r="D365" s="9" t="s">
        <v>6</v>
      </c>
      <c r="E365" s="10">
        <v>4</v>
      </c>
      <c r="F365" s="12">
        <v>7</v>
      </c>
      <c r="G365" s="12">
        <v>1.8</v>
      </c>
      <c r="H365" s="10">
        <f t="shared" si="134"/>
        <v>7</v>
      </c>
      <c r="I365" s="38"/>
      <c r="J365" s="19" cm="1">
        <f t="array" ref="J365">IFERROR(IF(_xlfn.XLOOKUP(L365,NC導入施設!B:B,NC導入施設!E:E)=0,_xlfn.IFS(H365&lt;=5,0,H365&lt;=10,1,H365&lt;=15,2,H365&gt;=16,3),"Null"),"-")</f>
        <v>1</v>
      </c>
      <c r="K365" s="61"/>
      <c r="L365" s="1">
        <v>2313391100</v>
      </c>
    </row>
    <row r="366" spans="1:12" ht="18" customHeight="1" x14ac:dyDescent="0.45">
      <c r="A366" s="8">
        <v>360</v>
      </c>
      <c r="B366" s="36" t="str">
        <f t="shared" si="148"/>
        <v>東京本部</v>
      </c>
      <c r="C366" s="36" t="str">
        <f t="shared" si="148"/>
        <v>ラヴィーレ南町田</v>
      </c>
      <c r="D366" s="9" t="s">
        <v>2</v>
      </c>
      <c r="E366" s="10">
        <v>2</v>
      </c>
      <c r="F366" s="12">
        <v>1</v>
      </c>
      <c r="G366" s="12">
        <v>0.5</v>
      </c>
      <c r="H366" s="10">
        <f t="shared" si="134"/>
        <v>1</v>
      </c>
      <c r="I366" s="39"/>
      <c r="J366" s="19" cm="1">
        <f t="array" ref="J366">IFERROR(IF(_xlfn.XLOOKUP(L366,NC導入施設!B:B,NC導入施設!E:E)=0,_xlfn.IFS(H366&lt;=5,0,H366&lt;=10,1,H366&lt;=15,2,H366&gt;=16,3),"Null"),"-")</f>
        <v>0</v>
      </c>
      <c r="K366" s="62"/>
      <c r="L366" s="1">
        <v>2313391100</v>
      </c>
    </row>
    <row r="367" spans="1:12" ht="18" customHeight="1" x14ac:dyDescent="0.45">
      <c r="A367" s="13">
        <v>361</v>
      </c>
      <c r="B367" s="40" t="s">
        <v>8</v>
      </c>
      <c r="C367" s="40" t="s">
        <v>223</v>
      </c>
      <c r="D367" s="14" t="s">
        <v>3</v>
      </c>
      <c r="E367" s="15">
        <v>1</v>
      </c>
      <c r="F367" s="17">
        <v>6</v>
      </c>
      <c r="G367" s="17">
        <v>6</v>
      </c>
      <c r="H367" s="15">
        <f t="shared" si="134"/>
        <v>6</v>
      </c>
      <c r="I367" s="43" cm="1">
        <f t="array" ref="I367">IF(J367="-","-",_xlfn.IFS(K367&lt;=5,0,K367&lt;=10,1,K367&lt;=15,2,K367&gt;=16,3))</f>
        <v>1</v>
      </c>
      <c r="J367" s="19" cm="1">
        <f t="array" ref="J367">IFERROR(IF(_xlfn.XLOOKUP(L367,NC導入施設!B:B,NC導入施設!E:E)=0,_xlfn.IFS(H367&lt;=5,0,H367&lt;=10,1,H367&lt;=15,2,H367&gt;=16,3),"Null"),"-")</f>
        <v>1</v>
      </c>
      <c r="K367" s="60">
        <f t="shared" ref="K367" si="149">IFERROR(SUM(H367:H371),"-")</f>
        <v>6</v>
      </c>
      <c r="L367" s="1">
        <v>2313401100</v>
      </c>
    </row>
    <row r="368" spans="1:12" ht="18" customHeight="1" x14ac:dyDescent="0.45">
      <c r="A368" s="13">
        <v>362</v>
      </c>
      <c r="B368" s="41" t="str">
        <f t="shared" ref="B368:C371" si="150">B367</f>
        <v>東京本部</v>
      </c>
      <c r="C368" s="41" t="str">
        <f t="shared" si="150"/>
        <v>ラヴィーレ町田小山</v>
      </c>
      <c r="D368" s="14" t="s">
        <v>4</v>
      </c>
      <c r="E368" s="15">
        <v>1</v>
      </c>
      <c r="F368" s="17">
        <v>0</v>
      </c>
      <c r="G368" s="17">
        <v>0</v>
      </c>
      <c r="H368" s="15">
        <f t="shared" si="134"/>
        <v>0</v>
      </c>
      <c r="I368" s="44"/>
      <c r="J368" s="19" cm="1">
        <f t="array" ref="J368">IFERROR(IF(_xlfn.XLOOKUP(L368,NC導入施設!B:B,NC導入施設!E:E)=0,_xlfn.IFS(H368&lt;=5,0,H368&lt;=10,1,H368&lt;=15,2,H368&gt;=16,3),"Null"),"-")</f>
        <v>0</v>
      </c>
      <c r="K368" s="61"/>
      <c r="L368" s="1">
        <v>2313401100</v>
      </c>
    </row>
    <row r="369" spans="1:12" ht="18" customHeight="1" x14ac:dyDescent="0.45">
      <c r="A369" s="13">
        <v>363</v>
      </c>
      <c r="B369" s="41" t="str">
        <f t="shared" si="150"/>
        <v>東京本部</v>
      </c>
      <c r="C369" s="41" t="str">
        <f t="shared" si="150"/>
        <v>ラヴィーレ町田小山</v>
      </c>
      <c r="D369" s="14" t="s">
        <v>5</v>
      </c>
      <c r="E369" s="15">
        <v>1</v>
      </c>
      <c r="F369" s="17">
        <v>0</v>
      </c>
      <c r="G369" s="17">
        <v>0</v>
      </c>
      <c r="H369" s="15">
        <f t="shared" si="134"/>
        <v>0</v>
      </c>
      <c r="I369" s="44"/>
      <c r="J369" s="19" cm="1">
        <f t="array" ref="J369">IFERROR(IF(_xlfn.XLOOKUP(L369,NC導入施設!B:B,NC導入施設!E:E)=0,_xlfn.IFS(H369&lt;=5,0,H369&lt;=10,1,H369&lt;=15,2,H369&gt;=16,3),"Null"),"-")</f>
        <v>0</v>
      </c>
      <c r="K369" s="61"/>
      <c r="L369" s="1">
        <v>2313401100</v>
      </c>
    </row>
    <row r="370" spans="1:12" ht="18" customHeight="1" x14ac:dyDescent="0.45">
      <c r="A370" s="13">
        <v>364</v>
      </c>
      <c r="B370" s="41" t="str">
        <f t="shared" si="150"/>
        <v>東京本部</v>
      </c>
      <c r="C370" s="41" t="str">
        <f t="shared" si="150"/>
        <v>ラヴィーレ町田小山</v>
      </c>
      <c r="D370" s="14" t="s">
        <v>6</v>
      </c>
      <c r="E370" s="15">
        <v>9</v>
      </c>
      <c r="F370" s="17">
        <v>0</v>
      </c>
      <c r="G370" s="17">
        <v>0</v>
      </c>
      <c r="H370" s="15">
        <f t="shared" si="134"/>
        <v>0</v>
      </c>
      <c r="I370" s="44"/>
      <c r="J370" s="19" cm="1">
        <f t="array" ref="J370">IFERROR(IF(_xlfn.XLOOKUP(L370,NC導入施設!B:B,NC導入施設!E:E)=0,_xlfn.IFS(H370&lt;=5,0,H370&lt;=10,1,H370&lt;=15,2,H370&gt;=16,3),"Null"),"-")</f>
        <v>0</v>
      </c>
      <c r="K370" s="61"/>
      <c r="L370" s="1">
        <v>2313401100</v>
      </c>
    </row>
    <row r="371" spans="1:12" ht="18" customHeight="1" x14ac:dyDescent="0.45">
      <c r="A371" s="13">
        <v>365</v>
      </c>
      <c r="B371" s="42" t="str">
        <f t="shared" si="150"/>
        <v>東京本部</v>
      </c>
      <c r="C371" s="42" t="str">
        <f t="shared" si="150"/>
        <v>ラヴィーレ町田小山</v>
      </c>
      <c r="D371" s="14" t="s">
        <v>2</v>
      </c>
      <c r="E371" s="15">
        <v>2</v>
      </c>
      <c r="F371" s="17">
        <v>0</v>
      </c>
      <c r="G371" s="17">
        <v>0</v>
      </c>
      <c r="H371" s="15">
        <f t="shared" si="134"/>
        <v>0</v>
      </c>
      <c r="I371" s="45"/>
      <c r="J371" s="19" cm="1">
        <f t="array" ref="J371">IFERROR(IF(_xlfn.XLOOKUP(L371,NC導入施設!B:B,NC導入施設!E:E)=0,_xlfn.IFS(H371&lt;=5,0,H371&lt;=10,1,H371&lt;=15,2,H371&gt;=16,3),"Null"),"-")</f>
        <v>0</v>
      </c>
      <c r="K371" s="62"/>
      <c r="L371" s="1">
        <v>2313401100</v>
      </c>
    </row>
    <row r="372" spans="1:12" ht="18" customHeight="1" x14ac:dyDescent="0.45">
      <c r="A372" s="31">
        <v>366</v>
      </c>
      <c r="B372" s="34" t="s">
        <v>8</v>
      </c>
      <c r="C372" s="34" t="s">
        <v>224</v>
      </c>
      <c r="D372" s="9" t="s">
        <v>3</v>
      </c>
      <c r="E372" s="10">
        <v>1</v>
      </c>
      <c r="F372" s="12">
        <v>2</v>
      </c>
      <c r="G372" s="12">
        <v>2</v>
      </c>
      <c r="H372" s="10">
        <f t="shared" si="134"/>
        <v>2</v>
      </c>
      <c r="I372" s="37" cm="1">
        <f t="array" ref="I372">IF(J372="-","-",_xlfn.IFS(K372&lt;=5,0,K372&lt;=10,1,K372&lt;=15,2,K372&gt;=16,3))</f>
        <v>3</v>
      </c>
      <c r="J372" s="19" cm="1">
        <f t="array" ref="J372">IFERROR(IF(_xlfn.XLOOKUP(L372,NC導入施設!B:B,NC導入施設!E:E)=0,_xlfn.IFS(H372&lt;=5,0,H372&lt;=10,1,H372&lt;=15,2,H372&gt;=16,3),"Null"),"-")</f>
        <v>0</v>
      </c>
      <c r="K372" s="60">
        <f t="shared" ref="K372" si="151">IFERROR(SUM(H372:H376),"-")</f>
        <v>26</v>
      </c>
      <c r="L372" s="1">
        <v>2313411100</v>
      </c>
    </row>
    <row r="373" spans="1:12" ht="18" customHeight="1" x14ac:dyDescent="0.45">
      <c r="A373" s="31">
        <v>367</v>
      </c>
      <c r="B373" s="35" t="str">
        <f t="shared" ref="B373:C376" si="152">B372</f>
        <v>東京本部</v>
      </c>
      <c r="C373" s="35" t="str">
        <f t="shared" si="152"/>
        <v>ラヴィーレ町田小野路</v>
      </c>
      <c r="D373" s="9" t="s">
        <v>4</v>
      </c>
      <c r="E373" s="10">
        <v>4</v>
      </c>
      <c r="F373" s="12">
        <v>6</v>
      </c>
      <c r="G373" s="12">
        <v>1.5</v>
      </c>
      <c r="H373" s="10">
        <f t="shared" si="134"/>
        <v>6</v>
      </c>
      <c r="I373" s="38"/>
      <c r="J373" s="19" cm="1">
        <f t="array" ref="J373">IFERROR(IF(_xlfn.XLOOKUP(L373,NC導入施設!B:B,NC導入施設!E:E)=0,_xlfn.IFS(H373&lt;=5,0,H373&lt;=10,1,H373&lt;=15,2,H373&gt;=16,3),"Null"),"-")</f>
        <v>1</v>
      </c>
      <c r="K373" s="61"/>
      <c r="L373" s="1">
        <v>2313411100</v>
      </c>
    </row>
    <row r="374" spans="1:12" ht="18" customHeight="1" x14ac:dyDescent="0.45">
      <c r="A374" s="31">
        <v>368</v>
      </c>
      <c r="B374" s="35" t="str">
        <f t="shared" si="152"/>
        <v>東京本部</v>
      </c>
      <c r="C374" s="35" t="str">
        <f t="shared" si="152"/>
        <v>ラヴィーレ町田小野路</v>
      </c>
      <c r="D374" s="9" t="s">
        <v>5</v>
      </c>
      <c r="E374" s="10">
        <v>3</v>
      </c>
      <c r="F374" s="12">
        <v>7</v>
      </c>
      <c r="G374" s="12">
        <v>2.2999999999999998</v>
      </c>
      <c r="H374" s="10">
        <f t="shared" si="134"/>
        <v>7</v>
      </c>
      <c r="I374" s="38"/>
      <c r="J374" s="19" cm="1">
        <f t="array" ref="J374">IFERROR(IF(_xlfn.XLOOKUP(L374,NC導入施設!B:B,NC導入施設!E:E)=0,_xlfn.IFS(H374&lt;=5,0,H374&lt;=10,1,H374&lt;=15,2,H374&gt;=16,3),"Null"),"-")</f>
        <v>1</v>
      </c>
      <c r="K374" s="61"/>
      <c r="L374" s="1">
        <v>2313411100</v>
      </c>
    </row>
    <row r="375" spans="1:12" ht="18" customHeight="1" x14ac:dyDescent="0.45">
      <c r="A375" s="31">
        <v>369</v>
      </c>
      <c r="B375" s="35" t="str">
        <f t="shared" si="152"/>
        <v>東京本部</v>
      </c>
      <c r="C375" s="35" t="str">
        <f t="shared" si="152"/>
        <v>ラヴィーレ町田小野路</v>
      </c>
      <c r="D375" s="9" t="s">
        <v>6</v>
      </c>
      <c r="E375" s="10">
        <v>6</v>
      </c>
      <c r="F375" s="12">
        <v>7</v>
      </c>
      <c r="G375" s="12">
        <v>1.2</v>
      </c>
      <c r="H375" s="10">
        <f t="shared" si="134"/>
        <v>7</v>
      </c>
      <c r="I375" s="38"/>
      <c r="J375" s="19" cm="1">
        <f t="array" ref="J375">IFERROR(IF(_xlfn.XLOOKUP(L375,NC導入施設!B:B,NC導入施設!E:E)=0,_xlfn.IFS(H375&lt;=5,0,H375&lt;=10,1,H375&lt;=15,2,H375&gt;=16,3),"Null"),"-")</f>
        <v>1</v>
      </c>
      <c r="K375" s="61"/>
      <c r="L375" s="1">
        <v>2313411100</v>
      </c>
    </row>
    <row r="376" spans="1:12" ht="18" customHeight="1" x14ac:dyDescent="0.45">
      <c r="A376" s="31">
        <v>370</v>
      </c>
      <c r="B376" s="36" t="str">
        <f t="shared" si="152"/>
        <v>東京本部</v>
      </c>
      <c r="C376" s="36" t="str">
        <f t="shared" si="152"/>
        <v>ラヴィーレ町田小野路</v>
      </c>
      <c r="D376" s="9" t="s">
        <v>2</v>
      </c>
      <c r="E376" s="10">
        <v>2</v>
      </c>
      <c r="F376" s="12">
        <v>4</v>
      </c>
      <c r="G376" s="12">
        <v>2</v>
      </c>
      <c r="H376" s="10">
        <f t="shared" si="134"/>
        <v>4</v>
      </c>
      <c r="I376" s="39"/>
      <c r="J376" s="19" cm="1">
        <f t="array" ref="J376">IFERROR(IF(_xlfn.XLOOKUP(L376,NC導入施設!B:B,NC導入施設!E:E)=0,_xlfn.IFS(H376&lt;=5,0,H376&lt;=10,1,H376&lt;=15,2,H376&gt;=16,3),"Null"),"-")</f>
        <v>0</v>
      </c>
      <c r="K376" s="62"/>
      <c r="L376" s="1">
        <v>2313411100</v>
      </c>
    </row>
    <row r="377" spans="1:12" ht="18" customHeight="1" x14ac:dyDescent="0.45">
      <c r="A377" s="13">
        <v>371</v>
      </c>
      <c r="B377" s="40" t="s">
        <v>8</v>
      </c>
      <c r="C377" s="40" t="s">
        <v>47</v>
      </c>
      <c r="D377" s="14" t="s">
        <v>3</v>
      </c>
      <c r="E377" s="15">
        <v>1</v>
      </c>
      <c r="F377" s="17">
        <v>5</v>
      </c>
      <c r="G377" s="17">
        <v>5</v>
      </c>
      <c r="H377" s="15">
        <f t="shared" si="134"/>
        <v>5</v>
      </c>
      <c r="I377" s="43" cm="1">
        <f t="array" ref="I377">IF(J377="-","-",_xlfn.IFS(K377&lt;=5,0,K377&lt;=10,1,K377&lt;=15,2,K377&gt;=16,3))</f>
        <v>3</v>
      </c>
      <c r="J377" s="19" cm="1">
        <f t="array" ref="J377">IFERROR(IF(_xlfn.XLOOKUP(L377,NC導入施設!B:B,NC導入施設!E:E)=0,_xlfn.IFS(H377&lt;=5,0,H377&lt;=10,1,H377&lt;=15,2,H377&gt;=16,3),"Null"),"-")</f>
        <v>0</v>
      </c>
      <c r="K377" s="60">
        <f t="shared" ref="K377" si="153">IFERROR(SUM(H377:H381),"-")</f>
        <v>32</v>
      </c>
      <c r="L377" s="1">
        <v>2313451200</v>
      </c>
    </row>
    <row r="378" spans="1:12" ht="18" customHeight="1" x14ac:dyDescent="0.45">
      <c r="A378" s="13">
        <v>372</v>
      </c>
      <c r="B378" s="41" t="str">
        <f t="shared" ref="B378:C381" si="154">B377</f>
        <v>東京本部</v>
      </c>
      <c r="C378" s="41" t="str">
        <f t="shared" si="154"/>
        <v>そんぽの家　稲城矢野口</v>
      </c>
      <c r="D378" s="14" t="s">
        <v>4</v>
      </c>
      <c r="E378" s="15">
        <v>1</v>
      </c>
      <c r="F378" s="17">
        <v>4</v>
      </c>
      <c r="G378" s="17">
        <v>4</v>
      </c>
      <c r="H378" s="15">
        <f t="shared" si="134"/>
        <v>4</v>
      </c>
      <c r="I378" s="44"/>
      <c r="J378" s="19" cm="1">
        <f t="array" ref="J378">IFERROR(IF(_xlfn.XLOOKUP(L378,NC導入施設!B:B,NC導入施設!E:E)=0,_xlfn.IFS(H378&lt;=5,0,H378&lt;=10,1,H378&lt;=15,2,H378&gt;=16,3),"Null"),"-")</f>
        <v>0</v>
      </c>
      <c r="K378" s="61"/>
      <c r="L378" s="1">
        <v>2313451200</v>
      </c>
    </row>
    <row r="379" spans="1:12" ht="18" customHeight="1" x14ac:dyDescent="0.45">
      <c r="A379" s="13">
        <v>373</v>
      </c>
      <c r="B379" s="41" t="str">
        <f t="shared" si="154"/>
        <v>東京本部</v>
      </c>
      <c r="C379" s="41" t="str">
        <f t="shared" si="154"/>
        <v>そんぽの家　稲城矢野口</v>
      </c>
      <c r="D379" s="14" t="s">
        <v>5</v>
      </c>
      <c r="E379" s="15">
        <v>1</v>
      </c>
      <c r="F379" s="17">
        <v>18</v>
      </c>
      <c r="G379" s="17">
        <v>18</v>
      </c>
      <c r="H379" s="15">
        <f t="shared" si="134"/>
        <v>18</v>
      </c>
      <c r="I379" s="44"/>
      <c r="J379" s="19" cm="1">
        <f t="array" ref="J379">IFERROR(IF(_xlfn.XLOOKUP(L379,NC導入施設!B:B,NC導入施設!E:E)=0,_xlfn.IFS(H379&lt;=5,0,H379&lt;=10,1,H379&lt;=15,2,H379&gt;=16,3),"Null"),"-")</f>
        <v>3</v>
      </c>
      <c r="K379" s="61"/>
      <c r="L379" s="1">
        <v>2313451200</v>
      </c>
    </row>
    <row r="380" spans="1:12" ht="18" customHeight="1" x14ac:dyDescent="0.45">
      <c r="A380" s="13">
        <v>374</v>
      </c>
      <c r="B380" s="41" t="str">
        <f t="shared" si="154"/>
        <v>東京本部</v>
      </c>
      <c r="C380" s="41" t="str">
        <f t="shared" si="154"/>
        <v>そんぽの家　稲城矢野口</v>
      </c>
      <c r="D380" s="14" t="s">
        <v>6</v>
      </c>
      <c r="E380" s="15">
        <v>3</v>
      </c>
      <c r="F380" s="17">
        <v>2</v>
      </c>
      <c r="G380" s="17">
        <v>0.7</v>
      </c>
      <c r="H380" s="15">
        <f t="shared" si="134"/>
        <v>2</v>
      </c>
      <c r="I380" s="44"/>
      <c r="J380" s="19" cm="1">
        <f t="array" ref="J380">IFERROR(IF(_xlfn.XLOOKUP(L380,NC導入施設!B:B,NC導入施設!E:E)=0,_xlfn.IFS(H380&lt;=5,0,H380&lt;=10,1,H380&lt;=15,2,H380&gt;=16,3),"Null"),"-")</f>
        <v>0</v>
      </c>
      <c r="K380" s="61"/>
      <c r="L380" s="1">
        <v>2313451200</v>
      </c>
    </row>
    <row r="381" spans="1:12" ht="18" customHeight="1" x14ac:dyDescent="0.45">
      <c r="A381" s="13">
        <v>375</v>
      </c>
      <c r="B381" s="42" t="str">
        <f t="shared" si="154"/>
        <v>東京本部</v>
      </c>
      <c r="C381" s="42" t="str">
        <f t="shared" si="154"/>
        <v>そんぽの家　稲城矢野口</v>
      </c>
      <c r="D381" s="14" t="s">
        <v>2</v>
      </c>
      <c r="E381" s="15">
        <v>1</v>
      </c>
      <c r="F381" s="17">
        <v>3</v>
      </c>
      <c r="G381" s="17">
        <v>3</v>
      </c>
      <c r="H381" s="15">
        <f t="shared" si="134"/>
        <v>3</v>
      </c>
      <c r="I381" s="45"/>
      <c r="J381" s="19" cm="1">
        <f t="array" ref="J381">IFERROR(IF(_xlfn.XLOOKUP(L381,NC導入施設!B:B,NC導入施設!E:E)=0,_xlfn.IFS(H381&lt;=5,0,H381&lt;=10,1,H381&lt;=15,2,H381&gt;=16,3),"Null"),"-")</f>
        <v>0</v>
      </c>
      <c r="K381" s="62"/>
      <c r="L381" s="1">
        <v>2313451200</v>
      </c>
    </row>
    <row r="382" spans="1:12" ht="18" customHeight="1" x14ac:dyDescent="0.45">
      <c r="A382" s="8">
        <v>376</v>
      </c>
      <c r="B382" s="34" t="s">
        <v>8</v>
      </c>
      <c r="C382" s="34" t="s">
        <v>174</v>
      </c>
      <c r="D382" s="9" t="s">
        <v>3</v>
      </c>
      <c r="E382" s="10">
        <v>1</v>
      </c>
      <c r="F382" s="12">
        <v>2</v>
      </c>
      <c r="G382" s="12">
        <v>2</v>
      </c>
      <c r="H382" s="10">
        <f t="shared" si="134"/>
        <v>2</v>
      </c>
      <c r="I382" s="37" cm="1">
        <f t="array" ref="I382">IF(J382="-","-",_xlfn.IFS(K382&lt;=5,0,K382&lt;=10,1,K382&lt;=15,2,K382&gt;=16,3))</f>
        <v>1</v>
      </c>
      <c r="J382" s="19" cm="1">
        <f t="array" ref="J382">IFERROR(IF(_xlfn.XLOOKUP(L382,NC導入施設!B:B,NC導入施設!E:E)=0,_xlfn.IFS(H382&lt;=5,0,H382&lt;=10,1,H382&lt;=15,2,H382&gt;=16,3),"Null"),"-")</f>
        <v>0</v>
      </c>
      <c r="K382" s="60">
        <f t="shared" ref="K382" si="155">IFERROR(SUM(H382:H386),"-")</f>
        <v>7</v>
      </c>
      <c r="L382" s="1">
        <v>2317901200</v>
      </c>
    </row>
    <row r="383" spans="1:12" ht="18" customHeight="1" x14ac:dyDescent="0.45">
      <c r="A383" s="8">
        <v>377</v>
      </c>
      <c r="B383" s="35" t="str">
        <f t="shared" ref="B383:C386" si="156">B382</f>
        <v>東京本部</v>
      </c>
      <c r="C383" s="35" t="str">
        <f t="shared" si="156"/>
        <v>そんぽの家　大森西</v>
      </c>
      <c r="D383" s="9" t="s">
        <v>4</v>
      </c>
      <c r="E383" s="10">
        <v>1</v>
      </c>
      <c r="F383" s="12">
        <v>0</v>
      </c>
      <c r="G383" s="12">
        <v>0</v>
      </c>
      <c r="H383" s="10">
        <f t="shared" si="134"/>
        <v>0</v>
      </c>
      <c r="I383" s="38"/>
      <c r="J383" s="19" cm="1">
        <f t="array" ref="J383">IFERROR(IF(_xlfn.XLOOKUP(L383,NC導入施設!B:B,NC導入施設!E:E)=0,_xlfn.IFS(H383&lt;=5,0,H383&lt;=10,1,H383&lt;=15,2,H383&gt;=16,3),"Null"),"-")</f>
        <v>0</v>
      </c>
      <c r="K383" s="61"/>
      <c r="L383" s="1">
        <v>2317901200</v>
      </c>
    </row>
    <row r="384" spans="1:12" ht="18" customHeight="1" x14ac:dyDescent="0.45">
      <c r="A384" s="8">
        <v>378</v>
      </c>
      <c r="B384" s="35" t="str">
        <f t="shared" si="156"/>
        <v>東京本部</v>
      </c>
      <c r="C384" s="35" t="str">
        <f t="shared" si="156"/>
        <v>そんぽの家　大森西</v>
      </c>
      <c r="D384" s="9" t="s">
        <v>5</v>
      </c>
      <c r="E384" s="10">
        <v>1</v>
      </c>
      <c r="F384" s="12">
        <v>1</v>
      </c>
      <c r="G384" s="12">
        <v>1</v>
      </c>
      <c r="H384" s="10">
        <f t="shared" si="134"/>
        <v>1</v>
      </c>
      <c r="I384" s="38"/>
      <c r="J384" s="19" cm="1">
        <f t="array" ref="J384">IFERROR(IF(_xlfn.XLOOKUP(L384,NC導入施設!B:B,NC導入施設!E:E)=0,_xlfn.IFS(H384&lt;=5,0,H384&lt;=10,1,H384&lt;=15,2,H384&gt;=16,3),"Null"),"-")</f>
        <v>0</v>
      </c>
      <c r="K384" s="61"/>
      <c r="L384" s="1">
        <v>2317901200</v>
      </c>
    </row>
    <row r="385" spans="1:12" ht="18" customHeight="1" x14ac:dyDescent="0.45">
      <c r="A385" s="8">
        <v>379</v>
      </c>
      <c r="B385" s="35" t="str">
        <f t="shared" si="156"/>
        <v>東京本部</v>
      </c>
      <c r="C385" s="35" t="str">
        <f t="shared" si="156"/>
        <v>そんぽの家　大森西</v>
      </c>
      <c r="D385" s="9" t="s">
        <v>6</v>
      </c>
      <c r="E385" s="10">
        <v>3</v>
      </c>
      <c r="F385" s="12">
        <v>2</v>
      </c>
      <c r="G385" s="12">
        <v>0.7</v>
      </c>
      <c r="H385" s="10">
        <f t="shared" si="134"/>
        <v>2</v>
      </c>
      <c r="I385" s="38"/>
      <c r="J385" s="19" cm="1">
        <f t="array" ref="J385">IFERROR(IF(_xlfn.XLOOKUP(L385,NC導入施設!B:B,NC導入施設!E:E)=0,_xlfn.IFS(H385&lt;=5,0,H385&lt;=10,1,H385&lt;=15,2,H385&gt;=16,3),"Null"),"-")</f>
        <v>0</v>
      </c>
      <c r="K385" s="61"/>
      <c r="L385" s="1">
        <v>2317901200</v>
      </c>
    </row>
    <row r="386" spans="1:12" ht="18" customHeight="1" x14ac:dyDescent="0.45">
      <c r="A386" s="8">
        <v>380</v>
      </c>
      <c r="B386" s="36" t="str">
        <f t="shared" si="156"/>
        <v>東京本部</v>
      </c>
      <c r="C386" s="36" t="str">
        <f t="shared" si="156"/>
        <v>そんぽの家　大森西</v>
      </c>
      <c r="D386" s="9" t="s">
        <v>2</v>
      </c>
      <c r="E386" s="10">
        <v>2</v>
      </c>
      <c r="F386" s="12">
        <v>2</v>
      </c>
      <c r="G386" s="12">
        <v>1</v>
      </c>
      <c r="H386" s="10">
        <f t="shared" si="134"/>
        <v>2</v>
      </c>
      <c r="I386" s="39"/>
      <c r="J386" s="19" cm="1">
        <f t="array" ref="J386">IFERROR(IF(_xlfn.XLOOKUP(L386,NC導入施設!B:B,NC導入施設!E:E)=0,_xlfn.IFS(H386&lt;=5,0,H386&lt;=10,1,H386&lt;=15,2,H386&gt;=16,3),"Null"),"-")</f>
        <v>0</v>
      </c>
      <c r="K386" s="62"/>
      <c r="L386" s="1">
        <v>2317901200</v>
      </c>
    </row>
    <row r="387" spans="1:12" ht="18" customHeight="1" x14ac:dyDescent="0.45">
      <c r="A387" s="13">
        <v>381</v>
      </c>
      <c r="B387" s="40" t="s">
        <v>8</v>
      </c>
      <c r="C387" s="40" t="s">
        <v>225</v>
      </c>
      <c r="D387" s="14" t="s">
        <v>3</v>
      </c>
      <c r="E387" s="15">
        <v>1</v>
      </c>
      <c r="F387" s="17">
        <v>0</v>
      </c>
      <c r="G387" s="17">
        <v>0</v>
      </c>
      <c r="H387" s="15">
        <f t="shared" si="134"/>
        <v>0</v>
      </c>
      <c r="I387" s="43" t="str" cm="1">
        <f t="array" ref="I387">IF(J387="-","-",_xlfn.IFS(K387&lt;=5,0,K387&lt;=10,1,K387&lt;=15,2,K387&gt;=16,3))</f>
        <v>-</v>
      </c>
      <c r="J387" s="19" t="str" cm="1">
        <f t="array" ref="J387">IFERROR(IF(_xlfn.XLOOKUP(L387,NC導入施設!B:B,NC導入施設!E:E)=0,_xlfn.IFS(H387&lt;=5,0,H387&lt;=10,1,H387&lt;=15,2,H387&gt;=16,3),"Null"),"-")</f>
        <v>-</v>
      </c>
      <c r="K387" s="60">
        <f t="shared" ref="K387" si="157">IFERROR(SUM(H387:H391),"-")</f>
        <v>0</v>
      </c>
      <c r="L387" s="1">
        <v>2317941100</v>
      </c>
    </row>
    <row r="388" spans="1:12" ht="18" customHeight="1" x14ac:dyDescent="0.45">
      <c r="A388" s="13">
        <v>382</v>
      </c>
      <c r="B388" s="41" t="str">
        <f t="shared" ref="B388:C391" si="158">B387</f>
        <v>東京本部</v>
      </c>
      <c r="C388" s="41" t="str">
        <f t="shared" si="158"/>
        <v>ラヴィーレグラン四谷</v>
      </c>
      <c r="D388" s="14" t="s">
        <v>4</v>
      </c>
      <c r="E388" s="15">
        <v>1</v>
      </c>
      <c r="F388" s="17">
        <v>0</v>
      </c>
      <c r="G388" s="17">
        <v>0</v>
      </c>
      <c r="H388" s="15">
        <f t="shared" si="134"/>
        <v>0</v>
      </c>
      <c r="I388" s="44"/>
      <c r="J388" s="19" t="str" cm="1">
        <f t="array" ref="J388">IFERROR(IF(_xlfn.XLOOKUP(L388,NC導入施設!B:B,NC導入施設!E:E)=0,_xlfn.IFS(H388&lt;=5,0,H388&lt;=10,1,H388&lt;=15,2,H388&gt;=16,3),"Null"),"-")</f>
        <v>-</v>
      </c>
      <c r="K388" s="61"/>
      <c r="L388" s="1">
        <v>2317941100</v>
      </c>
    </row>
    <row r="389" spans="1:12" ht="18" customHeight="1" x14ac:dyDescent="0.45">
      <c r="A389" s="13">
        <v>383</v>
      </c>
      <c r="B389" s="41" t="str">
        <f t="shared" si="158"/>
        <v>東京本部</v>
      </c>
      <c r="C389" s="41" t="str">
        <f t="shared" si="158"/>
        <v>ラヴィーレグラン四谷</v>
      </c>
      <c r="D389" s="14" t="s">
        <v>5</v>
      </c>
      <c r="E389" s="15">
        <v>1</v>
      </c>
      <c r="F389" s="17">
        <v>0</v>
      </c>
      <c r="G389" s="17">
        <v>0</v>
      </c>
      <c r="H389" s="15">
        <f t="shared" si="134"/>
        <v>0</v>
      </c>
      <c r="I389" s="44"/>
      <c r="J389" s="19" t="str" cm="1">
        <f t="array" ref="J389">IFERROR(IF(_xlfn.XLOOKUP(L389,NC導入施設!B:B,NC導入施設!E:E)=0,_xlfn.IFS(H389&lt;=5,0,H389&lt;=10,1,H389&lt;=15,2,H389&gt;=16,3),"Null"),"-")</f>
        <v>-</v>
      </c>
      <c r="K389" s="61"/>
      <c r="L389" s="1">
        <v>2317941100</v>
      </c>
    </row>
    <row r="390" spans="1:12" ht="18" customHeight="1" x14ac:dyDescent="0.45">
      <c r="A390" s="13">
        <v>384</v>
      </c>
      <c r="B390" s="41" t="str">
        <f t="shared" si="158"/>
        <v>東京本部</v>
      </c>
      <c r="C390" s="41" t="str">
        <f t="shared" si="158"/>
        <v>ラヴィーレグラン四谷</v>
      </c>
      <c r="D390" s="14" t="s">
        <v>6</v>
      </c>
      <c r="E390" s="15">
        <v>4</v>
      </c>
      <c r="F390" s="17">
        <v>0</v>
      </c>
      <c r="G390" s="17">
        <v>0</v>
      </c>
      <c r="H390" s="15">
        <f t="shared" si="134"/>
        <v>0</v>
      </c>
      <c r="I390" s="44"/>
      <c r="J390" s="19" t="str" cm="1">
        <f t="array" ref="J390">IFERROR(IF(_xlfn.XLOOKUP(L390,NC導入施設!B:B,NC導入施設!E:E)=0,_xlfn.IFS(H390&lt;=5,0,H390&lt;=10,1,H390&lt;=15,2,H390&gt;=16,3),"Null"),"-")</f>
        <v>-</v>
      </c>
      <c r="K390" s="61"/>
      <c r="L390" s="1">
        <v>2317941100</v>
      </c>
    </row>
    <row r="391" spans="1:12" ht="18" customHeight="1" x14ac:dyDescent="0.45">
      <c r="A391" s="13">
        <v>385</v>
      </c>
      <c r="B391" s="42" t="str">
        <f t="shared" si="158"/>
        <v>東京本部</v>
      </c>
      <c r="C391" s="42" t="str">
        <f t="shared" si="158"/>
        <v>ラヴィーレグラン四谷</v>
      </c>
      <c r="D391" s="14" t="s">
        <v>2</v>
      </c>
      <c r="E391" s="15">
        <v>1</v>
      </c>
      <c r="F391" s="17">
        <v>0</v>
      </c>
      <c r="G391" s="17">
        <v>0</v>
      </c>
      <c r="H391" s="15">
        <f t="shared" si="134"/>
        <v>0</v>
      </c>
      <c r="I391" s="45"/>
      <c r="J391" s="19" t="str" cm="1">
        <f t="array" ref="J391">IFERROR(IF(_xlfn.XLOOKUP(L391,NC導入施設!B:B,NC導入施設!E:E)=0,_xlfn.IFS(H391&lt;=5,0,H391&lt;=10,1,H391&lt;=15,2,H391&gt;=16,3),"Null"),"-")</f>
        <v>-</v>
      </c>
      <c r="K391" s="62"/>
      <c r="L391" s="1">
        <v>2317941100</v>
      </c>
    </row>
    <row r="392" spans="1:12" ht="18" customHeight="1" x14ac:dyDescent="0.45">
      <c r="A392" s="8">
        <v>386</v>
      </c>
      <c r="B392" s="34" t="s">
        <v>8</v>
      </c>
      <c r="C392" s="34" t="s">
        <v>226</v>
      </c>
      <c r="D392" s="9" t="s">
        <v>3</v>
      </c>
      <c r="E392" s="10">
        <v>1</v>
      </c>
      <c r="F392" s="12">
        <v>0</v>
      </c>
      <c r="G392" s="12">
        <v>0</v>
      </c>
      <c r="H392" s="10">
        <f t="shared" ref="H392:H455" si="159">F392</f>
        <v>0</v>
      </c>
      <c r="I392" s="37" t="str" cm="1">
        <f t="array" ref="I392">IF(J392="-","-",_xlfn.IFS(K392&lt;=5,0,K392&lt;=10,1,K392&lt;=15,2,K392&gt;=16,3))</f>
        <v>-</v>
      </c>
      <c r="J392" s="19" t="str" cm="1">
        <f t="array" ref="J392">IFERROR(IF(_xlfn.XLOOKUP(L392,NC導入施設!B:B,NC導入施設!E:E)=0,_xlfn.IFS(H392&lt;=5,0,H392&lt;=10,1,H392&lt;=15,2,H392&gt;=16,3),"Null"),"-")</f>
        <v>-</v>
      </c>
      <c r="K392" s="60">
        <f t="shared" ref="K392" si="160">IFERROR(SUM(H392:H396),"-")</f>
        <v>2</v>
      </c>
      <c r="L392" s="1">
        <v>2317951600</v>
      </c>
    </row>
    <row r="393" spans="1:12" ht="18" customHeight="1" x14ac:dyDescent="0.45">
      <c r="A393" s="8">
        <v>387</v>
      </c>
      <c r="B393" s="35" t="str">
        <f t="shared" ref="B393:C396" si="161">B392</f>
        <v>東京本部</v>
      </c>
      <c r="C393" s="35" t="str">
        <f t="shared" si="161"/>
        <v>ラヴィーレ東池袋</v>
      </c>
      <c r="D393" s="9" t="s">
        <v>4</v>
      </c>
      <c r="E393" s="10">
        <v>1</v>
      </c>
      <c r="F393" s="12">
        <v>1</v>
      </c>
      <c r="G393" s="12">
        <v>1</v>
      </c>
      <c r="H393" s="10">
        <f t="shared" si="159"/>
        <v>1</v>
      </c>
      <c r="I393" s="38"/>
      <c r="J393" s="19" t="str" cm="1">
        <f t="array" ref="J393">IFERROR(IF(_xlfn.XLOOKUP(L393,NC導入施設!B:B,NC導入施設!E:E)=0,_xlfn.IFS(H393&lt;=5,0,H393&lt;=10,1,H393&lt;=15,2,H393&gt;=16,3),"Null"),"-")</f>
        <v>-</v>
      </c>
      <c r="K393" s="61"/>
      <c r="L393" s="1">
        <v>2317951600</v>
      </c>
    </row>
    <row r="394" spans="1:12" ht="18" customHeight="1" x14ac:dyDescent="0.45">
      <c r="A394" s="8">
        <v>388</v>
      </c>
      <c r="B394" s="35" t="str">
        <f t="shared" si="161"/>
        <v>東京本部</v>
      </c>
      <c r="C394" s="35" t="str">
        <f t="shared" si="161"/>
        <v>ラヴィーレ東池袋</v>
      </c>
      <c r="D394" s="9" t="s">
        <v>5</v>
      </c>
      <c r="E394" s="10">
        <v>1</v>
      </c>
      <c r="F394" s="12">
        <v>1</v>
      </c>
      <c r="G394" s="12">
        <v>1</v>
      </c>
      <c r="H394" s="10">
        <f t="shared" si="159"/>
        <v>1</v>
      </c>
      <c r="I394" s="38"/>
      <c r="J394" s="19" t="str" cm="1">
        <f t="array" ref="J394">IFERROR(IF(_xlfn.XLOOKUP(L394,NC導入施設!B:B,NC導入施設!E:E)=0,_xlfn.IFS(H394&lt;=5,0,H394&lt;=10,1,H394&lt;=15,2,H394&gt;=16,3),"Null"),"-")</f>
        <v>-</v>
      </c>
      <c r="K394" s="61"/>
      <c r="L394" s="1">
        <v>2317951600</v>
      </c>
    </row>
    <row r="395" spans="1:12" ht="18" customHeight="1" x14ac:dyDescent="0.45">
      <c r="A395" s="8">
        <v>389</v>
      </c>
      <c r="B395" s="35" t="str">
        <f t="shared" si="161"/>
        <v>東京本部</v>
      </c>
      <c r="C395" s="35" t="str">
        <f t="shared" si="161"/>
        <v>ラヴィーレ東池袋</v>
      </c>
      <c r="D395" s="9" t="s">
        <v>6</v>
      </c>
      <c r="E395" s="10">
        <v>3</v>
      </c>
      <c r="F395" s="12">
        <v>0</v>
      </c>
      <c r="G395" s="12">
        <v>0</v>
      </c>
      <c r="H395" s="10">
        <f t="shared" si="159"/>
        <v>0</v>
      </c>
      <c r="I395" s="38"/>
      <c r="J395" s="19" t="str" cm="1">
        <f t="array" ref="J395">IFERROR(IF(_xlfn.XLOOKUP(L395,NC導入施設!B:B,NC導入施設!E:E)=0,_xlfn.IFS(H395&lt;=5,0,H395&lt;=10,1,H395&lt;=15,2,H395&gt;=16,3),"Null"),"-")</f>
        <v>-</v>
      </c>
      <c r="K395" s="61"/>
      <c r="L395" s="1">
        <v>2317951600</v>
      </c>
    </row>
    <row r="396" spans="1:12" ht="18" customHeight="1" x14ac:dyDescent="0.45">
      <c r="A396" s="8">
        <v>390</v>
      </c>
      <c r="B396" s="36" t="str">
        <f t="shared" si="161"/>
        <v>東京本部</v>
      </c>
      <c r="C396" s="36" t="str">
        <f t="shared" si="161"/>
        <v>ラヴィーレ東池袋</v>
      </c>
      <c r="D396" s="9" t="s">
        <v>2</v>
      </c>
      <c r="E396" s="10">
        <v>1</v>
      </c>
      <c r="F396" s="12">
        <v>0</v>
      </c>
      <c r="G396" s="12">
        <v>0</v>
      </c>
      <c r="H396" s="10">
        <f t="shared" si="159"/>
        <v>0</v>
      </c>
      <c r="I396" s="39"/>
      <c r="J396" s="19" t="str" cm="1">
        <f t="array" ref="J396">IFERROR(IF(_xlfn.XLOOKUP(L396,NC導入施設!B:B,NC導入施設!E:E)=0,_xlfn.IFS(H396&lt;=5,0,H396&lt;=10,1,H396&lt;=15,2,H396&gt;=16,3),"Null"),"-")</f>
        <v>-</v>
      </c>
      <c r="K396" s="62"/>
      <c r="L396" s="1">
        <v>2317951600</v>
      </c>
    </row>
    <row r="397" spans="1:12" ht="18" customHeight="1" x14ac:dyDescent="0.45">
      <c r="A397" s="13">
        <v>391</v>
      </c>
      <c r="B397" s="40" t="s">
        <v>8</v>
      </c>
      <c r="C397" s="40" t="s">
        <v>172</v>
      </c>
      <c r="D397" s="14" t="s">
        <v>3</v>
      </c>
      <c r="E397" s="15">
        <v>1</v>
      </c>
      <c r="F397" s="17">
        <v>0</v>
      </c>
      <c r="G397" s="17">
        <v>0</v>
      </c>
      <c r="H397" s="15">
        <f t="shared" si="159"/>
        <v>0</v>
      </c>
      <c r="I397" s="43" t="str" cm="1">
        <f t="array" ref="I397">IF(J397="-","-",_xlfn.IFS(K397&lt;=5,0,K397&lt;=10,1,K397&lt;=15,2,K397&gt;=16,3))</f>
        <v>-</v>
      </c>
      <c r="J397" s="19" t="str" cm="1">
        <f t="array" ref="J397">IFERROR(IF(_xlfn.XLOOKUP(L397,NC導入施設!B:B,NC導入施設!E:E)=0,_xlfn.IFS(H397&lt;=5,0,H397&lt;=10,1,H397&lt;=15,2,H397&gt;=16,3),"Null"),"-")</f>
        <v>-</v>
      </c>
      <c r="K397" s="60">
        <f t="shared" ref="K397" si="162">IFERROR(SUM(H397:H401),"-")</f>
        <v>6</v>
      </c>
      <c r="L397" s="1">
        <v>2318281100</v>
      </c>
    </row>
    <row r="398" spans="1:12" ht="18" customHeight="1" x14ac:dyDescent="0.45">
      <c r="A398" s="13">
        <v>392</v>
      </c>
      <c r="B398" s="41" t="str">
        <f t="shared" ref="B398:C401" si="163">B397</f>
        <v>東京本部</v>
      </c>
      <c r="C398" s="41" t="str">
        <f t="shared" si="163"/>
        <v>そんぽの家　練馬</v>
      </c>
      <c r="D398" s="14" t="s">
        <v>4</v>
      </c>
      <c r="E398" s="15">
        <v>1</v>
      </c>
      <c r="F398" s="17">
        <v>0</v>
      </c>
      <c r="G398" s="17">
        <v>0</v>
      </c>
      <c r="H398" s="15">
        <f t="shared" si="159"/>
        <v>0</v>
      </c>
      <c r="I398" s="44"/>
      <c r="J398" s="19" t="str" cm="1">
        <f t="array" ref="J398">IFERROR(IF(_xlfn.XLOOKUP(L398,NC導入施設!B:B,NC導入施設!E:E)=0,_xlfn.IFS(H398&lt;=5,0,H398&lt;=10,1,H398&lt;=15,2,H398&gt;=16,3),"Null"),"-")</f>
        <v>-</v>
      </c>
      <c r="K398" s="61"/>
      <c r="L398" s="1">
        <v>2318281100</v>
      </c>
    </row>
    <row r="399" spans="1:12" ht="18" customHeight="1" x14ac:dyDescent="0.45">
      <c r="A399" s="13">
        <v>393</v>
      </c>
      <c r="B399" s="41" t="str">
        <f t="shared" si="163"/>
        <v>東京本部</v>
      </c>
      <c r="C399" s="41" t="str">
        <f t="shared" si="163"/>
        <v>そんぽの家　練馬</v>
      </c>
      <c r="D399" s="14" t="s">
        <v>5</v>
      </c>
      <c r="E399" s="15">
        <v>1</v>
      </c>
      <c r="F399" s="17">
        <v>0</v>
      </c>
      <c r="G399" s="17">
        <v>0</v>
      </c>
      <c r="H399" s="15">
        <f t="shared" si="159"/>
        <v>0</v>
      </c>
      <c r="I399" s="44"/>
      <c r="J399" s="19" t="str" cm="1">
        <f t="array" ref="J399">IFERROR(IF(_xlfn.XLOOKUP(L399,NC導入施設!B:B,NC導入施設!E:E)=0,_xlfn.IFS(H399&lt;=5,0,H399&lt;=10,1,H399&lt;=15,2,H399&gt;=16,3),"Null"),"-")</f>
        <v>-</v>
      </c>
      <c r="K399" s="61"/>
      <c r="L399" s="1">
        <v>2318281100</v>
      </c>
    </row>
    <row r="400" spans="1:12" ht="18" customHeight="1" x14ac:dyDescent="0.45">
      <c r="A400" s="13">
        <v>394</v>
      </c>
      <c r="B400" s="41" t="str">
        <f t="shared" si="163"/>
        <v>東京本部</v>
      </c>
      <c r="C400" s="41" t="str">
        <f t="shared" si="163"/>
        <v>そんぽの家　練馬</v>
      </c>
      <c r="D400" s="14" t="s">
        <v>6</v>
      </c>
      <c r="E400" s="15">
        <v>10</v>
      </c>
      <c r="F400" s="17">
        <v>0</v>
      </c>
      <c r="G400" s="17">
        <v>0</v>
      </c>
      <c r="H400" s="15">
        <f t="shared" si="159"/>
        <v>0</v>
      </c>
      <c r="I400" s="44"/>
      <c r="J400" s="19" t="str" cm="1">
        <f t="array" ref="J400">IFERROR(IF(_xlfn.XLOOKUP(L400,NC導入施設!B:B,NC導入施設!E:E)=0,_xlfn.IFS(H400&lt;=5,0,H400&lt;=10,1,H400&lt;=15,2,H400&gt;=16,3),"Null"),"-")</f>
        <v>-</v>
      </c>
      <c r="K400" s="61"/>
      <c r="L400" s="1">
        <v>2318281100</v>
      </c>
    </row>
    <row r="401" spans="1:12" ht="18" customHeight="1" x14ac:dyDescent="0.45">
      <c r="A401" s="13">
        <v>395</v>
      </c>
      <c r="B401" s="42" t="str">
        <f t="shared" si="163"/>
        <v>東京本部</v>
      </c>
      <c r="C401" s="42" t="str">
        <f t="shared" si="163"/>
        <v>そんぽの家　練馬</v>
      </c>
      <c r="D401" s="14" t="s">
        <v>2</v>
      </c>
      <c r="E401" s="15">
        <v>2</v>
      </c>
      <c r="F401" s="17">
        <v>6</v>
      </c>
      <c r="G401" s="17">
        <v>3</v>
      </c>
      <c r="H401" s="15">
        <f t="shared" si="159"/>
        <v>6</v>
      </c>
      <c r="I401" s="45"/>
      <c r="J401" s="19" t="str" cm="1">
        <f t="array" ref="J401">IFERROR(IF(_xlfn.XLOOKUP(L401,NC導入施設!B:B,NC導入施設!E:E)=0,_xlfn.IFS(H401&lt;=5,0,H401&lt;=10,1,H401&lt;=15,2,H401&gt;=16,3),"Null"),"-")</f>
        <v>-</v>
      </c>
      <c r="K401" s="62"/>
      <c r="L401" s="1">
        <v>2318281100</v>
      </c>
    </row>
    <row r="402" spans="1:12" ht="18" customHeight="1" x14ac:dyDescent="0.45">
      <c r="A402" s="8">
        <v>396</v>
      </c>
      <c r="B402" s="34" t="s">
        <v>8</v>
      </c>
      <c r="C402" s="34" t="s">
        <v>227</v>
      </c>
      <c r="D402" s="9" t="s">
        <v>3</v>
      </c>
      <c r="E402" s="10">
        <v>1</v>
      </c>
      <c r="F402" s="12">
        <v>0</v>
      </c>
      <c r="G402" s="12">
        <v>0</v>
      </c>
      <c r="H402" s="10">
        <f t="shared" si="159"/>
        <v>0</v>
      </c>
      <c r="I402" s="37" t="str" cm="1">
        <f t="array" ref="I402">IF(J402="-","-",_xlfn.IFS(K402&lt;=5,0,K402&lt;=10,1,K402&lt;=15,2,K402&gt;=16,3))</f>
        <v>-</v>
      </c>
      <c r="J402" s="19" t="str" cm="1">
        <f t="array" ref="J402">IFERROR(IF(_xlfn.XLOOKUP(L402,NC導入施設!B:B,NC導入施設!E:E)=0,_xlfn.IFS(H402&lt;=5,0,H402&lt;=10,1,H402&lt;=15,2,H402&gt;=16,3),"Null"),"-")</f>
        <v>-</v>
      </c>
      <c r="K402" s="60">
        <f t="shared" ref="K402" si="164">IFERROR(SUM(H402:H406),"-")</f>
        <v>1</v>
      </c>
      <c r="L402" s="1">
        <v>2318301100</v>
      </c>
    </row>
    <row r="403" spans="1:12" ht="18" customHeight="1" x14ac:dyDescent="0.45">
      <c r="A403" s="8">
        <v>397</v>
      </c>
      <c r="B403" s="35" t="str">
        <f t="shared" ref="B403:C406" si="165">B402</f>
        <v>東京本部</v>
      </c>
      <c r="C403" s="35" t="str">
        <f t="shared" si="165"/>
        <v>ラヴィーレ本郷</v>
      </c>
      <c r="D403" s="9" t="s">
        <v>4</v>
      </c>
      <c r="E403" s="10">
        <v>1</v>
      </c>
      <c r="F403" s="12">
        <v>0</v>
      </c>
      <c r="G403" s="12">
        <v>0</v>
      </c>
      <c r="H403" s="10">
        <f t="shared" si="159"/>
        <v>0</v>
      </c>
      <c r="I403" s="38"/>
      <c r="J403" s="19" t="str" cm="1">
        <f t="array" ref="J403">IFERROR(IF(_xlfn.XLOOKUP(L403,NC導入施設!B:B,NC導入施設!E:E)=0,_xlfn.IFS(H403&lt;=5,0,H403&lt;=10,1,H403&lt;=15,2,H403&gt;=16,3),"Null"),"-")</f>
        <v>-</v>
      </c>
      <c r="K403" s="61"/>
      <c r="L403" s="1">
        <v>2318301100</v>
      </c>
    </row>
    <row r="404" spans="1:12" ht="18" customHeight="1" x14ac:dyDescent="0.45">
      <c r="A404" s="8">
        <v>398</v>
      </c>
      <c r="B404" s="35" t="str">
        <f t="shared" si="165"/>
        <v>東京本部</v>
      </c>
      <c r="C404" s="35" t="str">
        <f t="shared" si="165"/>
        <v>ラヴィーレ本郷</v>
      </c>
      <c r="D404" s="9" t="s">
        <v>5</v>
      </c>
      <c r="E404" s="10">
        <v>2</v>
      </c>
      <c r="F404" s="12">
        <v>0</v>
      </c>
      <c r="G404" s="12">
        <v>0</v>
      </c>
      <c r="H404" s="10">
        <f t="shared" si="159"/>
        <v>0</v>
      </c>
      <c r="I404" s="38"/>
      <c r="J404" s="19" t="str" cm="1">
        <f t="array" ref="J404">IFERROR(IF(_xlfn.XLOOKUP(L404,NC導入施設!B:B,NC導入施設!E:E)=0,_xlfn.IFS(H404&lt;=5,0,H404&lt;=10,1,H404&lt;=15,2,H404&gt;=16,3),"Null"),"-")</f>
        <v>-</v>
      </c>
      <c r="K404" s="61"/>
      <c r="L404" s="1">
        <v>2318301100</v>
      </c>
    </row>
    <row r="405" spans="1:12" ht="18" customHeight="1" x14ac:dyDescent="0.45">
      <c r="A405" s="8">
        <v>399</v>
      </c>
      <c r="B405" s="35" t="str">
        <f t="shared" si="165"/>
        <v>東京本部</v>
      </c>
      <c r="C405" s="35" t="str">
        <f t="shared" si="165"/>
        <v>ラヴィーレ本郷</v>
      </c>
      <c r="D405" s="9" t="s">
        <v>6</v>
      </c>
      <c r="E405" s="10">
        <v>9</v>
      </c>
      <c r="F405" s="12">
        <v>0</v>
      </c>
      <c r="G405" s="12">
        <v>0</v>
      </c>
      <c r="H405" s="10">
        <f t="shared" si="159"/>
        <v>0</v>
      </c>
      <c r="I405" s="38"/>
      <c r="J405" s="19" t="str" cm="1">
        <f t="array" ref="J405">IFERROR(IF(_xlfn.XLOOKUP(L405,NC導入施設!B:B,NC導入施設!E:E)=0,_xlfn.IFS(H405&lt;=5,0,H405&lt;=10,1,H405&lt;=15,2,H405&gt;=16,3),"Null"),"-")</f>
        <v>-</v>
      </c>
      <c r="K405" s="61"/>
      <c r="L405" s="1">
        <v>2318301100</v>
      </c>
    </row>
    <row r="406" spans="1:12" ht="18" customHeight="1" x14ac:dyDescent="0.45">
      <c r="A406" s="8">
        <v>400</v>
      </c>
      <c r="B406" s="36" t="str">
        <f t="shared" si="165"/>
        <v>東京本部</v>
      </c>
      <c r="C406" s="36" t="str">
        <f t="shared" si="165"/>
        <v>ラヴィーレ本郷</v>
      </c>
      <c r="D406" s="9" t="s">
        <v>2</v>
      </c>
      <c r="E406" s="10">
        <v>3</v>
      </c>
      <c r="F406" s="12">
        <v>1</v>
      </c>
      <c r="G406" s="12">
        <v>0.3</v>
      </c>
      <c r="H406" s="10">
        <f t="shared" si="159"/>
        <v>1</v>
      </c>
      <c r="I406" s="39"/>
      <c r="J406" s="19" t="str" cm="1">
        <f t="array" ref="J406">IFERROR(IF(_xlfn.XLOOKUP(L406,NC導入施設!B:B,NC導入施設!E:E)=0,_xlfn.IFS(H406&lt;=5,0,H406&lt;=10,1,H406&lt;=15,2,H406&gt;=16,3),"Null"),"-")</f>
        <v>-</v>
      </c>
      <c r="K406" s="62"/>
      <c r="L406" s="1">
        <v>2318301100</v>
      </c>
    </row>
    <row r="407" spans="1:12" ht="18" customHeight="1" x14ac:dyDescent="0.45">
      <c r="A407" s="13">
        <v>401</v>
      </c>
      <c r="B407" s="40" t="s">
        <v>8</v>
      </c>
      <c r="C407" s="40" t="s">
        <v>447</v>
      </c>
      <c r="D407" s="14" t="s">
        <v>3</v>
      </c>
      <c r="E407" s="15">
        <v>1</v>
      </c>
      <c r="F407" s="17">
        <v>0</v>
      </c>
      <c r="G407" s="17">
        <v>0</v>
      </c>
      <c r="H407" s="15">
        <f t="shared" si="159"/>
        <v>0</v>
      </c>
      <c r="I407" s="43" cm="1">
        <f t="array" ref="I407">IF(J407="-","-",_xlfn.IFS(K407&lt;=5,0,K407&lt;=10,1,K407&lt;=15,2,K407&gt;=16,3))</f>
        <v>0</v>
      </c>
      <c r="J407" s="19" cm="1">
        <f t="array" ref="J407">IFERROR(IF(_xlfn.XLOOKUP(L407,NC導入施設!B:B,NC導入施設!E:E)=0,_xlfn.IFS(H407&lt;=5,0,H407&lt;=10,1,H407&lt;=15,2,H407&gt;=16,3),"Null"),"-")</f>
        <v>0</v>
      </c>
      <c r="K407" s="60">
        <f t="shared" ref="K407" si="166">IFERROR(SUM(H407:H411),"-")</f>
        <v>0</v>
      </c>
      <c r="L407" s="1">
        <v>2318481100</v>
      </c>
    </row>
    <row r="408" spans="1:12" ht="18" customHeight="1" x14ac:dyDescent="0.45">
      <c r="A408" s="13">
        <v>402</v>
      </c>
      <c r="B408" s="41" t="str">
        <f t="shared" ref="B408:C411" si="167">B407</f>
        <v>東京本部</v>
      </c>
      <c r="C408" s="41" t="str">
        <f t="shared" si="167"/>
        <v>ラヴィーレ洗足池</v>
      </c>
      <c r="D408" s="14" t="s">
        <v>4</v>
      </c>
      <c r="E408" s="15">
        <v>0</v>
      </c>
      <c r="F408" s="17">
        <v>0</v>
      </c>
      <c r="G408" s="17">
        <v>0</v>
      </c>
      <c r="H408" s="15">
        <f t="shared" si="159"/>
        <v>0</v>
      </c>
      <c r="I408" s="44"/>
      <c r="J408" s="19" cm="1">
        <f t="array" ref="J408">IFERROR(IF(_xlfn.XLOOKUP(L408,NC導入施設!B:B,NC導入施設!E:E)=0,_xlfn.IFS(H408&lt;=5,0,H408&lt;=10,1,H408&lt;=15,2,H408&gt;=16,3),"Null"),"-")</f>
        <v>0</v>
      </c>
      <c r="K408" s="61"/>
      <c r="L408" s="1">
        <v>2318481100</v>
      </c>
    </row>
    <row r="409" spans="1:12" ht="18" customHeight="1" x14ac:dyDescent="0.45">
      <c r="A409" s="13">
        <v>403</v>
      </c>
      <c r="B409" s="41" t="str">
        <f t="shared" si="167"/>
        <v>東京本部</v>
      </c>
      <c r="C409" s="41" t="str">
        <f t="shared" si="167"/>
        <v>ラヴィーレ洗足池</v>
      </c>
      <c r="D409" s="14" t="s">
        <v>5</v>
      </c>
      <c r="E409" s="15">
        <v>0</v>
      </c>
      <c r="F409" s="17">
        <v>0</v>
      </c>
      <c r="G409" s="17">
        <v>0</v>
      </c>
      <c r="H409" s="15">
        <f t="shared" si="159"/>
        <v>0</v>
      </c>
      <c r="I409" s="44"/>
      <c r="J409" s="19" cm="1">
        <f t="array" ref="J409">IFERROR(IF(_xlfn.XLOOKUP(L409,NC導入施設!B:B,NC導入施設!E:E)=0,_xlfn.IFS(H409&lt;=5,0,H409&lt;=10,1,H409&lt;=15,2,H409&gt;=16,3),"Null"),"-")</f>
        <v>0</v>
      </c>
      <c r="K409" s="61"/>
      <c r="L409" s="1">
        <v>2318481100</v>
      </c>
    </row>
    <row r="410" spans="1:12" ht="18" customHeight="1" x14ac:dyDescent="0.45">
      <c r="A410" s="13">
        <v>404</v>
      </c>
      <c r="B410" s="41" t="str">
        <f t="shared" si="167"/>
        <v>東京本部</v>
      </c>
      <c r="C410" s="41" t="str">
        <f t="shared" si="167"/>
        <v>ラヴィーレ洗足池</v>
      </c>
      <c r="D410" s="14" t="s">
        <v>6</v>
      </c>
      <c r="E410" s="15">
        <v>0</v>
      </c>
      <c r="F410" s="17">
        <v>0</v>
      </c>
      <c r="G410" s="17">
        <v>0</v>
      </c>
      <c r="H410" s="15">
        <f t="shared" si="159"/>
        <v>0</v>
      </c>
      <c r="I410" s="44"/>
      <c r="J410" s="19" cm="1">
        <f t="array" ref="J410">IFERROR(IF(_xlfn.XLOOKUP(L410,NC導入施設!B:B,NC導入施設!E:E)=0,_xlfn.IFS(H410&lt;=5,0,H410&lt;=10,1,H410&lt;=15,2,H410&gt;=16,3),"Null"),"-")</f>
        <v>0</v>
      </c>
      <c r="K410" s="61"/>
      <c r="L410" s="1">
        <v>2318481100</v>
      </c>
    </row>
    <row r="411" spans="1:12" ht="18" customHeight="1" x14ac:dyDescent="0.45">
      <c r="A411" s="13">
        <v>405</v>
      </c>
      <c r="B411" s="42" t="str">
        <f t="shared" si="167"/>
        <v>東京本部</v>
      </c>
      <c r="C411" s="42" t="str">
        <f t="shared" si="167"/>
        <v>ラヴィーレ洗足池</v>
      </c>
      <c r="D411" s="14" t="s">
        <v>2</v>
      </c>
      <c r="E411" s="15">
        <v>0</v>
      </c>
      <c r="F411" s="17">
        <v>0</v>
      </c>
      <c r="G411" s="17">
        <v>0</v>
      </c>
      <c r="H411" s="15">
        <f t="shared" si="159"/>
        <v>0</v>
      </c>
      <c r="I411" s="45"/>
      <c r="J411" s="19" cm="1">
        <f t="array" ref="J411">IFERROR(IF(_xlfn.XLOOKUP(L411,NC導入施設!B:B,NC導入施設!E:E)=0,_xlfn.IFS(H411&lt;=5,0,H411&lt;=10,1,H411&lt;=15,2,H411&gt;=16,3),"Null"),"-")</f>
        <v>0</v>
      </c>
      <c r="K411" s="62"/>
      <c r="L411" s="1">
        <v>2318481100</v>
      </c>
    </row>
    <row r="412" spans="1:12" ht="18" customHeight="1" x14ac:dyDescent="0.45">
      <c r="A412" s="8">
        <v>406</v>
      </c>
      <c r="B412" s="34" t="s">
        <v>48</v>
      </c>
      <c r="C412" s="34" t="s">
        <v>228</v>
      </c>
      <c r="D412" s="9" t="s">
        <v>3</v>
      </c>
      <c r="E412" s="10">
        <v>1</v>
      </c>
      <c r="F412" s="12">
        <v>3</v>
      </c>
      <c r="G412" s="12">
        <v>3</v>
      </c>
      <c r="H412" s="10">
        <f t="shared" si="159"/>
        <v>3</v>
      </c>
      <c r="I412" s="37" cm="1">
        <f t="array" ref="I412">IF(J412="-","-",_xlfn.IFS(K412&lt;=5,0,K412&lt;=10,1,K412&lt;=15,2,K412&gt;=16,3))</f>
        <v>3</v>
      </c>
      <c r="J412" s="19" cm="1">
        <f t="array" ref="J412">IFERROR(IF(_xlfn.XLOOKUP(L412,NC導入施設!B:B,NC導入施設!E:E)=0,_xlfn.IFS(H412&lt;=5,0,H412&lt;=10,1,H412&lt;=15,2,H412&gt;=16,3),"Null"),"-")</f>
        <v>0</v>
      </c>
      <c r="K412" s="60">
        <f t="shared" ref="K412" si="168">IFERROR(SUM(H412:H416),"-")</f>
        <v>28</v>
      </c>
      <c r="L412" s="1">
        <v>2414621100</v>
      </c>
    </row>
    <row r="413" spans="1:12" ht="18" customHeight="1" x14ac:dyDescent="0.45">
      <c r="A413" s="8">
        <v>407</v>
      </c>
      <c r="B413" s="35" t="str">
        <f t="shared" ref="B413:C416" si="169">B412</f>
        <v>神奈川静岡本部</v>
      </c>
      <c r="C413" s="35" t="str">
        <f t="shared" si="169"/>
        <v>ラヴィーレ戸塚</v>
      </c>
      <c r="D413" s="9" t="s">
        <v>4</v>
      </c>
      <c r="E413" s="10">
        <v>2</v>
      </c>
      <c r="F413" s="12">
        <v>23</v>
      </c>
      <c r="G413" s="12">
        <v>11.5</v>
      </c>
      <c r="H413" s="10">
        <f t="shared" si="159"/>
        <v>23</v>
      </c>
      <c r="I413" s="38"/>
      <c r="J413" s="19" cm="1">
        <f t="array" ref="J413">IFERROR(IF(_xlfn.XLOOKUP(L413,NC導入施設!B:B,NC導入施設!E:E)=0,_xlfn.IFS(H413&lt;=5,0,H413&lt;=10,1,H413&lt;=15,2,H413&gt;=16,3),"Null"),"-")</f>
        <v>3</v>
      </c>
      <c r="K413" s="61"/>
      <c r="L413" s="1">
        <v>2414621100</v>
      </c>
    </row>
    <row r="414" spans="1:12" ht="18" customHeight="1" x14ac:dyDescent="0.45">
      <c r="A414" s="8">
        <v>408</v>
      </c>
      <c r="B414" s="35" t="str">
        <f t="shared" si="169"/>
        <v>神奈川静岡本部</v>
      </c>
      <c r="C414" s="35" t="str">
        <f t="shared" si="169"/>
        <v>ラヴィーレ戸塚</v>
      </c>
      <c r="D414" s="9" t="s">
        <v>5</v>
      </c>
      <c r="E414" s="10">
        <v>2</v>
      </c>
      <c r="F414" s="12">
        <v>0</v>
      </c>
      <c r="G414" s="12">
        <v>0</v>
      </c>
      <c r="H414" s="10">
        <f t="shared" si="159"/>
        <v>0</v>
      </c>
      <c r="I414" s="38"/>
      <c r="J414" s="19" cm="1">
        <f t="array" ref="J414">IFERROR(IF(_xlfn.XLOOKUP(L414,NC導入施設!B:B,NC導入施設!E:E)=0,_xlfn.IFS(H414&lt;=5,0,H414&lt;=10,1,H414&lt;=15,2,H414&gt;=16,3),"Null"),"-")</f>
        <v>0</v>
      </c>
      <c r="K414" s="61"/>
      <c r="L414" s="1">
        <v>2414621100</v>
      </c>
    </row>
    <row r="415" spans="1:12" ht="18" customHeight="1" x14ac:dyDescent="0.45">
      <c r="A415" s="8">
        <v>409</v>
      </c>
      <c r="B415" s="35" t="str">
        <f t="shared" si="169"/>
        <v>神奈川静岡本部</v>
      </c>
      <c r="C415" s="35" t="str">
        <f t="shared" si="169"/>
        <v>ラヴィーレ戸塚</v>
      </c>
      <c r="D415" s="9" t="s">
        <v>6</v>
      </c>
      <c r="E415" s="10">
        <v>4</v>
      </c>
      <c r="F415" s="12">
        <v>0</v>
      </c>
      <c r="G415" s="12">
        <v>0</v>
      </c>
      <c r="H415" s="10">
        <f t="shared" si="159"/>
        <v>0</v>
      </c>
      <c r="I415" s="38"/>
      <c r="J415" s="19" cm="1">
        <f t="array" ref="J415">IFERROR(IF(_xlfn.XLOOKUP(L415,NC導入施設!B:B,NC導入施設!E:E)=0,_xlfn.IFS(H415&lt;=5,0,H415&lt;=10,1,H415&lt;=15,2,H415&gt;=16,3),"Null"),"-")</f>
        <v>0</v>
      </c>
      <c r="K415" s="61"/>
      <c r="L415" s="1">
        <v>2414621100</v>
      </c>
    </row>
    <row r="416" spans="1:12" ht="18" customHeight="1" x14ac:dyDescent="0.45">
      <c r="A416" s="8">
        <v>410</v>
      </c>
      <c r="B416" s="36" t="str">
        <f t="shared" si="169"/>
        <v>神奈川静岡本部</v>
      </c>
      <c r="C416" s="36" t="str">
        <f t="shared" si="169"/>
        <v>ラヴィーレ戸塚</v>
      </c>
      <c r="D416" s="9" t="s">
        <v>2</v>
      </c>
      <c r="E416" s="10">
        <v>1</v>
      </c>
      <c r="F416" s="12">
        <v>2</v>
      </c>
      <c r="G416" s="12">
        <v>2</v>
      </c>
      <c r="H416" s="10">
        <f t="shared" si="159"/>
        <v>2</v>
      </c>
      <c r="I416" s="39"/>
      <c r="J416" s="19" cm="1">
        <f t="array" ref="J416">IFERROR(IF(_xlfn.XLOOKUP(L416,NC導入施設!B:B,NC導入施設!E:E)=0,_xlfn.IFS(H416&lt;=5,0,H416&lt;=10,1,H416&lt;=15,2,H416&gt;=16,3),"Null"),"-")</f>
        <v>0</v>
      </c>
      <c r="K416" s="62"/>
      <c r="L416" s="1">
        <v>2414621100</v>
      </c>
    </row>
    <row r="417" spans="1:12" ht="18" customHeight="1" x14ac:dyDescent="0.45">
      <c r="A417" s="13">
        <v>411</v>
      </c>
      <c r="B417" s="40" t="s">
        <v>48</v>
      </c>
      <c r="C417" s="40" t="s">
        <v>229</v>
      </c>
      <c r="D417" s="14" t="s">
        <v>3</v>
      </c>
      <c r="E417" s="15">
        <v>1</v>
      </c>
      <c r="F417" s="17">
        <v>9</v>
      </c>
      <c r="G417" s="17">
        <v>9</v>
      </c>
      <c r="H417" s="15">
        <f t="shared" si="159"/>
        <v>9</v>
      </c>
      <c r="I417" s="43" cm="1">
        <f t="array" ref="I417">IF(J417="-","-",_xlfn.IFS(K417&lt;=5,0,K417&lt;=10,1,K417&lt;=15,2,K417&gt;=16,3))</f>
        <v>2</v>
      </c>
      <c r="J417" s="19" cm="1">
        <f t="array" ref="J417">IFERROR(IF(_xlfn.XLOOKUP(L417,NC導入施設!B:B,NC導入施設!E:E)=0,_xlfn.IFS(H417&lt;=5,0,H417&lt;=10,1,H417&lt;=15,2,H417&gt;=16,3),"Null"),"-")</f>
        <v>1</v>
      </c>
      <c r="K417" s="60">
        <f t="shared" ref="K417" si="170">IFERROR(SUM(H417:H421),"-")</f>
        <v>15</v>
      </c>
      <c r="L417" s="1">
        <v>2414641100</v>
      </c>
    </row>
    <row r="418" spans="1:12" ht="18" customHeight="1" x14ac:dyDescent="0.45">
      <c r="A418" s="13">
        <v>412</v>
      </c>
      <c r="B418" s="41" t="str">
        <f t="shared" ref="B418:C421" si="171">B417</f>
        <v>神奈川静岡本部</v>
      </c>
      <c r="C418" s="41" t="str">
        <f t="shared" si="171"/>
        <v>ラヴィーレ横浜弥生台</v>
      </c>
      <c r="D418" s="14" t="s">
        <v>4</v>
      </c>
      <c r="E418" s="15">
        <v>1</v>
      </c>
      <c r="F418" s="17">
        <v>3</v>
      </c>
      <c r="G418" s="17">
        <v>3</v>
      </c>
      <c r="H418" s="15">
        <f t="shared" si="159"/>
        <v>3</v>
      </c>
      <c r="I418" s="44"/>
      <c r="J418" s="19" cm="1">
        <f t="array" ref="J418">IFERROR(IF(_xlfn.XLOOKUP(L418,NC導入施設!B:B,NC導入施設!E:E)=0,_xlfn.IFS(H418&lt;=5,0,H418&lt;=10,1,H418&lt;=15,2,H418&gt;=16,3),"Null"),"-")</f>
        <v>0</v>
      </c>
      <c r="K418" s="61"/>
      <c r="L418" s="1">
        <v>2414641100</v>
      </c>
    </row>
    <row r="419" spans="1:12" ht="18" customHeight="1" x14ac:dyDescent="0.45">
      <c r="A419" s="13">
        <v>413</v>
      </c>
      <c r="B419" s="41" t="str">
        <f t="shared" si="171"/>
        <v>神奈川静岡本部</v>
      </c>
      <c r="C419" s="41" t="str">
        <f t="shared" si="171"/>
        <v>ラヴィーレ横浜弥生台</v>
      </c>
      <c r="D419" s="14" t="s">
        <v>5</v>
      </c>
      <c r="E419" s="15">
        <v>1</v>
      </c>
      <c r="F419" s="17">
        <v>2</v>
      </c>
      <c r="G419" s="17">
        <v>2</v>
      </c>
      <c r="H419" s="15">
        <f t="shared" si="159"/>
        <v>2</v>
      </c>
      <c r="I419" s="44"/>
      <c r="J419" s="19" cm="1">
        <f t="array" ref="J419">IFERROR(IF(_xlfn.XLOOKUP(L419,NC導入施設!B:B,NC導入施設!E:E)=0,_xlfn.IFS(H419&lt;=5,0,H419&lt;=10,1,H419&lt;=15,2,H419&gt;=16,3),"Null"),"-")</f>
        <v>0</v>
      </c>
      <c r="K419" s="61"/>
      <c r="L419" s="1">
        <v>2414641100</v>
      </c>
    </row>
    <row r="420" spans="1:12" ht="18" customHeight="1" x14ac:dyDescent="0.45">
      <c r="A420" s="13">
        <v>414</v>
      </c>
      <c r="B420" s="41" t="str">
        <f t="shared" si="171"/>
        <v>神奈川静岡本部</v>
      </c>
      <c r="C420" s="41" t="str">
        <f t="shared" si="171"/>
        <v>ラヴィーレ横浜弥生台</v>
      </c>
      <c r="D420" s="14" t="s">
        <v>6</v>
      </c>
      <c r="E420" s="15">
        <v>6</v>
      </c>
      <c r="F420" s="17">
        <v>1</v>
      </c>
      <c r="G420" s="17">
        <v>0.2</v>
      </c>
      <c r="H420" s="15">
        <f t="shared" si="159"/>
        <v>1</v>
      </c>
      <c r="I420" s="44"/>
      <c r="J420" s="19" cm="1">
        <f t="array" ref="J420">IFERROR(IF(_xlfn.XLOOKUP(L420,NC導入施設!B:B,NC導入施設!E:E)=0,_xlfn.IFS(H420&lt;=5,0,H420&lt;=10,1,H420&lt;=15,2,H420&gt;=16,3),"Null"),"-")</f>
        <v>0</v>
      </c>
      <c r="K420" s="61"/>
      <c r="L420" s="1">
        <v>2414641100</v>
      </c>
    </row>
    <row r="421" spans="1:12" ht="18" customHeight="1" x14ac:dyDescent="0.45">
      <c r="A421" s="13">
        <v>415</v>
      </c>
      <c r="B421" s="42" t="str">
        <f t="shared" si="171"/>
        <v>神奈川静岡本部</v>
      </c>
      <c r="C421" s="42" t="str">
        <f t="shared" si="171"/>
        <v>ラヴィーレ横浜弥生台</v>
      </c>
      <c r="D421" s="14" t="s">
        <v>2</v>
      </c>
      <c r="E421" s="15">
        <v>0</v>
      </c>
      <c r="F421" s="17">
        <v>0</v>
      </c>
      <c r="G421" s="17">
        <v>0</v>
      </c>
      <c r="H421" s="15">
        <f t="shared" si="159"/>
        <v>0</v>
      </c>
      <c r="I421" s="45"/>
      <c r="J421" s="19" cm="1">
        <f t="array" ref="J421">IFERROR(IF(_xlfn.XLOOKUP(L421,NC導入施設!B:B,NC導入施設!E:E)=0,_xlfn.IFS(H421&lt;=5,0,H421&lt;=10,1,H421&lt;=15,2,H421&gt;=16,3),"Null"),"-")</f>
        <v>0</v>
      </c>
      <c r="K421" s="62"/>
      <c r="L421" s="1">
        <v>2414641100</v>
      </c>
    </row>
    <row r="422" spans="1:12" ht="18" customHeight="1" x14ac:dyDescent="0.45">
      <c r="A422" s="8">
        <v>416</v>
      </c>
      <c r="B422" s="34" t="s">
        <v>48</v>
      </c>
      <c r="C422" s="34" t="s">
        <v>230</v>
      </c>
      <c r="D422" s="9" t="s">
        <v>3</v>
      </c>
      <c r="E422" s="10">
        <v>1</v>
      </c>
      <c r="F422" s="12">
        <v>4</v>
      </c>
      <c r="G422" s="12">
        <v>4</v>
      </c>
      <c r="H422" s="10">
        <f t="shared" si="159"/>
        <v>4</v>
      </c>
      <c r="I422" s="37" cm="1">
        <f t="array" ref="I422">IF(J422="-","-",_xlfn.IFS(K422&lt;=5,0,K422&lt;=10,1,K422&lt;=15,2,K422&gt;=16,3))</f>
        <v>1</v>
      </c>
      <c r="J422" s="19" cm="1">
        <f t="array" ref="J422">IFERROR(IF(_xlfn.XLOOKUP(L422,NC導入施設!B:B,NC導入施設!E:E)=0,_xlfn.IFS(H422&lt;=5,0,H422&lt;=10,1,H422&lt;=15,2,H422&gt;=16,3),"Null"),"-")</f>
        <v>0</v>
      </c>
      <c r="K422" s="60">
        <f t="shared" ref="K422" si="172">IFERROR(SUM(H422:H426),"-")</f>
        <v>9</v>
      </c>
      <c r="L422" s="1">
        <v>2414661100</v>
      </c>
    </row>
    <row r="423" spans="1:12" ht="18" customHeight="1" x14ac:dyDescent="0.45">
      <c r="A423" s="8">
        <v>417</v>
      </c>
      <c r="B423" s="35" t="str">
        <f t="shared" ref="B423:C426" si="173">B422</f>
        <v>神奈川静岡本部</v>
      </c>
      <c r="C423" s="35" t="str">
        <f t="shared" si="173"/>
        <v>ラヴィーレ横浜緑園都市</v>
      </c>
      <c r="D423" s="9" t="s">
        <v>4</v>
      </c>
      <c r="E423" s="10">
        <v>1</v>
      </c>
      <c r="F423" s="12">
        <v>2</v>
      </c>
      <c r="G423" s="12">
        <v>2</v>
      </c>
      <c r="H423" s="10">
        <f t="shared" si="159"/>
        <v>2</v>
      </c>
      <c r="I423" s="38"/>
      <c r="J423" s="19" cm="1">
        <f t="array" ref="J423">IFERROR(IF(_xlfn.XLOOKUP(L423,NC導入施設!B:B,NC導入施設!E:E)=0,_xlfn.IFS(H423&lt;=5,0,H423&lt;=10,1,H423&lt;=15,2,H423&gt;=16,3),"Null"),"-")</f>
        <v>0</v>
      </c>
      <c r="K423" s="61"/>
      <c r="L423" s="1">
        <v>2414661100</v>
      </c>
    </row>
    <row r="424" spans="1:12" ht="18" customHeight="1" x14ac:dyDescent="0.45">
      <c r="A424" s="8">
        <v>418</v>
      </c>
      <c r="B424" s="35" t="str">
        <f t="shared" si="173"/>
        <v>神奈川静岡本部</v>
      </c>
      <c r="C424" s="35" t="str">
        <f t="shared" si="173"/>
        <v>ラヴィーレ横浜緑園都市</v>
      </c>
      <c r="D424" s="9" t="s">
        <v>5</v>
      </c>
      <c r="E424" s="10">
        <v>1</v>
      </c>
      <c r="F424" s="12">
        <v>1</v>
      </c>
      <c r="G424" s="12">
        <v>1</v>
      </c>
      <c r="H424" s="10">
        <f t="shared" si="159"/>
        <v>1</v>
      </c>
      <c r="I424" s="38"/>
      <c r="J424" s="19" cm="1">
        <f t="array" ref="J424">IFERROR(IF(_xlfn.XLOOKUP(L424,NC導入施設!B:B,NC導入施設!E:E)=0,_xlfn.IFS(H424&lt;=5,0,H424&lt;=10,1,H424&lt;=15,2,H424&gt;=16,3),"Null"),"-")</f>
        <v>0</v>
      </c>
      <c r="K424" s="61"/>
      <c r="L424" s="1">
        <v>2414661100</v>
      </c>
    </row>
    <row r="425" spans="1:12" ht="18" customHeight="1" x14ac:dyDescent="0.45">
      <c r="A425" s="8">
        <v>419</v>
      </c>
      <c r="B425" s="35" t="str">
        <f t="shared" si="173"/>
        <v>神奈川静岡本部</v>
      </c>
      <c r="C425" s="35" t="str">
        <f t="shared" si="173"/>
        <v>ラヴィーレ横浜緑園都市</v>
      </c>
      <c r="D425" s="9" t="s">
        <v>6</v>
      </c>
      <c r="E425" s="10">
        <v>4</v>
      </c>
      <c r="F425" s="12">
        <v>1</v>
      </c>
      <c r="G425" s="12">
        <v>0.3</v>
      </c>
      <c r="H425" s="10">
        <f t="shared" si="159"/>
        <v>1</v>
      </c>
      <c r="I425" s="38"/>
      <c r="J425" s="19" cm="1">
        <f t="array" ref="J425">IFERROR(IF(_xlfn.XLOOKUP(L425,NC導入施設!B:B,NC導入施設!E:E)=0,_xlfn.IFS(H425&lt;=5,0,H425&lt;=10,1,H425&lt;=15,2,H425&gt;=16,3),"Null"),"-")</f>
        <v>0</v>
      </c>
      <c r="K425" s="61"/>
      <c r="L425" s="1">
        <v>2414661100</v>
      </c>
    </row>
    <row r="426" spans="1:12" ht="18" customHeight="1" x14ac:dyDescent="0.45">
      <c r="A426" s="8">
        <v>420</v>
      </c>
      <c r="B426" s="36" t="str">
        <f t="shared" si="173"/>
        <v>神奈川静岡本部</v>
      </c>
      <c r="C426" s="36" t="str">
        <f t="shared" si="173"/>
        <v>ラヴィーレ横浜緑園都市</v>
      </c>
      <c r="D426" s="9" t="s">
        <v>2</v>
      </c>
      <c r="E426" s="10">
        <v>1</v>
      </c>
      <c r="F426" s="12">
        <v>1</v>
      </c>
      <c r="G426" s="12">
        <v>1</v>
      </c>
      <c r="H426" s="10">
        <f t="shared" si="159"/>
        <v>1</v>
      </c>
      <c r="I426" s="39"/>
      <c r="J426" s="19" cm="1">
        <f t="array" ref="J426">IFERROR(IF(_xlfn.XLOOKUP(L426,NC導入施設!B:B,NC導入施設!E:E)=0,_xlfn.IFS(H426&lt;=5,0,H426&lt;=10,1,H426&lt;=15,2,H426&gt;=16,3),"Null"),"-")</f>
        <v>0</v>
      </c>
      <c r="K426" s="62"/>
      <c r="L426" s="1">
        <v>2414661100</v>
      </c>
    </row>
    <row r="427" spans="1:12" ht="18" customHeight="1" x14ac:dyDescent="0.45">
      <c r="A427" s="13">
        <v>421</v>
      </c>
      <c r="B427" s="40" t="s">
        <v>48</v>
      </c>
      <c r="C427" s="40" t="s">
        <v>231</v>
      </c>
      <c r="D427" s="14" t="s">
        <v>3</v>
      </c>
      <c r="E427" s="15">
        <v>1</v>
      </c>
      <c r="F427" s="17">
        <v>2</v>
      </c>
      <c r="G427" s="17">
        <v>2</v>
      </c>
      <c r="H427" s="15">
        <f t="shared" si="159"/>
        <v>2</v>
      </c>
      <c r="I427" s="43" cm="1">
        <f t="array" ref="I427">IF(J427="-","-",_xlfn.IFS(K427&lt;=5,0,K427&lt;=10,1,K427&lt;=15,2,K427&gt;=16,3))</f>
        <v>1</v>
      </c>
      <c r="J427" s="19" cm="1">
        <f t="array" ref="J427">IFERROR(IF(_xlfn.XLOOKUP(L427,NC導入施設!B:B,NC導入施設!E:E)=0,_xlfn.IFS(H427&lt;=5,0,H427&lt;=10,1,H427&lt;=15,2,H427&gt;=16,3),"Null"),"-")</f>
        <v>0</v>
      </c>
      <c r="K427" s="60">
        <f t="shared" ref="K427" si="174">IFERROR(SUM(H427:H431),"-")</f>
        <v>6</v>
      </c>
      <c r="L427" s="1">
        <v>2414681100</v>
      </c>
    </row>
    <row r="428" spans="1:12" ht="18" customHeight="1" x14ac:dyDescent="0.45">
      <c r="A428" s="13">
        <v>422</v>
      </c>
      <c r="B428" s="41" t="str">
        <f t="shared" ref="B428:C431" si="175">B427</f>
        <v>神奈川静岡本部</v>
      </c>
      <c r="C428" s="41" t="str">
        <f t="shared" si="175"/>
        <v>ラヴィーレ横浜洋光台</v>
      </c>
      <c r="D428" s="14" t="s">
        <v>4</v>
      </c>
      <c r="E428" s="15">
        <v>1</v>
      </c>
      <c r="F428" s="17">
        <v>2</v>
      </c>
      <c r="G428" s="17">
        <v>2</v>
      </c>
      <c r="H428" s="15">
        <f t="shared" si="159"/>
        <v>2</v>
      </c>
      <c r="I428" s="44"/>
      <c r="J428" s="19" cm="1">
        <f t="array" ref="J428">IFERROR(IF(_xlfn.XLOOKUP(L428,NC導入施設!B:B,NC導入施設!E:E)=0,_xlfn.IFS(H428&lt;=5,0,H428&lt;=10,1,H428&lt;=15,2,H428&gt;=16,3),"Null"),"-")</f>
        <v>0</v>
      </c>
      <c r="K428" s="61"/>
      <c r="L428" s="1">
        <v>2414681100</v>
      </c>
    </row>
    <row r="429" spans="1:12" ht="18" customHeight="1" x14ac:dyDescent="0.45">
      <c r="A429" s="13">
        <v>423</v>
      </c>
      <c r="B429" s="41" t="str">
        <f t="shared" si="175"/>
        <v>神奈川静岡本部</v>
      </c>
      <c r="C429" s="41" t="str">
        <f t="shared" si="175"/>
        <v>ラヴィーレ横浜洋光台</v>
      </c>
      <c r="D429" s="14" t="s">
        <v>5</v>
      </c>
      <c r="E429" s="15">
        <v>2</v>
      </c>
      <c r="F429" s="17">
        <v>2</v>
      </c>
      <c r="G429" s="17">
        <v>1</v>
      </c>
      <c r="H429" s="15">
        <f t="shared" si="159"/>
        <v>2</v>
      </c>
      <c r="I429" s="44"/>
      <c r="J429" s="19" cm="1">
        <f t="array" ref="J429">IFERROR(IF(_xlfn.XLOOKUP(L429,NC導入施設!B:B,NC導入施設!E:E)=0,_xlfn.IFS(H429&lt;=5,0,H429&lt;=10,1,H429&lt;=15,2,H429&gt;=16,3),"Null"),"-")</f>
        <v>0</v>
      </c>
      <c r="K429" s="61"/>
      <c r="L429" s="1">
        <v>2414681100</v>
      </c>
    </row>
    <row r="430" spans="1:12" ht="18" customHeight="1" x14ac:dyDescent="0.45">
      <c r="A430" s="13">
        <v>424</v>
      </c>
      <c r="B430" s="41" t="str">
        <f t="shared" si="175"/>
        <v>神奈川静岡本部</v>
      </c>
      <c r="C430" s="41" t="str">
        <f t="shared" si="175"/>
        <v>ラヴィーレ横浜洋光台</v>
      </c>
      <c r="D430" s="14" t="s">
        <v>6</v>
      </c>
      <c r="E430" s="15">
        <v>5</v>
      </c>
      <c r="F430" s="17">
        <v>0</v>
      </c>
      <c r="G430" s="17">
        <v>0</v>
      </c>
      <c r="H430" s="15">
        <f t="shared" si="159"/>
        <v>0</v>
      </c>
      <c r="I430" s="44"/>
      <c r="J430" s="19" cm="1">
        <f t="array" ref="J430">IFERROR(IF(_xlfn.XLOOKUP(L430,NC導入施設!B:B,NC導入施設!E:E)=0,_xlfn.IFS(H430&lt;=5,0,H430&lt;=10,1,H430&lt;=15,2,H430&gt;=16,3),"Null"),"-")</f>
        <v>0</v>
      </c>
      <c r="K430" s="61"/>
      <c r="L430" s="1">
        <v>2414681100</v>
      </c>
    </row>
    <row r="431" spans="1:12" ht="18" customHeight="1" x14ac:dyDescent="0.45">
      <c r="A431" s="13">
        <v>425</v>
      </c>
      <c r="B431" s="42" t="str">
        <f t="shared" si="175"/>
        <v>神奈川静岡本部</v>
      </c>
      <c r="C431" s="42" t="str">
        <f t="shared" si="175"/>
        <v>ラヴィーレ横浜洋光台</v>
      </c>
      <c r="D431" s="14" t="s">
        <v>2</v>
      </c>
      <c r="E431" s="15">
        <v>1</v>
      </c>
      <c r="F431" s="17">
        <v>0</v>
      </c>
      <c r="G431" s="17">
        <v>0</v>
      </c>
      <c r="H431" s="15">
        <f t="shared" si="159"/>
        <v>0</v>
      </c>
      <c r="I431" s="45"/>
      <c r="J431" s="19" cm="1">
        <f t="array" ref="J431">IFERROR(IF(_xlfn.XLOOKUP(L431,NC導入施設!B:B,NC導入施設!E:E)=0,_xlfn.IFS(H431&lt;=5,0,H431&lt;=10,1,H431&lt;=15,2,H431&gt;=16,3),"Null"),"-")</f>
        <v>0</v>
      </c>
      <c r="K431" s="62"/>
      <c r="L431" s="1">
        <v>2414681100</v>
      </c>
    </row>
    <row r="432" spans="1:12" ht="18" customHeight="1" x14ac:dyDescent="0.45">
      <c r="A432" s="8">
        <v>426</v>
      </c>
      <c r="B432" s="34" t="s">
        <v>48</v>
      </c>
      <c r="C432" s="34" t="s">
        <v>232</v>
      </c>
      <c r="D432" s="9" t="s">
        <v>3</v>
      </c>
      <c r="E432" s="10">
        <v>1</v>
      </c>
      <c r="F432" s="12">
        <v>9</v>
      </c>
      <c r="G432" s="12">
        <v>9</v>
      </c>
      <c r="H432" s="10">
        <f t="shared" si="159"/>
        <v>9</v>
      </c>
      <c r="I432" s="37" cm="1">
        <f t="array" ref="I432">IF(J432="-","-",_xlfn.IFS(K432&lt;=5,0,K432&lt;=10,1,K432&lt;=15,2,K432&gt;=16,3))</f>
        <v>3</v>
      </c>
      <c r="J432" s="19" cm="1">
        <f t="array" ref="J432">IFERROR(IF(_xlfn.XLOOKUP(L432,NC導入施設!B:B,NC導入施設!E:E)=0,_xlfn.IFS(H432&lt;=5,0,H432&lt;=10,1,H432&lt;=15,2,H432&gt;=16,3),"Null"),"-")</f>
        <v>1</v>
      </c>
      <c r="K432" s="60">
        <f t="shared" ref="K432" si="176">IFERROR(SUM(H432:H436),"-")</f>
        <v>19</v>
      </c>
      <c r="L432" s="1">
        <v>2414701100</v>
      </c>
    </row>
    <row r="433" spans="1:12" ht="18" customHeight="1" x14ac:dyDescent="0.45">
      <c r="A433" s="8">
        <v>427</v>
      </c>
      <c r="B433" s="35" t="str">
        <f t="shared" ref="B433:C436" si="177">B432</f>
        <v>神奈川静岡本部</v>
      </c>
      <c r="C433" s="35" t="str">
        <f t="shared" si="177"/>
        <v>ラヴィーレ金沢八景</v>
      </c>
      <c r="D433" s="9" t="s">
        <v>4</v>
      </c>
      <c r="E433" s="10">
        <v>1</v>
      </c>
      <c r="F433" s="12">
        <v>8</v>
      </c>
      <c r="G433" s="12">
        <v>8</v>
      </c>
      <c r="H433" s="10">
        <f t="shared" si="159"/>
        <v>8</v>
      </c>
      <c r="I433" s="38"/>
      <c r="J433" s="19" cm="1">
        <f t="array" ref="J433">IFERROR(IF(_xlfn.XLOOKUP(L433,NC導入施設!B:B,NC導入施設!E:E)=0,_xlfn.IFS(H433&lt;=5,0,H433&lt;=10,1,H433&lt;=15,2,H433&gt;=16,3),"Null"),"-")</f>
        <v>1</v>
      </c>
      <c r="K433" s="61"/>
      <c r="L433" s="1">
        <v>2414701100</v>
      </c>
    </row>
    <row r="434" spans="1:12" ht="18" customHeight="1" x14ac:dyDescent="0.45">
      <c r="A434" s="8">
        <v>428</v>
      </c>
      <c r="B434" s="35" t="str">
        <f t="shared" si="177"/>
        <v>神奈川静岡本部</v>
      </c>
      <c r="C434" s="35" t="str">
        <f t="shared" si="177"/>
        <v>ラヴィーレ金沢八景</v>
      </c>
      <c r="D434" s="9" t="s">
        <v>5</v>
      </c>
      <c r="E434" s="10">
        <v>1</v>
      </c>
      <c r="F434" s="12">
        <v>0</v>
      </c>
      <c r="G434" s="12">
        <v>0</v>
      </c>
      <c r="H434" s="10">
        <f t="shared" si="159"/>
        <v>0</v>
      </c>
      <c r="I434" s="38"/>
      <c r="J434" s="19" cm="1">
        <f t="array" ref="J434">IFERROR(IF(_xlfn.XLOOKUP(L434,NC導入施設!B:B,NC導入施設!E:E)=0,_xlfn.IFS(H434&lt;=5,0,H434&lt;=10,1,H434&lt;=15,2,H434&gt;=16,3),"Null"),"-")</f>
        <v>0</v>
      </c>
      <c r="K434" s="61"/>
      <c r="L434" s="1">
        <v>2414701100</v>
      </c>
    </row>
    <row r="435" spans="1:12" ht="18" customHeight="1" x14ac:dyDescent="0.45">
      <c r="A435" s="8">
        <v>429</v>
      </c>
      <c r="B435" s="35" t="str">
        <f t="shared" si="177"/>
        <v>神奈川静岡本部</v>
      </c>
      <c r="C435" s="35" t="str">
        <f t="shared" si="177"/>
        <v>ラヴィーレ金沢八景</v>
      </c>
      <c r="D435" s="9" t="s">
        <v>6</v>
      </c>
      <c r="E435" s="10">
        <v>4</v>
      </c>
      <c r="F435" s="12">
        <v>0</v>
      </c>
      <c r="G435" s="12">
        <v>0</v>
      </c>
      <c r="H435" s="10">
        <f t="shared" si="159"/>
        <v>0</v>
      </c>
      <c r="I435" s="38"/>
      <c r="J435" s="19" cm="1">
        <f t="array" ref="J435">IFERROR(IF(_xlfn.XLOOKUP(L435,NC導入施設!B:B,NC導入施設!E:E)=0,_xlfn.IFS(H435&lt;=5,0,H435&lt;=10,1,H435&lt;=15,2,H435&gt;=16,3),"Null"),"-")</f>
        <v>0</v>
      </c>
      <c r="K435" s="61"/>
      <c r="L435" s="1">
        <v>2414701100</v>
      </c>
    </row>
    <row r="436" spans="1:12" ht="18" customHeight="1" x14ac:dyDescent="0.45">
      <c r="A436" s="8">
        <v>430</v>
      </c>
      <c r="B436" s="36" t="str">
        <f t="shared" si="177"/>
        <v>神奈川静岡本部</v>
      </c>
      <c r="C436" s="36" t="str">
        <f t="shared" si="177"/>
        <v>ラヴィーレ金沢八景</v>
      </c>
      <c r="D436" s="9" t="s">
        <v>2</v>
      </c>
      <c r="E436" s="10">
        <v>1</v>
      </c>
      <c r="F436" s="12">
        <v>2</v>
      </c>
      <c r="G436" s="12">
        <v>2</v>
      </c>
      <c r="H436" s="10">
        <f t="shared" si="159"/>
        <v>2</v>
      </c>
      <c r="I436" s="39"/>
      <c r="J436" s="19" cm="1">
        <f t="array" ref="J436">IFERROR(IF(_xlfn.XLOOKUP(L436,NC導入施設!B:B,NC導入施設!E:E)=0,_xlfn.IFS(H436&lt;=5,0,H436&lt;=10,1,H436&lt;=15,2,H436&gt;=16,3),"Null"),"-")</f>
        <v>0</v>
      </c>
      <c r="K436" s="62"/>
      <c r="L436" s="1">
        <v>2414701100</v>
      </c>
    </row>
    <row r="437" spans="1:12" ht="18" customHeight="1" x14ac:dyDescent="0.45">
      <c r="A437" s="13">
        <v>431</v>
      </c>
      <c r="B437" s="40" t="s">
        <v>48</v>
      </c>
      <c r="C437" s="40" t="s">
        <v>49</v>
      </c>
      <c r="D437" s="14" t="s">
        <v>3</v>
      </c>
      <c r="E437" s="15">
        <v>1</v>
      </c>
      <c r="F437" s="17">
        <v>6</v>
      </c>
      <c r="G437" s="17">
        <v>6</v>
      </c>
      <c r="H437" s="15">
        <f t="shared" si="159"/>
        <v>6</v>
      </c>
      <c r="I437" s="43" cm="1">
        <f t="array" ref="I437">IF(J437="-","-",_xlfn.IFS(K437&lt;=5,0,K437&lt;=10,1,K437&lt;=15,2,K437&gt;=16,3))</f>
        <v>3</v>
      </c>
      <c r="J437" s="19" cm="1">
        <f t="array" ref="J437">IFERROR(IF(_xlfn.XLOOKUP(L437,NC導入施設!B:B,NC導入施設!E:E)=0,_xlfn.IFS(H437&lt;=5,0,H437&lt;=10,1,H437&lt;=15,2,H437&gt;=16,3),"Null"),"-")</f>
        <v>1</v>
      </c>
      <c r="K437" s="60">
        <f t="shared" ref="K437" si="178">IFERROR(SUM(H437:H441),"-")</f>
        <v>24</v>
      </c>
      <c r="L437" s="1">
        <v>2414711200</v>
      </c>
    </row>
    <row r="438" spans="1:12" ht="18" customHeight="1" x14ac:dyDescent="0.45">
      <c r="A438" s="13">
        <v>432</v>
      </c>
      <c r="B438" s="41" t="str">
        <f t="shared" ref="B438:C441" si="179">B437</f>
        <v>神奈川静岡本部</v>
      </c>
      <c r="C438" s="41" t="str">
        <f t="shared" si="179"/>
        <v>そんぽの家　戸塚南</v>
      </c>
      <c r="D438" s="14" t="s">
        <v>4</v>
      </c>
      <c r="E438" s="15">
        <v>1</v>
      </c>
      <c r="F438" s="17">
        <v>9</v>
      </c>
      <c r="G438" s="17">
        <v>9</v>
      </c>
      <c r="H438" s="15">
        <f t="shared" si="159"/>
        <v>9</v>
      </c>
      <c r="I438" s="44"/>
      <c r="J438" s="19" cm="1">
        <f t="array" ref="J438">IFERROR(IF(_xlfn.XLOOKUP(L438,NC導入施設!B:B,NC導入施設!E:E)=0,_xlfn.IFS(H438&lt;=5,0,H438&lt;=10,1,H438&lt;=15,2,H438&gt;=16,3),"Null"),"-")</f>
        <v>1</v>
      </c>
      <c r="K438" s="61"/>
      <c r="L438" s="1">
        <v>2414711200</v>
      </c>
    </row>
    <row r="439" spans="1:12" ht="18" customHeight="1" x14ac:dyDescent="0.45">
      <c r="A439" s="13">
        <v>433</v>
      </c>
      <c r="B439" s="41" t="str">
        <f t="shared" si="179"/>
        <v>神奈川静岡本部</v>
      </c>
      <c r="C439" s="41" t="str">
        <f t="shared" si="179"/>
        <v>そんぽの家　戸塚南</v>
      </c>
      <c r="D439" s="14" t="s">
        <v>5</v>
      </c>
      <c r="E439" s="15">
        <v>1</v>
      </c>
      <c r="F439" s="17">
        <v>7</v>
      </c>
      <c r="G439" s="17">
        <v>7</v>
      </c>
      <c r="H439" s="15">
        <f t="shared" si="159"/>
        <v>7</v>
      </c>
      <c r="I439" s="44"/>
      <c r="J439" s="19" cm="1">
        <f t="array" ref="J439">IFERROR(IF(_xlfn.XLOOKUP(L439,NC導入施設!B:B,NC導入施設!E:E)=0,_xlfn.IFS(H439&lt;=5,0,H439&lt;=10,1,H439&lt;=15,2,H439&gt;=16,3),"Null"),"-")</f>
        <v>1</v>
      </c>
      <c r="K439" s="61"/>
      <c r="L439" s="1">
        <v>2414711200</v>
      </c>
    </row>
    <row r="440" spans="1:12" ht="18" customHeight="1" x14ac:dyDescent="0.45">
      <c r="A440" s="13">
        <v>434</v>
      </c>
      <c r="B440" s="41" t="str">
        <f t="shared" si="179"/>
        <v>神奈川静岡本部</v>
      </c>
      <c r="C440" s="41" t="str">
        <f t="shared" si="179"/>
        <v>そんぽの家　戸塚南</v>
      </c>
      <c r="D440" s="14" t="s">
        <v>6</v>
      </c>
      <c r="E440" s="15">
        <v>5</v>
      </c>
      <c r="F440" s="17">
        <v>1</v>
      </c>
      <c r="G440" s="17">
        <v>0.2</v>
      </c>
      <c r="H440" s="15">
        <f t="shared" si="159"/>
        <v>1</v>
      </c>
      <c r="I440" s="44"/>
      <c r="J440" s="19" cm="1">
        <f t="array" ref="J440">IFERROR(IF(_xlfn.XLOOKUP(L440,NC導入施設!B:B,NC導入施設!E:E)=0,_xlfn.IFS(H440&lt;=5,0,H440&lt;=10,1,H440&lt;=15,2,H440&gt;=16,3),"Null"),"-")</f>
        <v>0</v>
      </c>
      <c r="K440" s="61"/>
      <c r="L440" s="1">
        <v>2414711200</v>
      </c>
    </row>
    <row r="441" spans="1:12" ht="18" customHeight="1" x14ac:dyDescent="0.45">
      <c r="A441" s="13">
        <v>435</v>
      </c>
      <c r="B441" s="42" t="str">
        <f t="shared" si="179"/>
        <v>神奈川静岡本部</v>
      </c>
      <c r="C441" s="42" t="str">
        <f t="shared" si="179"/>
        <v>そんぽの家　戸塚南</v>
      </c>
      <c r="D441" s="14" t="s">
        <v>2</v>
      </c>
      <c r="E441" s="15">
        <v>1</v>
      </c>
      <c r="F441" s="17">
        <v>1</v>
      </c>
      <c r="G441" s="17">
        <v>1</v>
      </c>
      <c r="H441" s="15">
        <f t="shared" si="159"/>
        <v>1</v>
      </c>
      <c r="I441" s="45"/>
      <c r="J441" s="19" cm="1">
        <f t="array" ref="J441">IFERROR(IF(_xlfn.XLOOKUP(L441,NC導入施設!B:B,NC導入施設!E:E)=0,_xlfn.IFS(H441&lt;=5,0,H441&lt;=10,1,H441&lt;=15,2,H441&gt;=16,3),"Null"),"-")</f>
        <v>0</v>
      </c>
      <c r="K441" s="62"/>
      <c r="L441" s="1">
        <v>2414711200</v>
      </c>
    </row>
    <row r="442" spans="1:12" ht="18" customHeight="1" x14ac:dyDescent="0.45">
      <c r="A442" s="8">
        <v>436</v>
      </c>
      <c r="B442" s="34" t="s">
        <v>48</v>
      </c>
      <c r="C442" s="34" t="s">
        <v>50</v>
      </c>
      <c r="D442" s="9" t="s">
        <v>3</v>
      </c>
      <c r="E442" s="10">
        <v>1</v>
      </c>
      <c r="F442" s="12">
        <v>3</v>
      </c>
      <c r="G442" s="12">
        <v>3</v>
      </c>
      <c r="H442" s="10">
        <f t="shared" si="159"/>
        <v>3</v>
      </c>
      <c r="I442" s="37" cm="1">
        <f t="array" ref="I442">IF(J442="-","-",_xlfn.IFS(K442&lt;=5,0,K442&lt;=10,1,K442&lt;=15,2,K442&gt;=16,3))</f>
        <v>1</v>
      </c>
      <c r="J442" s="19" cm="1">
        <f t="array" ref="J442">IFERROR(IF(_xlfn.XLOOKUP(L442,NC導入施設!B:B,NC導入施設!E:E)=0,_xlfn.IFS(H442&lt;=5,0,H442&lt;=10,1,H442&lt;=15,2,H442&gt;=16,3),"Null"),"-")</f>
        <v>0</v>
      </c>
      <c r="K442" s="60">
        <f t="shared" ref="K442" si="180">IFERROR(SUM(H442:H446),"-")</f>
        <v>9</v>
      </c>
      <c r="L442" s="1">
        <v>2414741200</v>
      </c>
    </row>
    <row r="443" spans="1:12" ht="18" customHeight="1" x14ac:dyDescent="0.45">
      <c r="A443" s="8">
        <v>437</v>
      </c>
      <c r="B443" s="35" t="str">
        <f t="shared" ref="B443:C446" si="181">B442</f>
        <v>神奈川静岡本部</v>
      </c>
      <c r="C443" s="35" t="str">
        <f t="shared" si="181"/>
        <v>そんぽの家　横浜港南台</v>
      </c>
      <c r="D443" s="9" t="s">
        <v>4</v>
      </c>
      <c r="E443" s="10">
        <v>1</v>
      </c>
      <c r="F443" s="12">
        <v>5</v>
      </c>
      <c r="G443" s="12">
        <v>5</v>
      </c>
      <c r="H443" s="10">
        <f t="shared" si="159"/>
        <v>5</v>
      </c>
      <c r="I443" s="38"/>
      <c r="J443" s="19" cm="1">
        <f t="array" ref="J443">IFERROR(IF(_xlfn.XLOOKUP(L443,NC導入施設!B:B,NC導入施設!E:E)=0,_xlfn.IFS(H443&lt;=5,0,H443&lt;=10,1,H443&lt;=15,2,H443&gt;=16,3),"Null"),"-")</f>
        <v>0</v>
      </c>
      <c r="K443" s="61"/>
      <c r="L443" s="1">
        <v>2414741200</v>
      </c>
    </row>
    <row r="444" spans="1:12" ht="18" customHeight="1" x14ac:dyDescent="0.45">
      <c r="A444" s="8">
        <v>438</v>
      </c>
      <c r="B444" s="35" t="str">
        <f t="shared" si="181"/>
        <v>神奈川静岡本部</v>
      </c>
      <c r="C444" s="35" t="str">
        <f t="shared" si="181"/>
        <v>そんぽの家　横浜港南台</v>
      </c>
      <c r="D444" s="9" t="s">
        <v>5</v>
      </c>
      <c r="E444" s="10">
        <v>1</v>
      </c>
      <c r="F444" s="12">
        <v>0</v>
      </c>
      <c r="G444" s="12">
        <v>0</v>
      </c>
      <c r="H444" s="10">
        <f t="shared" si="159"/>
        <v>0</v>
      </c>
      <c r="I444" s="38"/>
      <c r="J444" s="19" cm="1">
        <f t="array" ref="J444">IFERROR(IF(_xlfn.XLOOKUP(L444,NC導入施設!B:B,NC導入施設!E:E)=0,_xlfn.IFS(H444&lt;=5,0,H444&lt;=10,1,H444&lt;=15,2,H444&gt;=16,3),"Null"),"-")</f>
        <v>0</v>
      </c>
      <c r="K444" s="61"/>
      <c r="L444" s="1">
        <v>2414741200</v>
      </c>
    </row>
    <row r="445" spans="1:12" ht="18" customHeight="1" x14ac:dyDescent="0.45">
      <c r="A445" s="8">
        <v>439</v>
      </c>
      <c r="B445" s="35" t="str">
        <f t="shared" si="181"/>
        <v>神奈川静岡本部</v>
      </c>
      <c r="C445" s="35" t="str">
        <f t="shared" si="181"/>
        <v>そんぽの家　横浜港南台</v>
      </c>
      <c r="D445" s="9" t="s">
        <v>6</v>
      </c>
      <c r="E445" s="10">
        <v>3</v>
      </c>
      <c r="F445" s="12">
        <v>0</v>
      </c>
      <c r="G445" s="12">
        <v>0</v>
      </c>
      <c r="H445" s="10">
        <f t="shared" si="159"/>
        <v>0</v>
      </c>
      <c r="I445" s="38"/>
      <c r="J445" s="19" cm="1">
        <f t="array" ref="J445">IFERROR(IF(_xlfn.XLOOKUP(L445,NC導入施設!B:B,NC導入施設!E:E)=0,_xlfn.IFS(H445&lt;=5,0,H445&lt;=10,1,H445&lt;=15,2,H445&gt;=16,3),"Null"),"-")</f>
        <v>0</v>
      </c>
      <c r="K445" s="61"/>
      <c r="L445" s="1">
        <v>2414741200</v>
      </c>
    </row>
    <row r="446" spans="1:12" ht="18" customHeight="1" x14ac:dyDescent="0.45">
      <c r="A446" s="8">
        <v>440</v>
      </c>
      <c r="B446" s="36" t="str">
        <f t="shared" si="181"/>
        <v>神奈川静岡本部</v>
      </c>
      <c r="C446" s="36" t="str">
        <f t="shared" si="181"/>
        <v>そんぽの家　横浜港南台</v>
      </c>
      <c r="D446" s="9" t="s">
        <v>2</v>
      </c>
      <c r="E446" s="10">
        <v>1</v>
      </c>
      <c r="F446" s="12">
        <v>1</v>
      </c>
      <c r="G446" s="12">
        <v>1</v>
      </c>
      <c r="H446" s="10">
        <f t="shared" si="159"/>
        <v>1</v>
      </c>
      <c r="I446" s="39"/>
      <c r="J446" s="19" cm="1">
        <f t="array" ref="J446">IFERROR(IF(_xlfn.XLOOKUP(L446,NC導入施設!B:B,NC導入施設!E:E)=0,_xlfn.IFS(H446&lt;=5,0,H446&lt;=10,1,H446&lt;=15,2,H446&gt;=16,3),"Null"),"-")</f>
        <v>0</v>
      </c>
      <c r="K446" s="62"/>
      <c r="L446" s="1">
        <v>2414741200</v>
      </c>
    </row>
    <row r="447" spans="1:12" ht="18" customHeight="1" x14ac:dyDescent="0.45">
      <c r="A447" s="13">
        <v>441</v>
      </c>
      <c r="B447" s="40" t="s">
        <v>48</v>
      </c>
      <c r="C447" s="40" t="s">
        <v>51</v>
      </c>
      <c r="D447" s="14" t="s">
        <v>3</v>
      </c>
      <c r="E447" s="15">
        <v>1</v>
      </c>
      <c r="F447" s="17">
        <v>1</v>
      </c>
      <c r="G447" s="17">
        <v>1</v>
      </c>
      <c r="H447" s="15">
        <f t="shared" si="159"/>
        <v>1</v>
      </c>
      <c r="I447" s="43" cm="1">
        <f t="array" ref="I447">IF(J447="-","-",_xlfn.IFS(K447&lt;=5,0,K447&lt;=10,1,K447&lt;=15,2,K447&gt;=16,3))</f>
        <v>2</v>
      </c>
      <c r="J447" s="19" cm="1">
        <f t="array" ref="J447">IFERROR(IF(_xlfn.XLOOKUP(L447,NC導入施設!B:B,NC導入施設!E:E)=0,_xlfn.IFS(H447&lt;=5,0,H447&lt;=10,1,H447&lt;=15,2,H447&gt;=16,3),"Null"),"-")</f>
        <v>0</v>
      </c>
      <c r="K447" s="60">
        <f t="shared" ref="K447" si="182">IFERROR(SUM(H447:H451),"-")</f>
        <v>13</v>
      </c>
      <c r="L447" s="1">
        <v>2414751200</v>
      </c>
    </row>
    <row r="448" spans="1:12" ht="18" customHeight="1" x14ac:dyDescent="0.45">
      <c r="A448" s="13">
        <v>442</v>
      </c>
      <c r="B448" s="41" t="str">
        <f t="shared" ref="B448:C451" si="183">B447</f>
        <v>神奈川静岡本部</v>
      </c>
      <c r="C448" s="41" t="str">
        <f t="shared" si="183"/>
        <v>そんぽの家　港南台</v>
      </c>
      <c r="D448" s="14" t="s">
        <v>4</v>
      </c>
      <c r="E448" s="15">
        <v>1</v>
      </c>
      <c r="F448" s="17">
        <v>0</v>
      </c>
      <c r="G448" s="17">
        <v>0</v>
      </c>
      <c r="H448" s="15">
        <f t="shared" si="159"/>
        <v>0</v>
      </c>
      <c r="I448" s="44"/>
      <c r="J448" s="19" cm="1">
        <f t="array" ref="J448">IFERROR(IF(_xlfn.XLOOKUP(L448,NC導入施設!B:B,NC導入施設!E:E)=0,_xlfn.IFS(H448&lt;=5,0,H448&lt;=10,1,H448&lt;=15,2,H448&gt;=16,3),"Null"),"-")</f>
        <v>0</v>
      </c>
      <c r="K448" s="61"/>
      <c r="L448" s="1">
        <v>2414751200</v>
      </c>
    </row>
    <row r="449" spans="1:12" ht="18" customHeight="1" x14ac:dyDescent="0.45">
      <c r="A449" s="13">
        <v>443</v>
      </c>
      <c r="B449" s="41" t="str">
        <f t="shared" si="183"/>
        <v>神奈川静岡本部</v>
      </c>
      <c r="C449" s="41" t="str">
        <f t="shared" si="183"/>
        <v>そんぽの家　港南台</v>
      </c>
      <c r="D449" s="14" t="s">
        <v>5</v>
      </c>
      <c r="E449" s="15">
        <v>1</v>
      </c>
      <c r="F449" s="17">
        <v>12</v>
      </c>
      <c r="G449" s="17">
        <v>12</v>
      </c>
      <c r="H449" s="15">
        <f t="shared" si="159"/>
        <v>12</v>
      </c>
      <c r="I449" s="44"/>
      <c r="J449" s="19" cm="1">
        <f t="array" ref="J449">IFERROR(IF(_xlfn.XLOOKUP(L449,NC導入施設!B:B,NC導入施設!E:E)=0,_xlfn.IFS(H449&lt;=5,0,H449&lt;=10,1,H449&lt;=15,2,H449&gt;=16,3),"Null"),"-")</f>
        <v>2</v>
      </c>
      <c r="K449" s="61"/>
      <c r="L449" s="1">
        <v>2414751200</v>
      </c>
    </row>
    <row r="450" spans="1:12" ht="18" customHeight="1" x14ac:dyDescent="0.45">
      <c r="A450" s="13">
        <v>444</v>
      </c>
      <c r="B450" s="41" t="str">
        <f t="shared" si="183"/>
        <v>神奈川静岡本部</v>
      </c>
      <c r="C450" s="41" t="str">
        <f t="shared" si="183"/>
        <v>そんぽの家　港南台</v>
      </c>
      <c r="D450" s="14" t="s">
        <v>6</v>
      </c>
      <c r="E450" s="15">
        <v>2</v>
      </c>
      <c r="F450" s="17">
        <v>0</v>
      </c>
      <c r="G450" s="17">
        <v>0</v>
      </c>
      <c r="H450" s="15">
        <f t="shared" si="159"/>
        <v>0</v>
      </c>
      <c r="I450" s="44"/>
      <c r="J450" s="19" cm="1">
        <f t="array" ref="J450">IFERROR(IF(_xlfn.XLOOKUP(L450,NC導入施設!B:B,NC導入施設!E:E)=0,_xlfn.IFS(H450&lt;=5,0,H450&lt;=10,1,H450&lt;=15,2,H450&gt;=16,3),"Null"),"-")</f>
        <v>0</v>
      </c>
      <c r="K450" s="61"/>
      <c r="L450" s="1">
        <v>2414751200</v>
      </c>
    </row>
    <row r="451" spans="1:12" ht="18" customHeight="1" x14ac:dyDescent="0.45">
      <c r="A451" s="13">
        <v>445</v>
      </c>
      <c r="B451" s="42" t="str">
        <f t="shared" si="183"/>
        <v>神奈川静岡本部</v>
      </c>
      <c r="C451" s="42" t="str">
        <f t="shared" si="183"/>
        <v>そんぽの家　港南台</v>
      </c>
      <c r="D451" s="14" t="s">
        <v>2</v>
      </c>
      <c r="E451" s="15">
        <v>0</v>
      </c>
      <c r="F451" s="17">
        <v>0</v>
      </c>
      <c r="G451" s="17">
        <v>0</v>
      </c>
      <c r="H451" s="15">
        <f t="shared" si="159"/>
        <v>0</v>
      </c>
      <c r="I451" s="45"/>
      <c r="J451" s="19" cm="1">
        <f t="array" ref="J451">IFERROR(IF(_xlfn.XLOOKUP(L451,NC導入施設!B:B,NC導入施設!E:E)=0,_xlfn.IFS(H451&lt;=5,0,H451&lt;=10,1,H451&lt;=15,2,H451&gt;=16,3),"Null"),"-")</f>
        <v>0</v>
      </c>
      <c r="K451" s="62"/>
      <c r="L451" s="1">
        <v>2414751200</v>
      </c>
    </row>
    <row r="452" spans="1:12" ht="18" customHeight="1" x14ac:dyDescent="0.45">
      <c r="A452" s="8">
        <v>446</v>
      </c>
      <c r="B452" s="34" t="s">
        <v>48</v>
      </c>
      <c r="C452" s="34" t="s">
        <v>233</v>
      </c>
      <c r="D452" s="9" t="s">
        <v>3</v>
      </c>
      <c r="E452" s="10">
        <v>1</v>
      </c>
      <c r="F452" s="12">
        <v>12</v>
      </c>
      <c r="G452" s="12">
        <v>12</v>
      </c>
      <c r="H452" s="10">
        <f t="shared" si="159"/>
        <v>12</v>
      </c>
      <c r="I452" s="37" cm="1">
        <f t="array" ref="I452">IF(J452="-","-",_xlfn.IFS(K452&lt;=5,0,K452&lt;=10,1,K452&lt;=15,2,K452&gt;=16,3))</f>
        <v>3</v>
      </c>
      <c r="J452" s="19" cm="1">
        <f t="array" ref="J452">IFERROR(IF(_xlfn.XLOOKUP(L452,NC導入施設!B:B,NC導入施設!E:E)=0,_xlfn.IFS(H452&lt;=5,0,H452&lt;=10,1,H452&lt;=15,2,H452&gt;=16,3),"Null"),"-")</f>
        <v>2</v>
      </c>
      <c r="K452" s="60">
        <f t="shared" ref="K452" si="184">IFERROR(SUM(H452:H456),"-")</f>
        <v>26</v>
      </c>
      <c r="L452" s="1">
        <v>2414801100</v>
      </c>
    </row>
    <row r="453" spans="1:12" ht="18" customHeight="1" x14ac:dyDescent="0.45">
      <c r="A453" s="8">
        <v>447</v>
      </c>
      <c r="B453" s="35" t="str">
        <f t="shared" ref="B453:C456" si="185">B452</f>
        <v>神奈川静岡本部</v>
      </c>
      <c r="C453" s="35" t="str">
        <f t="shared" si="185"/>
        <v>ラヴィーレ綱島</v>
      </c>
      <c r="D453" s="9" t="s">
        <v>4</v>
      </c>
      <c r="E453" s="10">
        <v>1</v>
      </c>
      <c r="F453" s="12">
        <v>14</v>
      </c>
      <c r="G453" s="12">
        <v>14</v>
      </c>
      <c r="H453" s="10">
        <f t="shared" si="159"/>
        <v>14</v>
      </c>
      <c r="I453" s="38"/>
      <c r="J453" s="19" cm="1">
        <f t="array" ref="J453">IFERROR(IF(_xlfn.XLOOKUP(L453,NC導入施設!B:B,NC導入施設!E:E)=0,_xlfn.IFS(H453&lt;=5,0,H453&lt;=10,1,H453&lt;=15,2,H453&gt;=16,3),"Null"),"-")</f>
        <v>2</v>
      </c>
      <c r="K453" s="61"/>
      <c r="L453" s="1">
        <v>2414801100</v>
      </c>
    </row>
    <row r="454" spans="1:12" ht="18" customHeight="1" x14ac:dyDescent="0.45">
      <c r="A454" s="8">
        <v>448</v>
      </c>
      <c r="B454" s="35" t="str">
        <f t="shared" si="185"/>
        <v>神奈川静岡本部</v>
      </c>
      <c r="C454" s="35" t="str">
        <f t="shared" si="185"/>
        <v>ラヴィーレ綱島</v>
      </c>
      <c r="D454" s="9" t="s">
        <v>5</v>
      </c>
      <c r="E454" s="10">
        <v>2</v>
      </c>
      <c r="F454" s="12">
        <v>0</v>
      </c>
      <c r="G454" s="12">
        <v>0</v>
      </c>
      <c r="H454" s="10">
        <f t="shared" si="159"/>
        <v>0</v>
      </c>
      <c r="I454" s="38"/>
      <c r="J454" s="19" cm="1">
        <f t="array" ref="J454">IFERROR(IF(_xlfn.XLOOKUP(L454,NC導入施設!B:B,NC導入施設!E:E)=0,_xlfn.IFS(H454&lt;=5,0,H454&lt;=10,1,H454&lt;=15,2,H454&gt;=16,3),"Null"),"-")</f>
        <v>0</v>
      </c>
      <c r="K454" s="61"/>
      <c r="L454" s="1">
        <v>2414801100</v>
      </c>
    </row>
    <row r="455" spans="1:12" ht="18" customHeight="1" x14ac:dyDescent="0.45">
      <c r="A455" s="8">
        <v>449</v>
      </c>
      <c r="B455" s="35" t="str">
        <f t="shared" si="185"/>
        <v>神奈川静岡本部</v>
      </c>
      <c r="C455" s="35" t="str">
        <f t="shared" si="185"/>
        <v>ラヴィーレ綱島</v>
      </c>
      <c r="D455" s="9" t="s">
        <v>6</v>
      </c>
      <c r="E455" s="10">
        <v>4</v>
      </c>
      <c r="F455" s="12">
        <v>0</v>
      </c>
      <c r="G455" s="12">
        <v>0</v>
      </c>
      <c r="H455" s="10">
        <f t="shared" si="159"/>
        <v>0</v>
      </c>
      <c r="I455" s="38"/>
      <c r="J455" s="19" cm="1">
        <f t="array" ref="J455">IFERROR(IF(_xlfn.XLOOKUP(L455,NC導入施設!B:B,NC導入施設!E:E)=0,_xlfn.IFS(H455&lt;=5,0,H455&lt;=10,1,H455&lt;=15,2,H455&gt;=16,3),"Null"),"-")</f>
        <v>0</v>
      </c>
      <c r="K455" s="61"/>
      <c r="L455" s="1">
        <v>2414801100</v>
      </c>
    </row>
    <row r="456" spans="1:12" ht="18" customHeight="1" x14ac:dyDescent="0.45">
      <c r="A456" s="8">
        <v>450</v>
      </c>
      <c r="B456" s="36" t="str">
        <f t="shared" si="185"/>
        <v>神奈川静岡本部</v>
      </c>
      <c r="C456" s="36" t="str">
        <f t="shared" si="185"/>
        <v>ラヴィーレ綱島</v>
      </c>
      <c r="D456" s="9" t="s">
        <v>2</v>
      </c>
      <c r="E456" s="10">
        <v>1</v>
      </c>
      <c r="F456" s="12">
        <v>0</v>
      </c>
      <c r="G456" s="12">
        <v>0</v>
      </c>
      <c r="H456" s="10">
        <f t="shared" ref="H456:H519" si="186">F456</f>
        <v>0</v>
      </c>
      <c r="I456" s="39"/>
      <c r="J456" s="19" cm="1">
        <f t="array" ref="J456">IFERROR(IF(_xlfn.XLOOKUP(L456,NC導入施設!B:B,NC導入施設!E:E)=0,_xlfn.IFS(H456&lt;=5,0,H456&lt;=10,1,H456&lt;=15,2,H456&gt;=16,3),"Null"),"-")</f>
        <v>0</v>
      </c>
      <c r="K456" s="62"/>
      <c r="L456" s="1">
        <v>2414801100</v>
      </c>
    </row>
    <row r="457" spans="1:12" ht="18" customHeight="1" x14ac:dyDescent="0.45">
      <c r="A457" s="13">
        <v>451</v>
      </c>
      <c r="B457" s="40" t="s">
        <v>48</v>
      </c>
      <c r="C457" s="40" t="s">
        <v>52</v>
      </c>
      <c r="D457" s="14" t="s">
        <v>3</v>
      </c>
      <c r="E457" s="15">
        <v>1</v>
      </c>
      <c r="F457" s="17">
        <v>9</v>
      </c>
      <c r="G457" s="17">
        <v>9</v>
      </c>
      <c r="H457" s="15">
        <f t="shared" si="186"/>
        <v>9</v>
      </c>
      <c r="I457" s="43" cm="1">
        <f t="array" ref="I457">IF(J457="-","-",_xlfn.IFS(K457&lt;=5,0,K457&lt;=10,1,K457&lt;=15,2,K457&gt;=16,3))</f>
        <v>2</v>
      </c>
      <c r="J457" s="19" cm="1">
        <f t="array" ref="J457">IFERROR(IF(_xlfn.XLOOKUP(L457,NC導入施設!B:B,NC導入施設!E:E)=0,_xlfn.IFS(H457&lt;=5,0,H457&lt;=10,1,H457&lt;=15,2,H457&gt;=16,3),"Null"),"-")</f>
        <v>1</v>
      </c>
      <c r="K457" s="60">
        <f t="shared" ref="K457" si="187">IFERROR(SUM(H457:H461),"-")</f>
        <v>12</v>
      </c>
      <c r="L457" s="1">
        <v>2414851200</v>
      </c>
    </row>
    <row r="458" spans="1:12" ht="18" customHeight="1" x14ac:dyDescent="0.45">
      <c r="A458" s="13">
        <v>452</v>
      </c>
      <c r="B458" s="41" t="str">
        <f t="shared" ref="B458:C461" si="188">B457</f>
        <v>神奈川静岡本部</v>
      </c>
      <c r="C458" s="41" t="str">
        <f t="shared" si="188"/>
        <v>そんぽの家　横浜神大寺</v>
      </c>
      <c r="D458" s="14" t="s">
        <v>4</v>
      </c>
      <c r="E458" s="15">
        <v>2</v>
      </c>
      <c r="F458" s="17">
        <v>1</v>
      </c>
      <c r="G458" s="17">
        <v>0.5</v>
      </c>
      <c r="H458" s="15">
        <f t="shared" si="186"/>
        <v>1</v>
      </c>
      <c r="I458" s="44"/>
      <c r="J458" s="19" cm="1">
        <f t="array" ref="J458">IFERROR(IF(_xlfn.XLOOKUP(L458,NC導入施設!B:B,NC導入施設!E:E)=0,_xlfn.IFS(H458&lt;=5,0,H458&lt;=10,1,H458&lt;=15,2,H458&gt;=16,3),"Null"),"-")</f>
        <v>0</v>
      </c>
      <c r="K458" s="61"/>
      <c r="L458" s="1">
        <v>2414851200</v>
      </c>
    </row>
    <row r="459" spans="1:12" ht="18" customHeight="1" x14ac:dyDescent="0.45">
      <c r="A459" s="13">
        <v>453</v>
      </c>
      <c r="B459" s="41" t="str">
        <f t="shared" si="188"/>
        <v>神奈川静岡本部</v>
      </c>
      <c r="C459" s="41" t="str">
        <f t="shared" si="188"/>
        <v>そんぽの家　横浜神大寺</v>
      </c>
      <c r="D459" s="14" t="s">
        <v>5</v>
      </c>
      <c r="E459" s="15">
        <v>2</v>
      </c>
      <c r="F459" s="17">
        <v>2</v>
      </c>
      <c r="G459" s="17">
        <v>1</v>
      </c>
      <c r="H459" s="15">
        <f t="shared" si="186"/>
        <v>2</v>
      </c>
      <c r="I459" s="44"/>
      <c r="J459" s="19" cm="1">
        <f t="array" ref="J459">IFERROR(IF(_xlfn.XLOOKUP(L459,NC導入施設!B:B,NC導入施設!E:E)=0,_xlfn.IFS(H459&lt;=5,0,H459&lt;=10,1,H459&lt;=15,2,H459&gt;=16,3),"Null"),"-")</f>
        <v>0</v>
      </c>
      <c r="K459" s="61"/>
      <c r="L459" s="1">
        <v>2414851200</v>
      </c>
    </row>
    <row r="460" spans="1:12" ht="18" customHeight="1" x14ac:dyDescent="0.45">
      <c r="A460" s="13">
        <v>454</v>
      </c>
      <c r="B460" s="41" t="str">
        <f t="shared" si="188"/>
        <v>神奈川静岡本部</v>
      </c>
      <c r="C460" s="41" t="str">
        <f t="shared" si="188"/>
        <v>そんぽの家　横浜神大寺</v>
      </c>
      <c r="D460" s="14" t="s">
        <v>6</v>
      </c>
      <c r="E460" s="15">
        <v>5</v>
      </c>
      <c r="F460" s="17">
        <v>0</v>
      </c>
      <c r="G460" s="17">
        <v>0</v>
      </c>
      <c r="H460" s="15">
        <f t="shared" si="186"/>
        <v>0</v>
      </c>
      <c r="I460" s="44"/>
      <c r="J460" s="19" cm="1">
        <f t="array" ref="J460">IFERROR(IF(_xlfn.XLOOKUP(L460,NC導入施設!B:B,NC導入施設!E:E)=0,_xlfn.IFS(H460&lt;=5,0,H460&lt;=10,1,H460&lt;=15,2,H460&gt;=16,3),"Null"),"-")</f>
        <v>0</v>
      </c>
      <c r="K460" s="61"/>
      <c r="L460" s="1">
        <v>2414851200</v>
      </c>
    </row>
    <row r="461" spans="1:12" ht="18" customHeight="1" x14ac:dyDescent="0.45">
      <c r="A461" s="13">
        <v>455</v>
      </c>
      <c r="B461" s="42" t="str">
        <f t="shared" si="188"/>
        <v>神奈川静岡本部</v>
      </c>
      <c r="C461" s="42" t="str">
        <f t="shared" si="188"/>
        <v>そんぽの家　横浜神大寺</v>
      </c>
      <c r="D461" s="14" t="s">
        <v>2</v>
      </c>
      <c r="E461" s="15">
        <v>0</v>
      </c>
      <c r="F461" s="17">
        <v>0</v>
      </c>
      <c r="G461" s="17">
        <v>0</v>
      </c>
      <c r="H461" s="15">
        <f t="shared" si="186"/>
        <v>0</v>
      </c>
      <c r="I461" s="45"/>
      <c r="J461" s="19" cm="1">
        <f t="array" ref="J461">IFERROR(IF(_xlfn.XLOOKUP(L461,NC導入施設!B:B,NC導入施設!E:E)=0,_xlfn.IFS(H461&lt;=5,0,H461&lt;=10,1,H461&lt;=15,2,H461&gt;=16,3),"Null"),"-")</f>
        <v>0</v>
      </c>
      <c r="K461" s="62"/>
      <c r="L461" s="1">
        <v>2414851200</v>
      </c>
    </row>
    <row r="462" spans="1:12" ht="18" customHeight="1" x14ac:dyDescent="0.45">
      <c r="A462" s="8">
        <v>456</v>
      </c>
      <c r="B462" s="34" t="s">
        <v>48</v>
      </c>
      <c r="C462" s="34" t="s">
        <v>234</v>
      </c>
      <c r="D462" s="9" t="s">
        <v>3</v>
      </c>
      <c r="E462" s="10">
        <v>1</v>
      </c>
      <c r="F462" s="12">
        <v>2</v>
      </c>
      <c r="G462" s="12">
        <v>2</v>
      </c>
      <c r="H462" s="10">
        <f t="shared" si="186"/>
        <v>2</v>
      </c>
      <c r="I462" s="37" cm="1">
        <f t="array" ref="I462">IF(J462="-","-",_xlfn.IFS(K462&lt;=5,0,K462&lt;=10,1,K462&lt;=15,2,K462&gt;=16,3))</f>
        <v>3</v>
      </c>
      <c r="J462" s="19" cm="1">
        <f t="array" ref="J462">IFERROR(IF(_xlfn.XLOOKUP(L462,NC導入施設!B:B,NC導入施設!E:E)=0,_xlfn.IFS(H462&lt;=5,0,H462&lt;=10,1,H462&lt;=15,2,H462&gt;=16,3),"Null"),"-")</f>
        <v>0</v>
      </c>
      <c r="K462" s="60">
        <f t="shared" ref="K462" si="189">IFERROR(SUM(H462:H466),"-")</f>
        <v>51</v>
      </c>
      <c r="L462" s="1">
        <v>2414891100</v>
      </c>
    </row>
    <row r="463" spans="1:12" ht="18" customHeight="1" x14ac:dyDescent="0.45">
      <c r="A463" s="8">
        <v>457</v>
      </c>
      <c r="B463" s="35" t="str">
        <f t="shared" ref="B463:C466" si="190">B462</f>
        <v>神奈川静岡本部</v>
      </c>
      <c r="C463" s="35" t="str">
        <f t="shared" si="190"/>
        <v>ラヴィーレあざみ野</v>
      </c>
      <c r="D463" s="9" t="s">
        <v>4</v>
      </c>
      <c r="E463" s="10">
        <v>2</v>
      </c>
      <c r="F463" s="12">
        <v>18</v>
      </c>
      <c r="G463" s="12">
        <v>9</v>
      </c>
      <c r="H463" s="10">
        <f t="shared" si="186"/>
        <v>18</v>
      </c>
      <c r="I463" s="38"/>
      <c r="J463" s="19" cm="1">
        <f t="array" ref="J463">IFERROR(IF(_xlfn.XLOOKUP(L463,NC導入施設!B:B,NC導入施設!E:E)=0,_xlfn.IFS(H463&lt;=5,0,H463&lt;=10,1,H463&lt;=15,2,H463&gt;=16,3),"Null"),"-")</f>
        <v>3</v>
      </c>
      <c r="K463" s="61"/>
      <c r="L463" s="1">
        <v>2414891100</v>
      </c>
    </row>
    <row r="464" spans="1:12" ht="18" customHeight="1" x14ac:dyDescent="0.45">
      <c r="A464" s="8">
        <v>458</v>
      </c>
      <c r="B464" s="35" t="str">
        <f t="shared" si="190"/>
        <v>神奈川静岡本部</v>
      </c>
      <c r="C464" s="35" t="str">
        <f t="shared" si="190"/>
        <v>ラヴィーレあざみ野</v>
      </c>
      <c r="D464" s="9" t="s">
        <v>5</v>
      </c>
      <c r="E464" s="10">
        <v>4</v>
      </c>
      <c r="F464" s="12">
        <v>31</v>
      </c>
      <c r="G464" s="12">
        <v>7.8</v>
      </c>
      <c r="H464" s="10">
        <f t="shared" si="186"/>
        <v>31</v>
      </c>
      <c r="I464" s="38"/>
      <c r="J464" s="19" cm="1">
        <f t="array" ref="J464">IFERROR(IF(_xlfn.XLOOKUP(L464,NC導入施設!B:B,NC導入施設!E:E)=0,_xlfn.IFS(H464&lt;=5,0,H464&lt;=10,1,H464&lt;=15,2,H464&gt;=16,3),"Null"),"-")</f>
        <v>3</v>
      </c>
      <c r="K464" s="61"/>
      <c r="L464" s="1">
        <v>2414891100</v>
      </c>
    </row>
    <row r="465" spans="1:12" ht="18" customHeight="1" x14ac:dyDescent="0.45">
      <c r="A465" s="8">
        <v>459</v>
      </c>
      <c r="B465" s="35" t="str">
        <f t="shared" si="190"/>
        <v>神奈川静岡本部</v>
      </c>
      <c r="C465" s="35" t="str">
        <f t="shared" si="190"/>
        <v>ラヴィーレあざみ野</v>
      </c>
      <c r="D465" s="9" t="s">
        <v>6</v>
      </c>
      <c r="E465" s="10">
        <v>14</v>
      </c>
      <c r="F465" s="12">
        <v>0</v>
      </c>
      <c r="G465" s="12">
        <v>0</v>
      </c>
      <c r="H465" s="10">
        <f t="shared" si="186"/>
        <v>0</v>
      </c>
      <c r="I465" s="38"/>
      <c r="J465" s="19" cm="1">
        <f t="array" ref="J465">IFERROR(IF(_xlfn.XLOOKUP(L465,NC導入施設!B:B,NC導入施設!E:E)=0,_xlfn.IFS(H465&lt;=5,0,H465&lt;=10,1,H465&lt;=15,2,H465&gt;=16,3),"Null"),"-")</f>
        <v>0</v>
      </c>
      <c r="K465" s="61"/>
      <c r="L465" s="1">
        <v>2414891100</v>
      </c>
    </row>
    <row r="466" spans="1:12" ht="18" customHeight="1" x14ac:dyDescent="0.45">
      <c r="A466" s="8">
        <v>460</v>
      </c>
      <c r="B466" s="36" t="str">
        <f t="shared" si="190"/>
        <v>神奈川静岡本部</v>
      </c>
      <c r="C466" s="36" t="str">
        <f t="shared" si="190"/>
        <v>ラヴィーレあざみ野</v>
      </c>
      <c r="D466" s="9" t="s">
        <v>2</v>
      </c>
      <c r="E466" s="10">
        <v>4</v>
      </c>
      <c r="F466" s="12">
        <v>0</v>
      </c>
      <c r="G466" s="12">
        <v>0</v>
      </c>
      <c r="H466" s="10">
        <f t="shared" si="186"/>
        <v>0</v>
      </c>
      <c r="I466" s="39"/>
      <c r="J466" s="19" cm="1">
        <f t="array" ref="J466">IFERROR(IF(_xlfn.XLOOKUP(L466,NC導入施設!B:B,NC導入施設!E:E)=0,_xlfn.IFS(H466&lt;=5,0,H466&lt;=10,1,H466&lt;=15,2,H466&gt;=16,3),"Null"),"-")</f>
        <v>0</v>
      </c>
      <c r="K466" s="62"/>
      <c r="L466" s="1">
        <v>2414891100</v>
      </c>
    </row>
    <row r="467" spans="1:12" ht="18" customHeight="1" x14ac:dyDescent="0.45">
      <c r="A467" s="13">
        <v>461</v>
      </c>
      <c r="B467" s="40" t="s">
        <v>48</v>
      </c>
      <c r="C467" s="40" t="s">
        <v>235</v>
      </c>
      <c r="D467" s="14" t="s">
        <v>3</v>
      </c>
      <c r="E467" s="15">
        <v>1</v>
      </c>
      <c r="F467" s="17">
        <v>8</v>
      </c>
      <c r="G467" s="17">
        <v>8</v>
      </c>
      <c r="H467" s="15">
        <f t="shared" si="186"/>
        <v>8</v>
      </c>
      <c r="I467" s="43" cm="1">
        <f t="array" ref="I467">IF(J467="-","-",_xlfn.IFS(K467&lt;=5,0,K467&lt;=10,1,K467&lt;=15,2,K467&gt;=16,3))</f>
        <v>3</v>
      </c>
      <c r="J467" s="19" cm="1">
        <f t="array" ref="J467">IFERROR(IF(_xlfn.XLOOKUP(L467,NC導入施設!B:B,NC導入施設!E:E)=0,_xlfn.IFS(H467&lt;=5,0,H467&lt;=10,1,H467&lt;=15,2,H467&gt;=16,3),"Null"),"-")</f>
        <v>1</v>
      </c>
      <c r="K467" s="60">
        <f t="shared" ref="K467" si="191">IFERROR(SUM(H467:H471),"-")</f>
        <v>28</v>
      </c>
      <c r="L467" s="1">
        <v>2414911100</v>
      </c>
    </row>
    <row r="468" spans="1:12" ht="18" customHeight="1" x14ac:dyDescent="0.45">
      <c r="A468" s="13">
        <v>462</v>
      </c>
      <c r="B468" s="41" t="str">
        <f t="shared" ref="B468:C471" si="192">B467</f>
        <v>神奈川静岡本部</v>
      </c>
      <c r="C468" s="41" t="str">
        <f t="shared" si="192"/>
        <v>ラヴィーレ十日市場</v>
      </c>
      <c r="D468" s="14" t="s">
        <v>4</v>
      </c>
      <c r="E468" s="15">
        <v>1</v>
      </c>
      <c r="F468" s="17">
        <v>13</v>
      </c>
      <c r="G468" s="17">
        <v>13</v>
      </c>
      <c r="H468" s="15">
        <f t="shared" si="186"/>
        <v>13</v>
      </c>
      <c r="I468" s="44"/>
      <c r="J468" s="19" cm="1">
        <f t="array" ref="J468">IFERROR(IF(_xlfn.XLOOKUP(L468,NC導入施設!B:B,NC導入施設!E:E)=0,_xlfn.IFS(H468&lt;=5,0,H468&lt;=10,1,H468&lt;=15,2,H468&gt;=16,3),"Null"),"-")</f>
        <v>2</v>
      </c>
      <c r="K468" s="61"/>
      <c r="L468" s="1">
        <v>2414911100</v>
      </c>
    </row>
    <row r="469" spans="1:12" ht="18" customHeight="1" x14ac:dyDescent="0.45">
      <c r="A469" s="13">
        <v>463</v>
      </c>
      <c r="B469" s="41" t="str">
        <f t="shared" si="192"/>
        <v>神奈川静岡本部</v>
      </c>
      <c r="C469" s="41" t="str">
        <f t="shared" si="192"/>
        <v>ラヴィーレ十日市場</v>
      </c>
      <c r="D469" s="14" t="s">
        <v>5</v>
      </c>
      <c r="E469" s="15">
        <v>2</v>
      </c>
      <c r="F469" s="17">
        <v>7</v>
      </c>
      <c r="G469" s="17">
        <v>3.5</v>
      </c>
      <c r="H469" s="15">
        <f t="shared" si="186"/>
        <v>7</v>
      </c>
      <c r="I469" s="44"/>
      <c r="J469" s="19" cm="1">
        <f t="array" ref="J469">IFERROR(IF(_xlfn.XLOOKUP(L469,NC導入施設!B:B,NC導入施設!E:E)=0,_xlfn.IFS(H469&lt;=5,0,H469&lt;=10,1,H469&lt;=15,2,H469&gt;=16,3),"Null"),"-")</f>
        <v>1</v>
      </c>
      <c r="K469" s="61"/>
      <c r="L469" s="1">
        <v>2414911100</v>
      </c>
    </row>
    <row r="470" spans="1:12" ht="18" customHeight="1" x14ac:dyDescent="0.45">
      <c r="A470" s="13">
        <v>464</v>
      </c>
      <c r="B470" s="41" t="str">
        <f t="shared" si="192"/>
        <v>神奈川静岡本部</v>
      </c>
      <c r="C470" s="41" t="str">
        <f t="shared" si="192"/>
        <v>ラヴィーレ十日市場</v>
      </c>
      <c r="D470" s="14" t="s">
        <v>6</v>
      </c>
      <c r="E470" s="15">
        <v>3</v>
      </c>
      <c r="F470" s="17">
        <v>0</v>
      </c>
      <c r="G470" s="17">
        <v>0</v>
      </c>
      <c r="H470" s="15">
        <f t="shared" si="186"/>
        <v>0</v>
      </c>
      <c r="I470" s="44"/>
      <c r="J470" s="19" cm="1">
        <f t="array" ref="J470">IFERROR(IF(_xlfn.XLOOKUP(L470,NC導入施設!B:B,NC導入施設!E:E)=0,_xlfn.IFS(H470&lt;=5,0,H470&lt;=10,1,H470&lt;=15,2,H470&gt;=16,3),"Null"),"-")</f>
        <v>0</v>
      </c>
      <c r="K470" s="61"/>
      <c r="L470" s="1">
        <v>2414911100</v>
      </c>
    </row>
    <row r="471" spans="1:12" ht="18" customHeight="1" x14ac:dyDescent="0.45">
      <c r="A471" s="13">
        <v>465</v>
      </c>
      <c r="B471" s="42" t="str">
        <f t="shared" si="192"/>
        <v>神奈川静岡本部</v>
      </c>
      <c r="C471" s="42" t="str">
        <f t="shared" si="192"/>
        <v>ラヴィーレ十日市場</v>
      </c>
      <c r="D471" s="14" t="s">
        <v>2</v>
      </c>
      <c r="E471" s="15">
        <v>2</v>
      </c>
      <c r="F471" s="17">
        <v>0</v>
      </c>
      <c r="G471" s="17">
        <v>0</v>
      </c>
      <c r="H471" s="15">
        <f t="shared" si="186"/>
        <v>0</v>
      </c>
      <c r="I471" s="45"/>
      <c r="J471" s="19" cm="1">
        <f t="array" ref="J471">IFERROR(IF(_xlfn.XLOOKUP(L471,NC導入施設!B:B,NC導入施設!E:E)=0,_xlfn.IFS(H471&lt;=5,0,H471&lt;=10,1,H471&lt;=15,2,H471&gt;=16,3),"Null"),"-")</f>
        <v>0</v>
      </c>
      <c r="K471" s="62"/>
      <c r="L471" s="1">
        <v>2414911100</v>
      </c>
    </row>
    <row r="472" spans="1:12" ht="18" customHeight="1" x14ac:dyDescent="0.45">
      <c r="A472" s="8">
        <v>466</v>
      </c>
      <c r="B472" s="34" t="s">
        <v>48</v>
      </c>
      <c r="C472" s="34" t="s">
        <v>236</v>
      </c>
      <c r="D472" s="9" t="s">
        <v>3</v>
      </c>
      <c r="E472" s="10">
        <v>1</v>
      </c>
      <c r="F472" s="12">
        <v>7</v>
      </c>
      <c r="G472" s="12">
        <v>7</v>
      </c>
      <c r="H472" s="10">
        <f t="shared" si="186"/>
        <v>7</v>
      </c>
      <c r="I472" s="37" cm="1">
        <f t="array" ref="I472">IF(J472="-","-",_xlfn.IFS(K472&lt;=5,0,K472&lt;=10,1,K472&lt;=15,2,K472&gt;=16,3))</f>
        <v>2</v>
      </c>
      <c r="J472" s="19" cm="1">
        <f t="array" ref="J472">IFERROR(IF(_xlfn.XLOOKUP(L472,NC導入施設!B:B,NC導入施設!E:E)=0,_xlfn.IFS(H472&lt;=5,0,H472&lt;=10,1,H472&lt;=15,2,H472&gt;=16,3),"Null"),"-")</f>
        <v>1</v>
      </c>
      <c r="K472" s="60">
        <f t="shared" ref="K472" si="193">IFERROR(SUM(H472:H476),"-")</f>
        <v>15</v>
      </c>
      <c r="L472" s="1">
        <v>2414981100</v>
      </c>
    </row>
    <row r="473" spans="1:12" ht="18" customHeight="1" x14ac:dyDescent="0.45">
      <c r="A473" s="8">
        <v>467</v>
      </c>
      <c r="B473" s="35" t="str">
        <f t="shared" ref="B473:C476" si="194">B472</f>
        <v>神奈川静岡本部</v>
      </c>
      <c r="C473" s="35" t="str">
        <f t="shared" si="194"/>
        <v>ラヴィーレ浜川崎</v>
      </c>
      <c r="D473" s="9" t="s">
        <v>4</v>
      </c>
      <c r="E473" s="10">
        <v>1</v>
      </c>
      <c r="F473" s="12">
        <v>5</v>
      </c>
      <c r="G473" s="12">
        <v>5</v>
      </c>
      <c r="H473" s="10">
        <f t="shared" si="186"/>
        <v>5</v>
      </c>
      <c r="I473" s="38"/>
      <c r="J473" s="19" cm="1">
        <f t="array" ref="J473">IFERROR(IF(_xlfn.XLOOKUP(L473,NC導入施設!B:B,NC導入施設!E:E)=0,_xlfn.IFS(H473&lt;=5,0,H473&lt;=10,1,H473&lt;=15,2,H473&gt;=16,3),"Null"),"-")</f>
        <v>0</v>
      </c>
      <c r="K473" s="61"/>
      <c r="L473" s="1">
        <v>2414981100</v>
      </c>
    </row>
    <row r="474" spans="1:12" ht="18" customHeight="1" x14ac:dyDescent="0.45">
      <c r="A474" s="8">
        <v>468</v>
      </c>
      <c r="B474" s="35" t="str">
        <f t="shared" si="194"/>
        <v>神奈川静岡本部</v>
      </c>
      <c r="C474" s="35" t="str">
        <f t="shared" si="194"/>
        <v>ラヴィーレ浜川崎</v>
      </c>
      <c r="D474" s="9" t="s">
        <v>5</v>
      </c>
      <c r="E474" s="10">
        <v>2</v>
      </c>
      <c r="F474" s="12">
        <v>2</v>
      </c>
      <c r="G474" s="12">
        <v>1</v>
      </c>
      <c r="H474" s="10">
        <f t="shared" si="186"/>
        <v>2</v>
      </c>
      <c r="I474" s="38"/>
      <c r="J474" s="19" cm="1">
        <f t="array" ref="J474">IFERROR(IF(_xlfn.XLOOKUP(L474,NC導入施設!B:B,NC導入施設!E:E)=0,_xlfn.IFS(H474&lt;=5,0,H474&lt;=10,1,H474&lt;=15,2,H474&gt;=16,3),"Null"),"-")</f>
        <v>0</v>
      </c>
      <c r="K474" s="61"/>
      <c r="L474" s="1">
        <v>2414981100</v>
      </c>
    </row>
    <row r="475" spans="1:12" ht="18" customHeight="1" x14ac:dyDescent="0.45">
      <c r="A475" s="8">
        <v>469</v>
      </c>
      <c r="B475" s="35" t="str">
        <f t="shared" si="194"/>
        <v>神奈川静岡本部</v>
      </c>
      <c r="C475" s="35" t="str">
        <f t="shared" si="194"/>
        <v>ラヴィーレ浜川崎</v>
      </c>
      <c r="D475" s="9" t="s">
        <v>6</v>
      </c>
      <c r="E475" s="10">
        <v>3</v>
      </c>
      <c r="F475" s="12">
        <v>1</v>
      </c>
      <c r="G475" s="12">
        <v>0.3</v>
      </c>
      <c r="H475" s="10">
        <f t="shared" si="186"/>
        <v>1</v>
      </c>
      <c r="I475" s="38"/>
      <c r="J475" s="19" cm="1">
        <f t="array" ref="J475">IFERROR(IF(_xlfn.XLOOKUP(L475,NC導入施設!B:B,NC導入施設!E:E)=0,_xlfn.IFS(H475&lt;=5,0,H475&lt;=10,1,H475&lt;=15,2,H475&gt;=16,3),"Null"),"-")</f>
        <v>0</v>
      </c>
      <c r="K475" s="61"/>
      <c r="L475" s="1">
        <v>2414981100</v>
      </c>
    </row>
    <row r="476" spans="1:12" ht="18" customHeight="1" x14ac:dyDescent="0.45">
      <c r="A476" s="8">
        <v>470</v>
      </c>
      <c r="B476" s="36" t="str">
        <f t="shared" si="194"/>
        <v>神奈川静岡本部</v>
      </c>
      <c r="C476" s="36" t="str">
        <f t="shared" si="194"/>
        <v>ラヴィーレ浜川崎</v>
      </c>
      <c r="D476" s="9" t="s">
        <v>2</v>
      </c>
      <c r="E476" s="10">
        <v>1</v>
      </c>
      <c r="F476" s="12">
        <v>0</v>
      </c>
      <c r="G476" s="12">
        <v>0</v>
      </c>
      <c r="H476" s="10">
        <f t="shared" si="186"/>
        <v>0</v>
      </c>
      <c r="I476" s="39"/>
      <c r="J476" s="19" cm="1">
        <f t="array" ref="J476">IFERROR(IF(_xlfn.XLOOKUP(L476,NC導入施設!B:B,NC導入施設!E:E)=0,_xlfn.IFS(H476&lt;=5,0,H476&lt;=10,1,H476&lt;=15,2,H476&gt;=16,3),"Null"),"-")</f>
        <v>0</v>
      </c>
      <c r="K476" s="62"/>
      <c r="L476" s="1">
        <v>2414981100</v>
      </c>
    </row>
    <row r="477" spans="1:12" ht="18" customHeight="1" x14ac:dyDescent="0.45">
      <c r="A477" s="13">
        <v>471</v>
      </c>
      <c r="B477" s="40" t="s">
        <v>48</v>
      </c>
      <c r="C477" s="40" t="s">
        <v>237</v>
      </c>
      <c r="D477" s="14" t="s">
        <v>3</v>
      </c>
      <c r="E477" s="15">
        <v>1</v>
      </c>
      <c r="F477" s="17">
        <v>1</v>
      </c>
      <c r="G477" s="17">
        <v>1</v>
      </c>
      <c r="H477" s="15">
        <f t="shared" si="186"/>
        <v>1</v>
      </c>
      <c r="I477" s="43" cm="1">
        <f t="array" ref="I477">IF(J477="-","-",_xlfn.IFS(K477&lt;=5,0,K477&lt;=10,1,K477&lt;=15,2,K477&gt;=16,3))</f>
        <v>1</v>
      </c>
      <c r="J477" s="19" cm="1">
        <f t="array" ref="J477">IFERROR(IF(_xlfn.XLOOKUP(L477,NC導入施設!B:B,NC導入施設!E:E)=0,_xlfn.IFS(H477&lt;=5,0,H477&lt;=10,1,H477&lt;=15,2,H477&gt;=16,3),"Null"),"-")</f>
        <v>0</v>
      </c>
      <c r="K477" s="60">
        <f t="shared" ref="K477" si="195">IFERROR(SUM(H477:H481),"-")</f>
        <v>7</v>
      </c>
      <c r="L477" s="1">
        <v>2414991100</v>
      </c>
    </row>
    <row r="478" spans="1:12" ht="18" customHeight="1" x14ac:dyDescent="0.45">
      <c r="A478" s="13">
        <v>472</v>
      </c>
      <c r="B478" s="41" t="str">
        <f t="shared" ref="B478:C481" si="196">B477</f>
        <v>神奈川静岡本部</v>
      </c>
      <c r="C478" s="41" t="str">
        <f t="shared" si="196"/>
        <v>ラヴィーレ川崎</v>
      </c>
      <c r="D478" s="14" t="s">
        <v>4</v>
      </c>
      <c r="E478" s="15">
        <v>2</v>
      </c>
      <c r="F478" s="17">
        <v>5</v>
      </c>
      <c r="G478" s="17">
        <v>2.5</v>
      </c>
      <c r="H478" s="15">
        <f t="shared" si="186"/>
        <v>5</v>
      </c>
      <c r="I478" s="44"/>
      <c r="J478" s="19" cm="1">
        <f t="array" ref="J478">IFERROR(IF(_xlfn.XLOOKUP(L478,NC導入施設!B:B,NC導入施設!E:E)=0,_xlfn.IFS(H478&lt;=5,0,H478&lt;=10,1,H478&lt;=15,2,H478&gt;=16,3),"Null"),"-")</f>
        <v>0</v>
      </c>
      <c r="K478" s="61"/>
      <c r="L478" s="1">
        <v>2414991100</v>
      </c>
    </row>
    <row r="479" spans="1:12" ht="18" customHeight="1" x14ac:dyDescent="0.45">
      <c r="A479" s="13">
        <v>473</v>
      </c>
      <c r="B479" s="41" t="str">
        <f t="shared" si="196"/>
        <v>神奈川静岡本部</v>
      </c>
      <c r="C479" s="41" t="str">
        <f t="shared" si="196"/>
        <v>ラヴィーレ川崎</v>
      </c>
      <c r="D479" s="14" t="s">
        <v>5</v>
      </c>
      <c r="E479" s="15">
        <v>2</v>
      </c>
      <c r="F479" s="17">
        <v>1</v>
      </c>
      <c r="G479" s="17">
        <v>0.5</v>
      </c>
      <c r="H479" s="15">
        <f t="shared" si="186"/>
        <v>1</v>
      </c>
      <c r="I479" s="44"/>
      <c r="J479" s="19" cm="1">
        <f t="array" ref="J479">IFERROR(IF(_xlfn.XLOOKUP(L479,NC導入施設!B:B,NC導入施設!E:E)=0,_xlfn.IFS(H479&lt;=5,0,H479&lt;=10,1,H479&lt;=15,2,H479&gt;=16,3),"Null"),"-")</f>
        <v>0</v>
      </c>
      <c r="K479" s="61"/>
      <c r="L479" s="1">
        <v>2414991100</v>
      </c>
    </row>
    <row r="480" spans="1:12" ht="18" customHeight="1" x14ac:dyDescent="0.45">
      <c r="A480" s="13">
        <v>474</v>
      </c>
      <c r="B480" s="41" t="str">
        <f t="shared" si="196"/>
        <v>神奈川静岡本部</v>
      </c>
      <c r="C480" s="41" t="str">
        <f t="shared" si="196"/>
        <v>ラヴィーレ川崎</v>
      </c>
      <c r="D480" s="14" t="s">
        <v>6</v>
      </c>
      <c r="E480" s="15">
        <v>4</v>
      </c>
      <c r="F480" s="17">
        <v>0</v>
      </c>
      <c r="G480" s="17">
        <v>0</v>
      </c>
      <c r="H480" s="15">
        <f t="shared" si="186"/>
        <v>0</v>
      </c>
      <c r="I480" s="44"/>
      <c r="J480" s="19" cm="1">
        <f t="array" ref="J480">IFERROR(IF(_xlfn.XLOOKUP(L480,NC導入施設!B:B,NC導入施設!E:E)=0,_xlfn.IFS(H480&lt;=5,0,H480&lt;=10,1,H480&lt;=15,2,H480&gt;=16,3),"Null"),"-")</f>
        <v>0</v>
      </c>
      <c r="K480" s="61"/>
      <c r="L480" s="1">
        <v>2414991100</v>
      </c>
    </row>
    <row r="481" spans="1:12" ht="18" customHeight="1" x14ac:dyDescent="0.45">
      <c r="A481" s="13">
        <v>475</v>
      </c>
      <c r="B481" s="42" t="str">
        <f t="shared" si="196"/>
        <v>神奈川静岡本部</v>
      </c>
      <c r="C481" s="42" t="str">
        <f t="shared" si="196"/>
        <v>ラヴィーレ川崎</v>
      </c>
      <c r="D481" s="14" t="s">
        <v>2</v>
      </c>
      <c r="E481" s="15">
        <v>2</v>
      </c>
      <c r="F481" s="17">
        <v>0</v>
      </c>
      <c r="G481" s="17">
        <v>0</v>
      </c>
      <c r="H481" s="15">
        <f t="shared" si="186"/>
        <v>0</v>
      </c>
      <c r="I481" s="45"/>
      <c r="J481" s="19" cm="1">
        <f t="array" ref="J481">IFERROR(IF(_xlfn.XLOOKUP(L481,NC導入施設!B:B,NC導入施設!E:E)=0,_xlfn.IFS(H481&lt;=5,0,H481&lt;=10,1,H481&lt;=15,2,H481&gt;=16,3),"Null"),"-")</f>
        <v>0</v>
      </c>
      <c r="K481" s="62"/>
      <c r="L481" s="1">
        <v>2414991100</v>
      </c>
    </row>
    <row r="482" spans="1:12" ht="18" customHeight="1" x14ac:dyDescent="0.45">
      <c r="A482" s="8">
        <v>476</v>
      </c>
      <c r="B482" s="34" t="s">
        <v>48</v>
      </c>
      <c r="C482" s="34" t="s">
        <v>53</v>
      </c>
      <c r="D482" s="9" t="s">
        <v>3</v>
      </c>
      <c r="E482" s="10">
        <v>1</v>
      </c>
      <c r="F482" s="12">
        <v>1</v>
      </c>
      <c r="G482" s="12">
        <v>1</v>
      </c>
      <c r="H482" s="10">
        <f t="shared" si="186"/>
        <v>1</v>
      </c>
      <c r="I482" s="37" cm="1">
        <f t="array" ref="I482">IF(J482="-","-",_xlfn.IFS(K482&lt;=5,0,K482&lt;=10,1,K482&lt;=15,2,K482&gt;=16,3))</f>
        <v>0</v>
      </c>
      <c r="J482" s="19" cm="1">
        <f t="array" ref="J482">IFERROR(IF(_xlfn.XLOOKUP(L482,NC導入施設!B:B,NC導入施設!E:E)=0,_xlfn.IFS(H482&lt;=5,0,H482&lt;=10,1,H482&lt;=15,2,H482&gt;=16,3),"Null"),"-")</f>
        <v>0</v>
      </c>
      <c r="K482" s="60">
        <f t="shared" ref="K482" si="197">IFERROR(SUM(H482:H486),"-")</f>
        <v>2</v>
      </c>
      <c r="L482" s="1">
        <v>2415001200</v>
      </c>
    </row>
    <row r="483" spans="1:12" ht="18" customHeight="1" x14ac:dyDescent="0.45">
      <c r="A483" s="8">
        <v>477</v>
      </c>
      <c r="B483" s="35" t="str">
        <f t="shared" ref="B483:C486" si="198">B482</f>
        <v>神奈川静岡本部</v>
      </c>
      <c r="C483" s="35" t="str">
        <f t="shared" si="198"/>
        <v>そんぽの家　御幸公園</v>
      </c>
      <c r="D483" s="9" t="s">
        <v>4</v>
      </c>
      <c r="E483" s="10">
        <v>1</v>
      </c>
      <c r="F483" s="12">
        <v>1</v>
      </c>
      <c r="G483" s="12">
        <v>1</v>
      </c>
      <c r="H483" s="10">
        <f t="shared" si="186"/>
        <v>1</v>
      </c>
      <c r="I483" s="38"/>
      <c r="J483" s="19" cm="1">
        <f t="array" ref="J483">IFERROR(IF(_xlfn.XLOOKUP(L483,NC導入施設!B:B,NC導入施設!E:E)=0,_xlfn.IFS(H483&lt;=5,0,H483&lt;=10,1,H483&lt;=15,2,H483&gt;=16,3),"Null"),"-")</f>
        <v>0</v>
      </c>
      <c r="K483" s="61"/>
      <c r="L483" s="1">
        <v>2415001200</v>
      </c>
    </row>
    <row r="484" spans="1:12" ht="18" customHeight="1" x14ac:dyDescent="0.45">
      <c r="A484" s="8">
        <v>478</v>
      </c>
      <c r="B484" s="35" t="str">
        <f t="shared" si="198"/>
        <v>神奈川静岡本部</v>
      </c>
      <c r="C484" s="35" t="str">
        <f t="shared" si="198"/>
        <v>そんぽの家　御幸公園</v>
      </c>
      <c r="D484" s="9" t="s">
        <v>5</v>
      </c>
      <c r="E484" s="10">
        <v>2</v>
      </c>
      <c r="F484" s="12">
        <v>0</v>
      </c>
      <c r="G484" s="12">
        <v>0</v>
      </c>
      <c r="H484" s="10">
        <f t="shared" si="186"/>
        <v>0</v>
      </c>
      <c r="I484" s="38"/>
      <c r="J484" s="19" cm="1">
        <f t="array" ref="J484">IFERROR(IF(_xlfn.XLOOKUP(L484,NC導入施設!B:B,NC導入施設!E:E)=0,_xlfn.IFS(H484&lt;=5,0,H484&lt;=10,1,H484&lt;=15,2,H484&gt;=16,3),"Null"),"-")</f>
        <v>0</v>
      </c>
      <c r="K484" s="61"/>
      <c r="L484" s="1">
        <v>2415001200</v>
      </c>
    </row>
    <row r="485" spans="1:12" ht="18" customHeight="1" x14ac:dyDescent="0.45">
      <c r="A485" s="8">
        <v>479</v>
      </c>
      <c r="B485" s="35" t="str">
        <f t="shared" si="198"/>
        <v>神奈川静岡本部</v>
      </c>
      <c r="C485" s="35" t="str">
        <f t="shared" si="198"/>
        <v>そんぽの家　御幸公園</v>
      </c>
      <c r="D485" s="9" t="s">
        <v>6</v>
      </c>
      <c r="E485" s="10">
        <v>6</v>
      </c>
      <c r="F485" s="12">
        <v>0</v>
      </c>
      <c r="G485" s="12">
        <v>0</v>
      </c>
      <c r="H485" s="10">
        <f t="shared" si="186"/>
        <v>0</v>
      </c>
      <c r="I485" s="38"/>
      <c r="J485" s="19" cm="1">
        <f t="array" ref="J485">IFERROR(IF(_xlfn.XLOOKUP(L485,NC導入施設!B:B,NC導入施設!E:E)=0,_xlfn.IFS(H485&lt;=5,0,H485&lt;=10,1,H485&lt;=15,2,H485&gt;=16,3),"Null"),"-")</f>
        <v>0</v>
      </c>
      <c r="K485" s="61"/>
      <c r="L485" s="1">
        <v>2415001200</v>
      </c>
    </row>
    <row r="486" spans="1:12" ht="18" customHeight="1" x14ac:dyDescent="0.45">
      <c r="A486" s="8">
        <v>480</v>
      </c>
      <c r="B486" s="36" t="str">
        <f t="shared" si="198"/>
        <v>神奈川静岡本部</v>
      </c>
      <c r="C486" s="36" t="str">
        <f t="shared" si="198"/>
        <v>そんぽの家　御幸公園</v>
      </c>
      <c r="D486" s="9" t="s">
        <v>2</v>
      </c>
      <c r="E486" s="10">
        <v>1</v>
      </c>
      <c r="F486" s="12">
        <v>0</v>
      </c>
      <c r="G486" s="12">
        <v>0</v>
      </c>
      <c r="H486" s="10">
        <f t="shared" si="186"/>
        <v>0</v>
      </c>
      <c r="I486" s="39"/>
      <c r="J486" s="19" cm="1">
        <f t="array" ref="J486">IFERROR(IF(_xlfn.XLOOKUP(L486,NC導入施設!B:B,NC導入施設!E:E)=0,_xlfn.IFS(H486&lt;=5,0,H486&lt;=10,1,H486&lt;=15,2,H486&gt;=16,3),"Null"),"-")</f>
        <v>0</v>
      </c>
      <c r="K486" s="62"/>
      <c r="L486" s="1">
        <v>2415001200</v>
      </c>
    </row>
    <row r="487" spans="1:12" ht="18" customHeight="1" x14ac:dyDescent="0.45">
      <c r="A487" s="13">
        <v>481</v>
      </c>
      <c r="B487" s="40" t="s">
        <v>48</v>
      </c>
      <c r="C487" s="40" t="s">
        <v>54</v>
      </c>
      <c r="D487" s="14" t="s">
        <v>3</v>
      </c>
      <c r="E487" s="15">
        <v>1</v>
      </c>
      <c r="F487" s="17">
        <v>19</v>
      </c>
      <c r="G487" s="17">
        <v>19</v>
      </c>
      <c r="H487" s="15">
        <f t="shared" si="186"/>
        <v>19</v>
      </c>
      <c r="I487" s="43" cm="1">
        <f t="array" ref="I487">IF(J487="-","-",_xlfn.IFS(K487&lt;=5,0,K487&lt;=10,1,K487&lt;=15,2,K487&gt;=16,3))</f>
        <v>3</v>
      </c>
      <c r="J487" s="19" cm="1">
        <f t="array" ref="J487">IFERROR(IF(_xlfn.XLOOKUP(L487,NC導入施設!B:B,NC導入施設!E:E)=0,_xlfn.IFS(H487&lt;=5,0,H487&lt;=10,1,H487&lt;=15,2,H487&gt;=16,3),"Null"),"-")</f>
        <v>3</v>
      </c>
      <c r="K487" s="60">
        <f t="shared" ref="K487" si="199">IFERROR(SUM(H487:H491),"-")</f>
        <v>61</v>
      </c>
      <c r="L487" s="1">
        <v>2415021200</v>
      </c>
    </row>
    <row r="488" spans="1:12" ht="18" customHeight="1" x14ac:dyDescent="0.45">
      <c r="A488" s="13">
        <v>482</v>
      </c>
      <c r="B488" s="41" t="str">
        <f t="shared" ref="B488:C491" si="200">B487</f>
        <v>神奈川静岡本部</v>
      </c>
      <c r="C488" s="41" t="str">
        <f t="shared" si="200"/>
        <v>そんぽの家　小倉</v>
      </c>
      <c r="D488" s="14" t="s">
        <v>4</v>
      </c>
      <c r="E488" s="15">
        <v>1</v>
      </c>
      <c r="F488" s="17">
        <v>3</v>
      </c>
      <c r="G488" s="17">
        <v>3</v>
      </c>
      <c r="H488" s="15">
        <f t="shared" si="186"/>
        <v>3</v>
      </c>
      <c r="I488" s="44"/>
      <c r="J488" s="19" cm="1">
        <f t="array" ref="J488">IFERROR(IF(_xlfn.XLOOKUP(L488,NC導入施設!B:B,NC導入施設!E:E)=0,_xlfn.IFS(H488&lt;=5,0,H488&lt;=10,1,H488&lt;=15,2,H488&gt;=16,3),"Null"),"-")</f>
        <v>0</v>
      </c>
      <c r="K488" s="61"/>
      <c r="L488" s="1">
        <v>2415021200</v>
      </c>
    </row>
    <row r="489" spans="1:12" ht="18" customHeight="1" x14ac:dyDescent="0.45">
      <c r="A489" s="13">
        <v>483</v>
      </c>
      <c r="B489" s="41" t="str">
        <f t="shared" si="200"/>
        <v>神奈川静岡本部</v>
      </c>
      <c r="C489" s="41" t="str">
        <f t="shared" si="200"/>
        <v>そんぽの家　小倉</v>
      </c>
      <c r="D489" s="14" t="s">
        <v>5</v>
      </c>
      <c r="E489" s="15">
        <v>1</v>
      </c>
      <c r="F489" s="17">
        <v>20</v>
      </c>
      <c r="G489" s="17">
        <v>20</v>
      </c>
      <c r="H489" s="15">
        <f t="shared" si="186"/>
        <v>20</v>
      </c>
      <c r="I489" s="44"/>
      <c r="J489" s="19" cm="1">
        <f t="array" ref="J489">IFERROR(IF(_xlfn.XLOOKUP(L489,NC導入施設!B:B,NC導入施設!E:E)=0,_xlfn.IFS(H489&lt;=5,0,H489&lt;=10,1,H489&lt;=15,2,H489&gt;=16,3),"Null"),"-")</f>
        <v>3</v>
      </c>
      <c r="K489" s="61"/>
      <c r="L489" s="1">
        <v>2415021200</v>
      </c>
    </row>
    <row r="490" spans="1:12" ht="18" customHeight="1" x14ac:dyDescent="0.45">
      <c r="A490" s="13">
        <v>484</v>
      </c>
      <c r="B490" s="41" t="str">
        <f t="shared" si="200"/>
        <v>神奈川静岡本部</v>
      </c>
      <c r="C490" s="41" t="str">
        <f t="shared" si="200"/>
        <v>そんぽの家　小倉</v>
      </c>
      <c r="D490" s="14" t="s">
        <v>6</v>
      </c>
      <c r="E490" s="15">
        <v>2</v>
      </c>
      <c r="F490" s="17">
        <v>14</v>
      </c>
      <c r="G490" s="17">
        <v>7</v>
      </c>
      <c r="H490" s="15">
        <f t="shared" si="186"/>
        <v>14</v>
      </c>
      <c r="I490" s="44"/>
      <c r="J490" s="19" cm="1">
        <f t="array" ref="J490">IFERROR(IF(_xlfn.XLOOKUP(L490,NC導入施設!B:B,NC導入施設!E:E)=0,_xlfn.IFS(H490&lt;=5,0,H490&lt;=10,1,H490&lt;=15,2,H490&gt;=16,3),"Null"),"-")</f>
        <v>2</v>
      </c>
      <c r="K490" s="61"/>
      <c r="L490" s="1">
        <v>2415021200</v>
      </c>
    </row>
    <row r="491" spans="1:12" ht="18" customHeight="1" x14ac:dyDescent="0.45">
      <c r="A491" s="13">
        <v>485</v>
      </c>
      <c r="B491" s="42" t="str">
        <f t="shared" si="200"/>
        <v>神奈川静岡本部</v>
      </c>
      <c r="C491" s="42" t="str">
        <f t="shared" si="200"/>
        <v>そんぽの家　小倉</v>
      </c>
      <c r="D491" s="14" t="s">
        <v>2</v>
      </c>
      <c r="E491" s="15">
        <v>1</v>
      </c>
      <c r="F491" s="17">
        <v>5</v>
      </c>
      <c r="G491" s="17">
        <v>5</v>
      </c>
      <c r="H491" s="15">
        <f t="shared" si="186"/>
        <v>5</v>
      </c>
      <c r="I491" s="45"/>
      <c r="J491" s="19" cm="1">
        <f t="array" ref="J491">IFERROR(IF(_xlfn.XLOOKUP(L491,NC導入施設!B:B,NC導入施設!E:E)=0,_xlfn.IFS(H491&lt;=5,0,H491&lt;=10,1,H491&lt;=15,2,H491&gt;=16,3),"Null"),"-")</f>
        <v>0</v>
      </c>
      <c r="K491" s="62"/>
      <c r="L491" s="1">
        <v>2415021200</v>
      </c>
    </row>
    <row r="492" spans="1:12" ht="18" customHeight="1" x14ac:dyDescent="0.45">
      <c r="A492" s="8">
        <v>486</v>
      </c>
      <c r="B492" s="34" t="s">
        <v>48</v>
      </c>
      <c r="C492" s="34" t="s">
        <v>55</v>
      </c>
      <c r="D492" s="9" t="s">
        <v>3</v>
      </c>
      <c r="E492" s="10">
        <v>1</v>
      </c>
      <c r="F492" s="12">
        <v>4</v>
      </c>
      <c r="G492" s="12">
        <v>4</v>
      </c>
      <c r="H492" s="10">
        <f t="shared" si="186"/>
        <v>4</v>
      </c>
      <c r="I492" s="37" cm="1">
        <f t="array" ref="I492">IF(J492="-","-",_xlfn.IFS(K492&lt;=5,0,K492&lt;=10,1,K492&lt;=15,2,K492&gt;=16,3))</f>
        <v>1</v>
      </c>
      <c r="J492" s="19" cm="1">
        <f t="array" ref="J492">IFERROR(IF(_xlfn.XLOOKUP(L492,NC導入施設!B:B,NC導入施設!E:E)=0,_xlfn.IFS(H492&lt;=5,0,H492&lt;=10,1,H492&lt;=15,2,H492&gt;=16,3),"Null"),"-")</f>
        <v>0</v>
      </c>
      <c r="K492" s="60">
        <f t="shared" ref="K492" si="201">IFERROR(SUM(H492:H496),"-")</f>
        <v>6</v>
      </c>
      <c r="L492" s="1">
        <v>2415031200</v>
      </c>
    </row>
    <row r="493" spans="1:12" ht="18" customHeight="1" x14ac:dyDescent="0.45">
      <c r="A493" s="8">
        <v>487</v>
      </c>
      <c r="B493" s="35" t="str">
        <f t="shared" ref="B493:C496" si="202">B492</f>
        <v>神奈川静岡本部</v>
      </c>
      <c r="C493" s="35" t="str">
        <f t="shared" si="202"/>
        <v>そんぽの家　新川崎</v>
      </c>
      <c r="D493" s="9" t="s">
        <v>4</v>
      </c>
      <c r="E493" s="10">
        <v>1</v>
      </c>
      <c r="F493" s="12">
        <v>0</v>
      </c>
      <c r="G493" s="12">
        <v>0</v>
      </c>
      <c r="H493" s="10">
        <f t="shared" si="186"/>
        <v>0</v>
      </c>
      <c r="I493" s="38"/>
      <c r="J493" s="19" cm="1">
        <f t="array" ref="J493">IFERROR(IF(_xlfn.XLOOKUP(L493,NC導入施設!B:B,NC導入施設!E:E)=0,_xlfn.IFS(H493&lt;=5,0,H493&lt;=10,1,H493&lt;=15,2,H493&gt;=16,3),"Null"),"-")</f>
        <v>0</v>
      </c>
      <c r="K493" s="61"/>
      <c r="L493" s="1">
        <v>2415031200</v>
      </c>
    </row>
    <row r="494" spans="1:12" ht="18" customHeight="1" x14ac:dyDescent="0.45">
      <c r="A494" s="8">
        <v>488</v>
      </c>
      <c r="B494" s="35" t="str">
        <f t="shared" si="202"/>
        <v>神奈川静岡本部</v>
      </c>
      <c r="C494" s="35" t="str">
        <f t="shared" si="202"/>
        <v>そんぽの家　新川崎</v>
      </c>
      <c r="D494" s="9" t="s">
        <v>5</v>
      </c>
      <c r="E494" s="10">
        <v>2</v>
      </c>
      <c r="F494" s="12">
        <v>2</v>
      </c>
      <c r="G494" s="12">
        <v>1</v>
      </c>
      <c r="H494" s="10">
        <f t="shared" si="186"/>
        <v>2</v>
      </c>
      <c r="I494" s="38"/>
      <c r="J494" s="19" cm="1">
        <f t="array" ref="J494">IFERROR(IF(_xlfn.XLOOKUP(L494,NC導入施設!B:B,NC導入施設!E:E)=0,_xlfn.IFS(H494&lt;=5,0,H494&lt;=10,1,H494&lt;=15,2,H494&gt;=16,3),"Null"),"-")</f>
        <v>0</v>
      </c>
      <c r="K494" s="61"/>
      <c r="L494" s="1">
        <v>2415031200</v>
      </c>
    </row>
    <row r="495" spans="1:12" ht="18" customHeight="1" x14ac:dyDescent="0.45">
      <c r="A495" s="8">
        <v>489</v>
      </c>
      <c r="B495" s="35" t="str">
        <f t="shared" si="202"/>
        <v>神奈川静岡本部</v>
      </c>
      <c r="C495" s="35" t="str">
        <f t="shared" si="202"/>
        <v>そんぽの家　新川崎</v>
      </c>
      <c r="D495" s="9" t="s">
        <v>6</v>
      </c>
      <c r="E495" s="10">
        <v>3</v>
      </c>
      <c r="F495" s="12">
        <v>0</v>
      </c>
      <c r="G495" s="12">
        <v>0</v>
      </c>
      <c r="H495" s="10">
        <f t="shared" si="186"/>
        <v>0</v>
      </c>
      <c r="I495" s="38"/>
      <c r="J495" s="19" cm="1">
        <f t="array" ref="J495">IFERROR(IF(_xlfn.XLOOKUP(L495,NC導入施設!B:B,NC導入施設!E:E)=0,_xlfn.IFS(H495&lt;=5,0,H495&lt;=10,1,H495&lt;=15,2,H495&gt;=16,3),"Null"),"-")</f>
        <v>0</v>
      </c>
      <c r="K495" s="61"/>
      <c r="L495" s="1">
        <v>2415031200</v>
      </c>
    </row>
    <row r="496" spans="1:12" ht="18" customHeight="1" x14ac:dyDescent="0.45">
      <c r="A496" s="8">
        <v>490</v>
      </c>
      <c r="B496" s="36" t="str">
        <f t="shared" si="202"/>
        <v>神奈川静岡本部</v>
      </c>
      <c r="C496" s="36" t="str">
        <f t="shared" si="202"/>
        <v>そんぽの家　新川崎</v>
      </c>
      <c r="D496" s="9" t="s">
        <v>2</v>
      </c>
      <c r="E496" s="10">
        <v>0</v>
      </c>
      <c r="F496" s="12">
        <v>0</v>
      </c>
      <c r="G496" s="12">
        <v>0</v>
      </c>
      <c r="H496" s="10">
        <f t="shared" si="186"/>
        <v>0</v>
      </c>
      <c r="I496" s="39"/>
      <c r="J496" s="19" cm="1">
        <f t="array" ref="J496">IFERROR(IF(_xlfn.XLOOKUP(L496,NC導入施設!B:B,NC導入施設!E:E)=0,_xlfn.IFS(H496&lt;=5,0,H496&lt;=10,1,H496&lt;=15,2,H496&gt;=16,3),"Null"),"-")</f>
        <v>0</v>
      </c>
      <c r="K496" s="62"/>
      <c r="L496" s="1">
        <v>2415031200</v>
      </c>
    </row>
    <row r="497" spans="1:12" ht="18" customHeight="1" x14ac:dyDescent="0.45">
      <c r="A497" s="13">
        <v>491</v>
      </c>
      <c r="B497" s="40" t="s">
        <v>48</v>
      </c>
      <c r="C497" s="40" t="s">
        <v>238</v>
      </c>
      <c r="D497" s="14" t="s">
        <v>3</v>
      </c>
      <c r="E497" s="15">
        <v>1</v>
      </c>
      <c r="F497" s="17">
        <v>7</v>
      </c>
      <c r="G497" s="17">
        <v>7</v>
      </c>
      <c r="H497" s="15">
        <f t="shared" si="186"/>
        <v>7</v>
      </c>
      <c r="I497" s="43" cm="1">
        <f t="array" ref="I497">IF(J497="-","-",_xlfn.IFS(K497&lt;=5,0,K497&lt;=10,1,K497&lt;=15,2,K497&gt;=16,3))</f>
        <v>3</v>
      </c>
      <c r="J497" s="19" cm="1">
        <f t="array" ref="J497">IFERROR(IF(_xlfn.XLOOKUP(L497,NC導入施設!B:B,NC導入施設!E:E)=0,_xlfn.IFS(H497&lt;=5,0,H497&lt;=10,1,H497&lt;=15,2,H497&gt;=16,3),"Null"),"-")</f>
        <v>1</v>
      </c>
      <c r="K497" s="60">
        <f t="shared" ref="K497" si="203">IFERROR(SUM(H497:H501),"-")</f>
        <v>19</v>
      </c>
      <c r="L497" s="1">
        <v>2415071100</v>
      </c>
    </row>
    <row r="498" spans="1:12" ht="18" customHeight="1" x14ac:dyDescent="0.45">
      <c r="A498" s="13">
        <v>492</v>
      </c>
      <c r="B498" s="41" t="str">
        <f t="shared" ref="B498:C501" si="204">B497</f>
        <v>神奈川静岡本部</v>
      </c>
      <c r="C498" s="41" t="str">
        <f t="shared" si="204"/>
        <v>ラヴィーレ溝の口弐番館</v>
      </c>
      <c r="D498" s="14" t="s">
        <v>4</v>
      </c>
      <c r="E498" s="15">
        <v>2</v>
      </c>
      <c r="F498" s="17">
        <v>11</v>
      </c>
      <c r="G498" s="17">
        <v>5.5</v>
      </c>
      <c r="H498" s="15">
        <f t="shared" si="186"/>
        <v>11</v>
      </c>
      <c r="I498" s="44"/>
      <c r="J498" s="19" cm="1">
        <f t="array" ref="J498">IFERROR(IF(_xlfn.XLOOKUP(L498,NC導入施設!B:B,NC導入施設!E:E)=0,_xlfn.IFS(H498&lt;=5,0,H498&lt;=10,1,H498&lt;=15,2,H498&gt;=16,3),"Null"),"-")</f>
        <v>2</v>
      </c>
      <c r="K498" s="61"/>
      <c r="L498" s="1">
        <v>2415071100</v>
      </c>
    </row>
    <row r="499" spans="1:12" ht="18" customHeight="1" x14ac:dyDescent="0.45">
      <c r="A499" s="13">
        <v>493</v>
      </c>
      <c r="B499" s="41" t="str">
        <f t="shared" si="204"/>
        <v>神奈川静岡本部</v>
      </c>
      <c r="C499" s="41" t="str">
        <f t="shared" si="204"/>
        <v>ラヴィーレ溝の口弐番館</v>
      </c>
      <c r="D499" s="14" t="s">
        <v>5</v>
      </c>
      <c r="E499" s="15">
        <v>1</v>
      </c>
      <c r="F499" s="17">
        <v>0</v>
      </c>
      <c r="G499" s="17">
        <v>0</v>
      </c>
      <c r="H499" s="15">
        <f t="shared" si="186"/>
        <v>0</v>
      </c>
      <c r="I499" s="44"/>
      <c r="J499" s="19" cm="1">
        <f t="array" ref="J499">IFERROR(IF(_xlfn.XLOOKUP(L499,NC導入施設!B:B,NC導入施設!E:E)=0,_xlfn.IFS(H499&lt;=5,0,H499&lt;=10,1,H499&lt;=15,2,H499&gt;=16,3),"Null"),"-")</f>
        <v>0</v>
      </c>
      <c r="K499" s="61"/>
      <c r="L499" s="1">
        <v>2415071100</v>
      </c>
    </row>
    <row r="500" spans="1:12" ht="18" customHeight="1" x14ac:dyDescent="0.45">
      <c r="A500" s="13">
        <v>494</v>
      </c>
      <c r="B500" s="41" t="str">
        <f t="shared" si="204"/>
        <v>神奈川静岡本部</v>
      </c>
      <c r="C500" s="41" t="str">
        <f t="shared" si="204"/>
        <v>ラヴィーレ溝の口弐番館</v>
      </c>
      <c r="D500" s="14" t="s">
        <v>6</v>
      </c>
      <c r="E500" s="15">
        <v>3</v>
      </c>
      <c r="F500" s="17">
        <v>1</v>
      </c>
      <c r="G500" s="17">
        <v>0.3</v>
      </c>
      <c r="H500" s="15">
        <f t="shared" si="186"/>
        <v>1</v>
      </c>
      <c r="I500" s="44"/>
      <c r="J500" s="19" cm="1">
        <f t="array" ref="J500">IFERROR(IF(_xlfn.XLOOKUP(L500,NC導入施設!B:B,NC導入施設!E:E)=0,_xlfn.IFS(H500&lt;=5,0,H500&lt;=10,1,H500&lt;=15,2,H500&gt;=16,3),"Null"),"-")</f>
        <v>0</v>
      </c>
      <c r="K500" s="61"/>
      <c r="L500" s="1">
        <v>2415071100</v>
      </c>
    </row>
    <row r="501" spans="1:12" ht="18" customHeight="1" x14ac:dyDescent="0.45">
      <c r="A501" s="13">
        <v>495</v>
      </c>
      <c r="B501" s="42" t="str">
        <f t="shared" si="204"/>
        <v>神奈川静岡本部</v>
      </c>
      <c r="C501" s="42" t="str">
        <f t="shared" si="204"/>
        <v>ラヴィーレ溝の口弐番館</v>
      </c>
      <c r="D501" s="14" t="s">
        <v>2</v>
      </c>
      <c r="E501" s="15">
        <v>1</v>
      </c>
      <c r="F501" s="17">
        <v>0</v>
      </c>
      <c r="G501" s="17">
        <v>0</v>
      </c>
      <c r="H501" s="15">
        <f t="shared" si="186"/>
        <v>0</v>
      </c>
      <c r="I501" s="45"/>
      <c r="J501" s="19" cm="1">
        <f t="array" ref="J501">IFERROR(IF(_xlfn.XLOOKUP(L501,NC導入施設!B:B,NC導入施設!E:E)=0,_xlfn.IFS(H501&lt;=5,0,H501&lt;=10,1,H501&lt;=15,2,H501&gt;=16,3),"Null"),"-")</f>
        <v>0</v>
      </c>
      <c r="K501" s="62"/>
      <c r="L501" s="1">
        <v>2415071100</v>
      </c>
    </row>
    <row r="502" spans="1:12" ht="18" customHeight="1" x14ac:dyDescent="0.45">
      <c r="A502" s="8">
        <v>496</v>
      </c>
      <c r="B502" s="34" t="s">
        <v>48</v>
      </c>
      <c r="C502" s="34" t="s">
        <v>239</v>
      </c>
      <c r="D502" s="9" t="s">
        <v>3</v>
      </c>
      <c r="E502" s="10">
        <v>1</v>
      </c>
      <c r="F502" s="12">
        <v>9</v>
      </c>
      <c r="G502" s="12">
        <v>9</v>
      </c>
      <c r="H502" s="10">
        <f t="shared" si="186"/>
        <v>9</v>
      </c>
      <c r="I502" s="37" cm="1">
        <f t="array" ref="I502">IF(J502="-","-",_xlfn.IFS(K502&lt;=5,0,K502&lt;=10,1,K502&lt;=15,2,K502&gt;=16,3))</f>
        <v>2</v>
      </c>
      <c r="J502" s="19" cm="1">
        <f t="array" ref="J502">IFERROR(IF(_xlfn.XLOOKUP(L502,NC導入施設!B:B,NC導入施設!E:E)=0,_xlfn.IFS(H502&lt;=5,0,H502&lt;=10,1,H502&lt;=15,2,H502&gt;=16,3),"Null"),"-")</f>
        <v>1</v>
      </c>
      <c r="K502" s="60">
        <f t="shared" ref="K502" si="205">IFERROR(SUM(H502:H506),"-")</f>
        <v>13</v>
      </c>
      <c r="L502" s="1">
        <v>2415081100</v>
      </c>
    </row>
    <row r="503" spans="1:12" ht="18" customHeight="1" x14ac:dyDescent="0.45">
      <c r="A503" s="8">
        <v>497</v>
      </c>
      <c r="B503" s="35" t="str">
        <f t="shared" ref="B503:C506" si="206">B502</f>
        <v>神奈川静岡本部</v>
      </c>
      <c r="C503" s="35" t="str">
        <f t="shared" si="206"/>
        <v>ラヴィーレ溝の口</v>
      </c>
      <c r="D503" s="9" t="s">
        <v>4</v>
      </c>
      <c r="E503" s="10">
        <v>1</v>
      </c>
      <c r="F503" s="12">
        <v>3</v>
      </c>
      <c r="G503" s="12">
        <v>3</v>
      </c>
      <c r="H503" s="10">
        <f t="shared" si="186"/>
        <v>3</v>
      </c>
      <c r="I503" s="38"/>
      <c r="J503" s="19" cm="1">
        <f t="array" ref="J503">IFERROR(IF(_xlfn.XLOOKUP(L503,NC導入施設!B:B,NC導入施設!E:E)=0,_xlfn.IFS(H503&lt;=5,0,H503&lt;=10,1,H503&lt;=15,2,H503&gt;=16,3),"Null"),"-")</f>
        <v>0</v>
      </c>
      <c r="K503" s="61"/>
      <c r="L503" s="1">
        <v>2415081100</v>
      </c>
    </row>
    <row r="504" spans="1:12" ht="18" customHeight="1" x14ac:dyDescent="0.45">
      <c r="A504" s="8">
        <v>498</v>
      </c>
      <c r="B504" s="35" t="str">
        <f t="shared" si="206"/>
        <v>神奈川静岡本部</v>
      </c>
      <c r="C504" s="35" t="str">
        <f t="shared" si="206"/>
        <v>ラヴィーレ溝の口</v>
      </c>
      <c r="D504" s="9" t="s">
        <v>5</v>
      </c>
      <c r="E504" s="10">
        <v>1</v>
      </c>
      <c r="F504" s="12">
        <v>0</v>
      </c>
      <c r="G504" s="12">
        <v>0</v>
      </c>
      <c r="H504" s="10">
        <f t="shared" si="186"/>
        <v>0</v>
      </c>
      <c r="I504" s="38"/>
      <c r="J504" s="19" cm="1">
        <f t="array" ref="J504">IFERROR(IF(_xlfn.XLOOKUP(L504,NC導入施設!B:B,NC導入施設!E:E)=0,_xlfn.IFS(H504&lt;=5,0,H504&lt;=10,1,H504&lt;=15,2,H504&gt;=16,3),"Null"),"-")</f>
        <v>0</v>
      </c>
      <c r="K504" s="61"/>
      <c r="L504" s="1">
        <v>2415081100</v>
      </c>
    </row>
    <row r="505" spans="1:12" ht="18" customHeight="1" x14ac:dyDescent="0.45">
      <c r="A505" s="8">
        <v>499</v>
      </c>
      <c r="B505" s="35" t="str">
        <f t="shared" si="206"/>
        <v>神奈川静岡本部</v>
      </c>
      <c r="C505" s="35" t="str">
        <f t="shared" si="206"/>
        <v>ラヴィーレ溝の口</v>
      </c>
      <c r="D505" s="9" t="s">
        <v>6</v>
      </c>
      <c r="E505" s="10">
        <v>8</v>
      </c>
      <c r="F505" s="12">
        <v>0</v>
      </c>
      <c r="G505" s="12">
        <v>0</v>
      </c>
      <c r="H505" s="10">
        <f t="shared" si="186"/>
        <v>0</v>
      </c>
      <c r="I505" s="38"/>
      <c r="J505" s="19" cm="1">
        <f t="array" ref="J505">IFERROR(IF(_xlfn.XLOOKUP(L505,NC導入施設!B:B,NC導入施設!E:E)=0,_xlfn.IFS(H505&lt;=5,0,H505&lt;=10,1,H505&lt;=15,2,H505&gt;=16,3),"Null"),"-")</f>
        <v>0</v>
      </c>
      <c r="K505" s="61"/>
      <c r="L505" s="1">
        <v>2415081100</v>
      </c>
    </row>
    <row r="506" spans="1:12" ht="18" customHeight="1" x14ac:dyDescent="0.45">
      <c r="A506" s="8">
        <v>500</v>
      </c>
      <c r="B506" s="36" t="str">
        <f t="shared" si="206"/>
        <v>神奈川静岡本部</v>
      </c>
      <c r="C506" s="36" t="str">
        <f t="shared" si="206"/>
        <v>ラヴィーレ溝の口</v>
      </c>
      <c r="D506" s="9" t="s">
        <v>2</v>
      </c>
      <c r="E506" s="10">
        <v>3</v>
      </c>
      <c r="F506" s="12">
        <v>1</v>
      </c>
      <c r="G506" s="12">
        <v>0.3</v>
      </c>
      <c r="H506" s="10">
        <f t="shared" si="186"/>
        <v>1</v>
      </c>
      <c r="I506" s="39"/>
      <c r="J506" s="19" cm="1">
        <f t="array" ref="J506">IFERROR(IF(_xlfn.XLOOKUP(L506,NC導入施設!B:B,NC導入施設!E:E)=0,_xlfn.IFS(H506&lt;=5,0,H506&lt;=10,1,H506&lt;=15,2,H506&gt;=16,3),"Null"),"-")</f>
        <v>0</v>
      </c>
      <c r="K506" s="62"/>
      <c r="L506" s="1">
        <v>2415081100</v>
      </c>
    </row>
    <row r="507" spans="1:12" ht="18" customHeight="1" x14ac:dyDescent="0.45">
      <c r="A507" s="13">
        <v>501</v>
      </c>
      <c r="B507" s="40" t="s">
        <v>48</v>
      </c>
      <c r="C507" s="40" t="s">
        <v>56</v>
      </c>
      <c r="D507" s="14" t="s">
        <v>3</v>
      </c>
      <c r="E507" s="15">
        <v>1</v>
      </c>
      <c r="F507" s="17">
        <v>8</v>
      </c>
      <c r="G507" s="17">
        <v>8</v>
      </c>
      <c r="H507" s="15">
        <f t="shared" si="186"/>
        <v>8</v>
      </c>
      <c r="I507" s="43" cm="1">
        <f t="array" ref="I507">IF(J507="-","-",_xlfn.IFS(K507&lt;=5,0,K507&lt;=10,1,K507&lt;=15,2,K507&gt;=16,3))</f>
        <v>2</v>
      </c>
      <c r="J507" s="19" cm="1">
        <f t="array" ref="J507">IFERROR(IF(_xlfn.XLOOKUP(L507,NC導入施設!B:B,NC導入施設!E:E)=0,_xlfn.IFS(H507&lt;=5,0,H507&lt;=10,1,H507&lt;=15,2,H507&gt;=16,3),"Null"),"-")</f>
        <v>1</v>
      </c>
      <c r="K507" s="60">
        <f t="shared" ref="K507" si="207">IFERROR(SUM(H507:H511),"-")</f>
        <v>13</v>
      </c>
      <c r="L507" s="1">
        <v>2415111200</v>
      </c>
    </row>
    <row r="508" spans="1:12" ht="18" customHeight="1" x14ac:dyDescent="0.45">
      <c r="A508" s="13">
        <v>502</v>
      </c>
      <c r="B508" s="41" t="str">
        <f t="shared" ref="B508:C511" si="208">B507</f>
        <v>神奈川静岡本部</v>
      </c>
      <c r="C508" s="41" t="str">
        <f t="shared" si="208"/>
        <v>そんぽの家　溝の口</v>
      </c>
      <c r="D508" s="14" t="s">
        <v>4</v>
      </c>
      <c r="E508" s="15">
        <v>1</v>
      </c>
      <c r="F508" s="17">
        <v>2</v>
      </c>
      <c r="G508" s="17">
        <v>2</v>
      </c>
      <c r="H508" s="15">
        <f t="shared" si="186"/>
        <v>2</v>
      </c>
      <c r="I508" s="44"/>
      <c r="J508" s="19" cm="1">
        <f t="array" ref="J508">IFERROR(IF(_xlfn.XLOOKUP(L508,NC導入施設!B:B,NC導入施設!E:E)=0,_xlfn.IFS(H508&lt;=5,0,H508&lt;=10,1,H508&lt;=15,2,H508&gt;=16,3),"Null"),"-")</f>
        <v>0</v>
      </c>
      <c r="K508" s="61"/>
      <c r="L508" s="1">
        <v>2415111200</v>
      </c>
    </row>
    <row r="509" spans="1:12" ht="18" customHeight="1" x14ac:dyDescent="0.45">
      <c r="A509" s="13">
        <v>503</v>
      </c>
      <c r="B509" s="41" t="str">
        <f t="shared" si="208"/>
        <v>神奈川静岡本部</v>
      </c>
      <c r="C509" s="41" t="str">
        <f t="shared" si="208"/>
        <v>そんぽの家　溝の口</v>
      </c>
      <c r="D509" s="14" t="s">
        <v>5</v>
      </c>
      <c r="E509" s="15">
        <v>1</v>
      </c>
      <c r="F509" s="17">
        <v>0</v>
      </c>
      <c r="G509" s="17">
        <v>0</v>
      </c>
      <c r="H509" s="15">
        <f t="shared" si="186"/>
        <v>0</v>
      </c>
      <c r="I509" s="44"/>
      <c r="J509" s="19" cm="1">
        <f t="array" ref="J509">IFERROR(IF(_xlfn.XLOOKUP(L509,NC導入施設!B:B,NC導入施設!E:E)=0,_xlfn.IFS(H509&lt;=5,0,H509&lt;=10,1,H509&lt;=15,2,H509&gt;=16,3),"Null"),"-")</f>
        <v>0</v>
      </c>
      <c r="K509" s="61"/>
      <c r="L509" s="1">
        <v>2415111200</v>
      </c>
    </row>
    <row r="510" spans="1:12" ht="18" customHeight="1" x14ac:dyDescent="0.45">
      <c r="A510" s="13">
        <v>504</v>
      </c>
      <c r="B510" s="41" t="str">
        <f t="shared" si="208"/>
        <v>神奈川静岡本部</v>
      </c>
      <c r="C510" s="41" t="str">
        <f t="shared" si="208"/>
        <v>そんぽの家　溝の口</v>
      </c>
      <c r="D510" s="14" t="s">
        <v>6</v>
      </c>
      <c r="E510" s="15">
        <v>4</v>
      </c>
      <c r="F510" s="17">
        <v>1</v>
      </c>
      <c r="G510" s="17">
        <v>0.3</v>
      </c>
      <c r="H510" s="15">
        <f t="shared" si="186"/>
        <v>1</v>
      </c>
      <c r="I510" s="44"/>
      <c r="J510" s="19" cm="1">
        <f t="array" ref="J510">IFERROR(IF(_xlfn.XLOOKUP(L510,NC導入施設!B:B,NC導入施設!E:E)=0,_xlfn.IFS(H510&lt;=5,0,H510&lt;=10,1,H510&lt;=15,2,H510&gt;=16,3),"Null"),"-")</f>
        <v>0</v>
      </c>
      <c r="K510" s="61"/>
      <c r="L510" s="1">
        <v>2415111200</v>
      </c>
    </row>
    <row r="511" spans="1:12" ht="18" customHeight="1" x14ac:dyDescent="0.45">
      <c r="A511" s="13">
        <v>505</v>
      </c>
      <c r="B511" s="42" t="str">
        <f t="shared" si="208"/>
        <v>神奈川静岡本部</v>
      </c>
      <c r="C511" s="42" t="str">
        <f t="shared" si="208"/>
        <v>そんぽの家　溝の口</v>
      </c>
      <c r="D511" s="14" t="s">
        <v>2</v>
      </c>
      <c r="E511" s="15">
        <v>1</v>
      </c>
      <c r="F511" s="17">
        <v>2</v>
      </c>
      <c r="G511" s="17">
        <v>2</v>
      </c>
      <c r="H511" s="15">
        <f t="shared" si="186"/>
        <v>2</v>
      </c>
      <c r="I511" s="45"/>
      <c r="J511" s="19" cm="1">
        <f t="array" ref="J511">IFERROR(IF(_xlfn.XLOOKUP(L511,NC導入施設!B:B,NC導入施設!E:E)=0,_xlfn.IFS(H511&lt;=5,0,H511&lt;=10,1,H511&lt;=15,2,H511&gt;=16,3),"Null"),"-")</f>
        <v>0</v>
      </c>
      <c r="K511" s="62"/>
      <c r="L511" s="1">
        <v>2415111200</v>
      </c>
    </row>
    <row r="512" spans="1:12" ht="18" customHeight="1" x14ac:dyDescent="0.45">
      <c r="A512" s="8">
        <v>506</v>
      </c>
      <c r="B512" s="34" t="s">
        <v>48</v>
      </c>
      <c r="C512" s="34" t="s">
        <v>240</v>
      </c>
      <c r="D512" s="9" t="s">
        <v>3</v>
      </c>
      <c r="E512" s="10">
        <v>1</v>
      </c>
      <c r="F512" s="12">
        <v>6</v>
      </c>
      <c r="G512" s="12">
        <v>6</v>
      </c>
      <c r="H512" s="10">
        <f t="shared" si="186"/>
        <v>6</v>
      </c>
      <c r="I512" s="37" cm="1">
        <f t="array" ref="I512">IF(J512="-","-",_xlfn.IFS(K512&lt;=5,0,K512&lt;=10,1,K512&lt;=15,2,K512&gt;=16,3))</f>
        <v>1</v>
      </c>
      <c r="J512" s="19" cm="1">
        <f t="array" ref="J512">IFERROR(IF(_xlfn.XLOOKUP(L512,NC導入施設!B:B,NC導入施設!E:E)=0,_xlfn.IFS(H512&lt;=5,0,H512&lt;=10,1,H512&lt;=15,2,H512&gt;=16,3),"Null"),"-")</f>
        <v>1</v>
      </c>
      <c r="K512" s="60">
        <f t="shared" ref="K512" si="209">IFERROR(SUM(H512:H516),"-")</f>
        <v>9</v>
      </c>
      <c r="L512" s="1">
        <v>2415151100</v>
      </c>
    </row>
    <row r="513" spans="1:12" ht="18" customHeight="1" x14ac:dyDescent="0.45">
      <c r="A513" s="8">
        <v>507</v>
      </c>
      <c r="B513" s="35" t="str">
        <f t="shared" ref="B513:C516" si="210">B512</f>
        <v>神奈川静岡本部</v>
      </c>
      <c r="C513" s="35" t="str">
        <f t="shared" si="210"/>
        <v>ラヴィーレ高津</v>
      </c>
      <c r="D513" s="9" t="s">
        <v>4</v>
      </c>
      <c r="E513" s="10">
        <v>0</v>
      </c>
      <c r="F513" s="12">
        <v>0</v>
      </c>
      <c r="G513" s="12">
        <v>0</v>
      </c>
      <c r="H513" s="10">
        <f t="shared" si="186"/>
        <v>0</v>
      </c>
      <c r="I513" s="38"/>
      <c r="J513" s="19" cm="1">
        <f t="array" ref="J513">IFERROR(IF(_xlfn.XLOOKUP(L513,NC導入施設!B:B,NC導入施設!E:E)=0,_xlfn.IFS(H513&lt;=5,0,H513&lt;=10,1,H513&lt;=15,2,H513&gt;=16,3),"Null"),"-")</f>
        <v>0</v>
      </c>
      <c r="K513" s="61"/>
      <c r="L513" s="1">
        <v>2415151100</v>
      </c>
    </row>
    <row r="514" spans="1:12" ht="18" customHeight="1" x14ac:dyDescent="0.45">
      <c r="A514" s="8">
        <v>508</v>
      </c>
      <c r="B514" s="35" t="str">
        <f t="shared" si="210"/>
        <v>神奈川静岡本部</v>
      </c>
      <c r="C514" s="35" t="str">
        <f t="shared" si="210"/>
        <v>ラヴィーレ高津</v>
      </c>
      <c r="D514" s="9" t="s">
        <v>5</v>
      </c>
      <c r="E514" s="10">
        <v>2</v>
      </c>
      <c r="F514" s="12">
        <v>2</v>
      </c>
      <c r="G514" s="12">
        <v>1</v>
      </c>
      <c r="H514" s="10">
        <f t="shared" si="186"/>
        <v>2</v>
      </c>
      <c r="I514" s="38"/>
      <c r="J514" s="19" cm="1">
        <f t="array" ref="J514">IFERROR(IF(_xlfn.XLOOKUP(L514,NC導入施設!B:B,NC導入施設!E:E)=0,_xlfn.IFS(H514&lt;=5,0,H514&lt;=10,1,H514&lt;=15,2,H514&gt;=16,3),"Null"),"-")</f>
        <v>0</v>
      </c>
      <c r="K514" s="61"/>
      <c r="L514" s="1">
        <v>2415151100</v>
      </c>
    </row>
    <row r="515" spans="1:12" ht="18" customHeight="1" x14ac:dyDescent="0.45">
      <c r="A515" s="8">
        <v>509</v>
      </c>
      <c r="B515" s="35" t="str">
        <f t="shared" si="210"/>
        <v>神奈川静岡本部</v>
      </c>
      <c r="C515" s="35" t="str">
        <f t="shared" si="210"/>
        <v>ラヴィーレ高津</v>
      </c>
      <c r="D515" s="9" t="s">
        <v>6</v>
      </c>
      <c r="E515" s="10">
        <v>4</v>
      </c>
      <c r="F515" s="12">
        <v>1</v>
      </c>
      <c r="G515" s="12">
        <v>0.3</v>
      </c>
      <c r="H515" s="10">
        <f t="shared" si="186"/>
        <v>1</v>
      </c>
      <c r="I515" s="38"/>
      <c r="J515" s="19" cm="1">
        <f t="array" ref="J515">IFERROR(IF(_xlfn.XLOOKUP(L515,NC導入施設!B:B,NC導入施設!E:E)=0,_xlfn.IFS(H515&lt;=5,0,H515&lt;=10,1,H515&lt;=15,2,H515&gt;=16,3),"Null"),"-")</f>
        <v>0</v>
      </c>
      <c r="K515" s="61"/>
      <c r="L515" s="1">
        <v>2415151100</v>
      </c>
    </row>
    <row r="516" spans="1:12" ht="18" customHeight="1" x14ac:dyDescent="0.45">
      <c r="A516" s="8">
        <v>510</v>
      </c>
      <c r="B516" s="36" t="str">
        <f t="shared" si="210"/>
        <v>神奈川静岡本部</v>
      </c>
      <c r="C516" s="36" t="str">
        <f t="shared" si="210"/>
        <v>ラヴィーレ高津</v>
      </c>
      <c r="D516" s="9" t="s">
        <v>2</v>
      </c>
      <c r="E516" s="10">
        <v>1</v>
      </c>
      <c r="F516" s="12">
        <v>0</v>
      </c>
      <c r="G516" s="12">
        <v>0</v>
      </c>
      <c r="H516" s="10">
        <f t="shared" si="186"/>
        <v>0</v>
      </c>
      <c r="I516" s="39"/>
      <c r="J516" s="19" cm="1">
        <f t="array" ref="J516">IFERROR(IF(_xlfn.XLOOKUP(L516,NC導入施設!B:B,NC導入施設!E:E)=0,_xlfn.IFS(H516&lt;=5,0,H516&lt;=10,1,H516&lt;=15,2,H516&gt;=16,3),"Null"),"-")</f>
        <v>0</v>
      </c>
      <c r="K516" s="62"/>
      <c r="L516" s="1">
        <v>2415151100</v>
      </c>
    </row>
    <row r="517" spans="1:12" ht="18" customHeight="1" x14ac:dyDescent="0.45">
      <c r="A517" s="13">
        <v>511</v>
      </c>
      <c r="B517" s="40" t="s">
        <v>48</v>
      </c>
      <c r="C517" s="40" t="s">
        <v>241</v>
      </c>
      <c r="D517" s="14" t="s">
        <v>3</v>
      </c>
      <c r="E517" s="15">
        <v>1</v>
      </c>
      <c r="F517" s="17">
        <v>18</v>
      </c>
      <c r="G517" s="17">
        <v>18</v>
      </c>
      <c r="H517" s="15">
        <f t="shared" si="186"/>
        <v>18</v>
      </c>
      <c r="I517" s="43" cm="1">
        <f t="array" ref="I517">IF(J517="-","-",_xlfn.IFS(K517&lt;=5,0,K517&lt;=10,1,K517&lt;=15,2,K517&gt;=16,3))</f>
        <v>3</v>
      </c>
      <c r="J517" s="19" cm="1">
        <f t="array" ref="J517">IFERROR(IF(_xlfn.XLOOKUP(L517,NC導入施設!B:B,NC導入施設!E:E)=0,_xlfn.IFS(H517&lt;=5,0,H517&lt;=10,1,H517&lt;=15,2,H517&gt;=16,3),"Null"),"-")</f>
        <v>3</v>
      </c>
      <c r="K517" s="60">
        <f t="shared" ref="K517" si="211">IFERROR(SUM(H517:H521),"-")</f>
        <v>32</v>
      </c>
      <c r="L517" s="1">
        <v>2415161100</v>
      </c>
    </row>
    <row r="518" spans="1:12" ht="18" customHeight="1" x14ac:dyDescent="0.45">
      <c r="A518" s="13">
        <v>512</v>
      </c>
      <c r="B518" s="41" t="str">
        <f t="shared" ref="B518:C521" si="212">B517</f>
        <v>神奈川静岡本部</v>
      </c>
      <c r="C518" s="41" t="str">
        <f t="shared" si="212"/>
        <v>ラヴィーレ元住吉</v>
      </c>
      <c r="D518" s="14" t="s">
        <v>4</v>
      </c>
      <c r="E518" s="15">
        <v>1</v>
      </c>
      <c r="F518" s="17">
        <v>7</v>
      </c>
      <c r="G518" s="17">
        <v>7</v>
      </c>
      <c r="H518" s="15">
        <f t="shared" si="186"/>
        <v>7</v>
      </c>
      <c r="I518" s="44"/>
      <c r="J518" s="19" cm="1">
        <f t="array" ref="J518">IFERROR(IF(_xlfn.XLOOKUP(L518,NC導入施設!B:B,NC導入施設!E:E)=0,_xlfn.IFS(H518&lt;=5,0,H518&lt;=10,1,H518&lt;=15,2,H518&gt;=16,3),"Null"),"-")</f>
        <v>1</v>
      </c>
      <c r="K518" s="61"/>
      <c r="L518" s="1">
        <v>2415161100</v>
      </c>
    </row>
    <row r="519" spans="1:12" ht="18" customHeight="1" x14ac:dyDescent="0.45">
      <c r="A519" s="13">
        <v>513</v>
      </c>
      <c r="B519" s="41" t="str">
        <f t="shared" si="212"/>
        <v>神奈川静岡本部</v>
      </c>
      <c r="C519" s="41" t="str">
        <f t="shared" si="212"/>
        <v>ラヴィーレ元住吉</v>
      </c>
      <c r="D519" s="14" t="s">
        <v>5</v>
      </c>
      <c r="E519" s="15">
        <v>2</v>
      </c>
      <c r="F519" s="17">
        <v>4</v>
      </c>
      <c r="G519" s="17">
        <v>2</v>
      </c>
      <c r="H519" s="15">
        <f t="shared" si="186"/>
        <v>4</v>
      </c>
      <c r="I519" s="44"/>
      <c r="J519" s="19" cm="1">
        <f t="array" ref="J519">IFERROR(IF(_xlfn.XLOOKUP(L519,NC導入施設!B:B,NC導入施設!E:E)=0,_xlfn.IFS(H519&lt;=5,0,H519&lt;=10,1,H519&lt;=15,2,H519&gt;=16,3),"Null"),"-")</f>
        <v>0</v>
      </c>
      <c r="K519" s="61"/>
      <c r="L519" s="1">
        <v>2415161100</v>
      </c>
    </row>
    <row r="520" spans="1:12" ht="18" customHeight="1" x14ac:dyDescent="0.45">
      <c r="A520" s="13">
        <v>514</v>
      </c>
      <c r="B520" s="41" t="str">
        <f t="shared" si="212"/>
        <v>神奈川静岡本部</v>
      </c>
      <c r="C520" s="41" t="str">
        <f t="shared" si="212"/>
        <v>ラヴィーレ元住吉</v>
      </c>
      <c r="D520" s="14" t="s">
        <v>6</v>
      </c>
      <c r="E520" s="15">
        <v>5</v>
      </c>
      <c r="F520" s="17">
        <v>3</v>
      </c>
      <c r="G520" s="17">
        <v>0.6</v>
      </c>
      <c r="H520" s="15">
        <f t="shared" ref="H520:H583" si="213">F520</f>
        <v>3</v>
      </c>
      <c r="I520" s="44"/>
      <c r="J520" s="19" cm="1">
        <f t="array" ref="J520">IFERROR(IF(_xlfn.XLOOKUP(L520,NC導入施設!B:B,NC導入施設!E:E)=0,_xlfn.IFS(H520&lt;=5,0,H520&lt;=10,1,H520&lt;=15,2,H520&gt;=16,3),"Null"),"-")</f>
        <v>0</v>
      </c>
      <c r="K520" s="61"/>
      <c r="L520" s="1">
        <v>2415161100</v>
      </c>
    </row>
    <row r="521" spans="1:12" ht="18" customHeight="1" x14ac:dyDescent="0.45">
      <c r="A521" s="13">
        <v>515</v>
      </c>
      <c r="B521" s="42" t="str">
        <f t="shared" si="212"/>
        <v>神奈川静岡本部</v>
      </c>
      <c r="C521" s="42" t="str">
        <f t="shared" si="212"/>
        <v>ラヴィーレ元住吉</v>
      </c>
      <c r="D521" s="14" t="s">
        <v>2</v>
      </c>
      <c r="E521" s="15">
        <v>1</v>
      </c>
      <c r="F521" s="17">
        <v>0</v>
      </c>
      <c r="G521" s="17">
        <v>0</v>
      </c>
      <c r="H521" s="15">
        <f t="shared" si="213"/>
        <v>0</v>
      </c>
      <c r="I521" s="45"/>
      <c r="J521" s="19" cm="1">
        <f t="array" ref="J521">IFERROR(IF(_xlfn.XLOOKUP(L521,NC導入施設!B:B,NC導入施設!E:E)=0,_xlfn.IFS(H521&lt;=5,0,H521&lt;=10,1,H521&lt;=15,2,H521&gt;=16,3),"Null"),"-")</f>
        <v>0</v>
      </c>
      <c r="K521" s="62"/>
      <c r="L521" s="1">
        <v>2415161100</v>
      </c>
    </row>
    <row r="522" spans="1:12" ht="18" customHeight="1" x14ac:dyDescent="0.45">
      <c r="A522" s="8">
        <v>516</v>
      </c>
      <c r="B522" s="34" t="s">
        <v>48</v>
      </c>
      <c r="C522" s="34" t="s">
        <v>57</v>
      </c>
      <c r="D522" s="9" t="s">
        <v>3</v>
      </c>
      <c r="E522" s="10">
        <v>1</v>
      </c>
      <c r="F522" s="12">
        <v>10</v>
      </c>
      <c r="G522" s="12">
        <v>10</v>
      </c>
      <c r="H522" s="10">
        <f t="shared" si="213"/>
        <v>10</v>
      </c>
      <c r="I522" s="37" cm="1">
        <f t="array" ref="I522">IF(J522="-","-",_xlfn.IFS(K522&lt;=5,0,K522&lt;=10,1,K522&lt;=15,2,K522&gt;=16,3))</f>
        <v>2</v>
      </c>
      <c r="J522" s="19" cm="1">
        <f t="array" ref="J522">IFERROR(IF(_xlfn.XLOOKUP(L522,NC導入施設!B:B,NC導入施設!E:E)=0,_xlfn.IFS(H522&lt;=5,0,H522&lt;=10,1,H522&lt;=15,2,H522&gt;=16,3),"Null"),"-")</f>
        <v>1</v>
      </c>
      <c r="K522" s="60">
        <f t="shared" ref="K522" si="214">IFERROR(SUM(H522:H526),"-")</f>
        <v>14</v>
      </c>
      <c r="L522" s="1">
        <v>2415181100</v>
      </c>
    </row>
    <row r="523" spans="1:12" ht="18" customHeight="1" x14ac:dyDescent="0.45">
      <c r="A523" s="8">
        <v>517</v>
      </c>
      <c r="B523" s="35" t="str">
        <f t="shared" ref="B523:C526" si="215">B522</f>
        <v>神奈川静岡本部</v>
      </c>
      <c r="C523" s="35" t="str">
        <f t="shared" si="215"/>
        <v>そんぽの家　川崎宮前</v>
      </c>
      <c r="D523" s="9" t="s">
        <v>4</v>
      </c>
      <c r="E523" s="10">
        <v>2</v>
      </c>
      <c r="F523" s="12">
        <v>3</v>
      </c>
      <c r="G523" s="12">
        <v>1.5</v>
      </c>
      <c r="H523" s="10">
        <f t="shared" si="213"/>
        <v>3</v>
      </c>
      <c r="I523" s="38"/>
      <c r="J523" s="19" cm="1">
        <f t="array" ref="J523">IFERROR(IF(_xlfn.XLOOKUP(L523,NC導入施設!B:B,NC導入施設!E:E)=0,_xlfn.IFS(H523&lt;=5,0,H523&lt;=10,1,H523&lt;=15,2,H523&gt;=16,3),"Null"),"-")</f>
        <v>0</v>
      </c>
      <c r="K523" s="61"/>
      <c r="L523" s="1">
        <v>2415181100</v>
      </c>
    </row>
    <row r="524" spans="1:12" ht="18" customHeight="1" x14ac:dyDescent="0.45">
      <c r="A524" s="8">
        <v>518</v>
      </c>
      <c r="B524" s="35" t="str">
        <f t="shared" si="215"/>
        <v>神奈川静岡本部</v>
      </c>
      <c r="C524" s="35" t="str">
        <f t="shared" si="215"/>
        <v>そんぽの家　川崎宮前</v>
      </c>
      <c r="D524" s="9" t="s">
        <v>5</v>
      </c>
      <c r="E524" s="10">
        <v>3</v>
      </c>
      <c r="F524" s="12">
        <v>0</v>
      </c>
      <c r="G524" s="12">
        <v>0</v>
      </c>
      <c r="H524" s="10">
        <f t="shared" si="213"/>
        <v>0</v>
      </c>
      <c r="I524" s="38"/>
      <c r="J524" s="19" cm="1">
        <f t="array" ref="J524">IFERROR(IF(_xlfn.XLOOKUP(L524,NC導入施設!B:B,NC導入施設!E:E)=0,_xlfn.IFS(H524&lt;=5,0,H524&lt;=10,1,H524&lt;=15,2,H524&gt;=16,3),"Null"),"-")</f>
        <v>0</v>
      </c>
      <c r="K524" s="61"/>
      <c r="L524" s="1">
        <v>2415181100</v>
      </c>
    </row>
    <row r="525" spans="1:12" ht="18" customHeight="1" x14ac:dyDescent="0.45">
      <c r="A525" s="8">
        <v>519</v>
      </c>
      <c r="B525" s="35" t="str">
        <f t="shared" si="215"/>
        <v>神奈川静岡本部</v>
      </c>
      <c r="C525" s="35" t="str">
        <f t="shared" si="215"/>
        <v>そんぽの家　川崎宮前</v>
      </c>
      <c r="D525" s="9" t="s">
        <v>6</v>
      </c>
      <c r="E525" s="10">
        <v>2</v>
      </c>
      <c r="F525" s="12">
        <v>0</v>
      </c>
      <c r="G525" s="12">
        <v>0</v>
      </c>
      <c r="H525" s="10">
        <f t="shared" si="213"/>
        <v>0</v>
      </c>
      <c r="I525" s="38"/>
      <c r="J525" s="19" cm="1">
        <f t="array" ref="J525">IFERROR(IF(_xlfn.XLOOKUP(L525,NC導入施設!B:B,NC導入施設!E:E)=0,_xlfn.IFS(H525&lt;=5,0,H525&lt;=10,1,H525&lt;=15,2,H525&gt;=16,3),"Null"),"-")</f>
        <v>0</v>
      </c>
      <c r="K525" s="61"/>
      <c r="L525" s="1">
        <v>2415181100</v>
      </c>
    </row>
    <row r="526" spans="1:12" ht="18" customHeight="1" x14ac:dyDescent="0.45">
      <c r="A526" s="8">
        <v>520</v>
      </c>
      <c r="B526" s="36" t="str">
        <f t="shared" si="215"/>
        <v>神奈川静岡本部</v>
      </c>
      <c r="C526" s="36" t="str">
        <f t="shared" si="215"/>
        <v>そんぽの家　川崎宮前</v>
      </c>
      <c r="D526" s="9" t="s">
        <v>2</v>
      </c>
      <c r="E526" s="10">
        <v>3</v>
      </c>
      <c r="F526" s="12">
        <v>1</v>
      </c>
      <c r="G526" s="12">
        <v>0.3</v>
      </c>
      <c r="H526" s="10">
        <f t="shared" si="213"/>
        <v>1</v>
      </c>
      <c r="I526" s="39"/>
      <c r="J526" s="19" cm="1">
        <f t="array" ref="J526">IFERROR(IF(_xlfn.XLOOKUP(L526,NC導入施設!B:B,NC導入施設!E:E)=0,_xlfn.IFS(H526&lt;=5,0,H526&lt;=10,1,H526&lt;=15,2,H526&gt;=16,3),"Null"),"-")</f>
        <v>0</v>
      </c>
      <c r="K526" s="62"/>
      <c r="L526" s="1">
        <v>2415181100</v>
      </c>
    </row>
    <row r="527" spans="1:12" ht="18" customHeight="1" x14ac:dyDescent="0.45">
      <c r="A527" s="13">
        <v>521</v>
      </c>
      <c r="B527" s="40" t="s">
        <v>48</v>
      </c>
      <c r="C527" s="40" t="s">
        <v>242</v>
      </c>
      <c r="D527" s="14" t="s">
        <v>3</v>
      </c>
      <c r="E527" s="15">
        <v>1</v>
      </c>
      <c r="F527" s="17">
        <v>0</v>
      </c>
      <c r="G527" s="17">
        <v>0</v>
      </c>
      <c r="H527" s="15">
        <f t="shared" si="213"/>
        <v>0</v>
      </c>
      <c r="I527" s="43" cm="1">
        <f t="array" ref="I527">IF(J527="-","-",_xlfn.IFS(K527&lt;=5,0,K527&lt;=10,1,K527&lt;=15,2,K527&gt;=16,3))</f>
        <v>3</v>
      </c>
      <c r="J527" s="19" cm="1">
        <f t="array" ref="J527">IFERROR(IF(_xlfn.XLOOKUP(L527,NC導入施設!B:B,NC導入施設!E:E)=0,_xlfn.IFS(H527&lt;=5,0,H527&lt;=10,1,H527&lt;=15,2,H527&gt;=16,3),"Null"),"-")</f>
        <v>0</v>
      </c>
      <c r="K527" s="60">
        <f t="shared" ref="K527" si="216">IFERROR(SUM(H527:H531),"-")</f>
        <v>65</v>
      </c>
      <c r="L527" s="1">
        <v>2415201100</v>
      </c>
    </row>
    <row r="528" spans="1:12" ht="18" customHeight="1" x14ac:dyDescent="0.45">
      <c r="A528" s="13">
        <v>522</v>
      </c>
      <c r="B528" s="41" t="str">
        <f t="shared" ref="B528:C531" si="217">B527</f>
        <v>神奈川静岡本部</v>
      </c>
      <c r="C528" s="41" t="str">
        <f t="shared" si="217"/>
        <v>ラヴィーレ川崎宮前</v>
      </c>
      <c r="D528" s="14" t="s">
        <v>4</v>
      </c>
      <c r="E528" s="15">
        <v>1</v>
      </c>
      <c r="F528" s="17">
        <v>0</v>
      </c>
      <c r="G528" s="17">
        <v>0</v>
      </c>
      <c r="H528" s="15">
        <f t="shared" si="213"/>
        <v>0</v>
      </c>
      <c r="I528" s="44"/>
      <c r="J528" s="19" cm="1">
        <f t="array" ref="J528">IFERROR(IF(_xlfn.XLOOKUP(L528,NC導入施設!B:B,NC導入施設!E:E)=0,_xlfn.IFS(H528&lt;=5,0,H528&lt;=10,1,H528&lt;=15,2,H528&gt;=16,3),"Null"),"-")</f>
        <v>0</v>
      </c>
      <c r="K528" s="61"/>
      <c r="L528" s="1">
        <v>2415201100</v>
      </c>
    </row>
    <row r="529" spans="1:12" ht="18" customHeight="1" x14ac:dyDescent="0.45">
      <c r="A529" s="13">
        <v>523</v>
      </c>
      <c r="B529" s="41" t="str">
        <f t="shared" si="217"/>
        <v>神奈川静岡本部</v>
      </c>
      <c r="C529" s="41" t="str">
        <f t="shared" si="217"/>
        <v>ラヴィーレ川崎宮前</v>
      </c>
      <c r="D529" s="14" t="s">
        <v>5</v>
      </c>
      <c r="E529" s="15">
        <v>2</v>
      </c>
      <c r="F529" s="17">
        <v>41</v>
      </c>
      <c r="G529" s="17">
        <v>20.5</v>
      </c>
      <c r="H529" s="15">
        <f t="shared" si="213"/>
        <v>41</v>
      </c>
      <c r="I529" s="44"/>
      <c r="J529" s="19" cm="1">
        <f t="array" ref="J529">IFERROR(IF(_xlfn.XLOOKUP(L529,NC導入施設!B:B,NC導入施設!E:E)=0,_xlfn.IFS(H529&lt;=5,0,H529&lt;=10,1,H529&lt;=15,2,H529&gt;=16,3),"Null"),"-")</f>
        <v>3</v>
      </c>
      <c r="K529" s="61"/>
      <c r="L529" s="1">
        <v>2415201100</v>
      </c>
    </row>
    <row r="530" spans="1:12" ht="18" customHeight="1" x14ac:dyDescent="0.45">
      <c r="A530" s="13">
        <v>524</v>
      </c>
      <c r="B530" s="41" t="str">
        <f t="shared" si="217"/>
        <v>神奈川静岡本部</v>
      </c>
      <c r="C530" s="41" t="str">
        <f t="shared" si="217"/>
        <v>ラヴィーレ川崎宮前</v>
      </c>
      <c r="D530" s="14" t="s">
        <v>6</v>
      </c>
      <c r="E530" s="15">
        <v>4</v>
      </c>
      <c r="F530" s="17">
        <v>24</v>
      </c>
      <c r="G530" s="17">
        <v>6</v>
      </c>
      <c r="H530" s="15">
        <f t="shared" si="213"/>
        <v>24</v>
      </c>
      <c r="I530" s="44"/>
      <c r="J530" s="19" cm="1">
        <f t="array" ref="J530">IFERROR(IF(_xlfn.XLOOKUP(L530,NC導入施設!B:B,NC導入施設!E:E)=0,_xlfn.IFS(H530&lt;=5,0,H530&lt;=10,1,H530&lt;=15,2,H530&gt;=16,3),"Null"),"-")</f>
        <v>3</v>
      </c>
      <c r="K530" s="61"/>
      <c r="L530" s="1">
        <v>2415201100</v>
      </c>
    </row>
    <row r="531" spans="1:12" ht="18" customHeight="1" x14ac:dyDescent="0.45">
      <c r="A531" s="13">
        <v>525</v>
      </c>
      <c r="B531" s="42" t="str">
        <f t="shared" si="217"/>
        <v>神奈川静岡本部</v>
      </c>
      <c r="C531" s="42" t="str">
        <f t="shared" si="217"/>
        <v>ラヴィーレ川崎宮前</v>
      </c>
      <c r="D531" s="14" t="s">
        <v>2</v>
      </c>
      <c r="E531" s="15">
        <v>2</v>
      </c>
      <c r="F531" s="17">
        <v>0</v>
      </c>
      <c r="G531" s="17">
        <v>0</v>
      </c>
      <c r="H531" s="15">
        <f t="shared" si="213"/>
        <v>0</v>
      </c>
      <c r="I531" s="45"/>
      <c r="J531" s="19" cm="1">
        <f t="array" ref="J531">IFERROR(IF(_xlfn.XLOOKUP(L531,NC導入施設!B:B,NC導入施設!E:E)=0,_xlfn.IFS(H531&lt;=5,0,H531&lt;=10,1,H531&lt;=15,2,H531&gt;=16,3),"Null"),"-")</f>
        <v>0</v>
      </c>
      <c r="K531" s="62"/>
      <c r="L531" s="1">
        <v>2415201100</v>
      </c>
    </row>
    <row r="532" spans="1:12" ht="18" customHeight="1" x14ac:dyDescent="0.45">
      <c r="A532" s="8">
        <v>526</v>
      </c>
      <c r="B532" s="34" t="s">
        <v>48</v>
      </c>
      <c r="C532" s="34" t="s">
        <v>58</v>
      </c>
      <c r="D532" s="9" t="s">
        <v>3</v>
      </c>
      <c r="E532" s="10">
        <v>1</v>
      </c>
      <c r="F532" s="12">
        <v>13</v>
      </c>
      <c r="G532" s="12">
        <v>13</v>
      </c>
      <c r="H532" s="10">
        <f t="shared" si="213"/>
        <v>13</v>
      </c>
      <c r="I532" s="37" cm="1">
        <f t="array" ref="I532">IF(J532="-","-",_xlfn.IFS(K532&lt;=5,0,K532&lt;=10,1,K532&lt;=15,2,K532&gt;=16,3))</f>
        <v>3</v>
      </c>
      <c r="J532" s="19" cm="1">
        <f t="array" ref="J532">IFERROR(IF(_xlfn.XLOOKUP(L532,NC導入施設!B:B,NC導入施設!E:E)=0,_xlfn.IFS(H532&lt;=5,0,H532&lt;=10,1,H532&lt;=15,2,H532&gt;=16,3),"Null"),"-")</f>
        <v>2</v>
      </c>
      <c r="K532" s="60">
        <f t="shared" ref="K532" si="218">IFERROR(SUM(H532:H536),"-")</f>
        <v>19</v>
      </c>
      <c r="L532" s="1">
        <v>2415211100</v>
      </c>
    </row>
    <row r="533" spans="1:12" ht="18" customHeight="1" x14ac:dyDescent="0.45">
      <c r="A533" s="8">
        <v>527</v>
      </c>
      <c r="B533" s="35" t="str">
        <f t="shared" ref="B533:C536" si="219">B532</f>
        <v>神奈川静岡本部</v>
      </c>
      <c r="C533" s="35" t="str">
        <f t="shared" si="219"/>
        <v>そんぽの家　中野島ガーデン</v>
      </c>
      <c r="D533" s="9" t="s">
        <v>4</v>
      </c>
      <c r="E533" s="10">
        <v>1</v>
      </c>
      <c r="F533" s="12">
        <v>1</v>
      </c>
      <c r="G533" s="12">
        <v>1</v>
      </c>
      <c r="H533" s="10">
        <f t="shared" si="213"/>
        <v>1</v>
      </c>
      <c r="I533" s="38"/>
      <c r="J533" s="19" cm="1">
        <f t="array" ref="J533">IFERROR(IF(_xlfn.XLOOKUP(L533,NC導入施設!B:B,NC導入施設!E:E)=0,_xlfn.IFS(H533&lt;=5,0,H533&lt;=10,1,H533&lt;=15,2,H533&gt;=16,3),"Null"),"-")</f>
        <v>0</v>
      </c>
      <c r="K533" s="61"/>
      <c r="L533" s="1">
        <v>2415211100</v>
      </c>
    </row>
    <row r="534" spans="1:12" ht="18" customHeight="1" x14ac:dyDescent="0.45">
      <c r="A534" s="8">
        <v>528</v>
      </c>
      <c r="B534" s="35" t="str">
        <f t="shared" si="219"/>
        <v>神奈川静岡本部</v>
      </c>
      <c r="C534" s="35" t="str">
        <f t="shared" si="219"/>
        <v>そんぽの家　中野島ガーデン</v>
      </c>
      <c r="D534" s="9" t="s">
        <v>5</v>
      </c>
      <c r="E534" s="10">
        <v>1</v>
      </c>
      <c r="F534" s="12">
        <v>0</v>
      </c>
      <c r="G534" s="12">
        <v>0</v>
      </c>
      <c r="H534" s="10">
        <f t="shared" si="213"/>
        <v>0</v>
      </c>
      <c r="I534" s="38"/>
      <c r="J534" s="19" cm="1">
        <f t="array" ref="J534">IFERROR(IF(_xlfn.XLOOKUP(L534,NC導入施設!B:B,NC導入施設!E:E)=0,_xlfn.IFS(H534&lt;=5,0,H534&lt;=10,1,H534&lt;=15,2,H534&gt;=16,3),"Null"),"-")</f>
        <v>0</v>
      </c>
      <c r="K534" s="61"/>
      <c r="L534" s="1">
        <v>2415211100</v>
      </c>
    </row>
    <row r="535" spans="1:12" ht="18" customHeight="1" x14ac:dyDescent="0.45">
      <c r="A535" s="8">
        <v>529</v>
      </c>
      <c r="B535" s="35" t="str">
        <f t="shared" si="219"/>
        <v>神奈川静岡本部</v>
      </c>
      <c r="C535" s="35" t="str">
        <f t="shared" si="219"/>
        <v>そんぽの家　中野島ガーデン</v>
      </c>
      <c r="D535" s="9" t="s">
        <v>6</v>
      </c>
      <c r="E535" s="10">
        <v>3</v>
      </c>
      <c r="F535" s="12">
        <v>5</v>
      </c>
      <c r="G535" s="12">
        <v>1.7</v>
      </c>
      <c r="H535" s="10">
        <f t="shared" si="213"/>
        <v>5</v>
      </c>
      <c r="I535" s="38"/>
      <c r="J535" s="19" cm="1">
        <f t="array" ref="J535">IFERROR(IF(_xlfn.XLOOKUP(L535,NC導入施設!B:B,NC導入施設!E:E)=0,_xlfn.IFS(H535&lt;=5,0,H535&lt;=10,1,H535&lt;=15,2,H535&gt;=16,3),"Null"),"-")</f>
        <v>0</v>
      </c>
      <c r="K535" s="61"/>
      <c r="L535" s="1">
        <v>2415211100</v>
      </c>
    </row>
    <row r="536" spans="1:12" ht="18" customHeight="1" x14ac:dyDescent="0.45">
      <c r="A536" s="8">
        <v>530</v>
      </c>
      <c r="B536" s="36" t="str">
        <f t="shared" si="219"/>
        <v>神奈川静岡本部</v>
      </c>
      <c r="C536" s="36" t="str">
        <f t="shared" si="219"/>
        <v>そんぽの家　中野島ガーデン</v>
      </c>
      <c r="D536" s="9" t="s">
        <v>2</v>
      </c>
      <c r="E536" s="10">
        <v>1</v>
      </c>
      <c r="F536" s="12">
        <v>0</v>
      </c>
      <c r="G536" s="12">
        <v>0</v>
      </c>
      <c r="H536" s="10">
        <f t="shared" si="213"/>
        <v>0</v>
      </c>
      <c r="I536" s="39"/>
      <c r="J536" s="19" cm="1">
        <f t="array" ref="J536">IFERROR(IF(_xlfn.XLOOKUP(L536,NC導入施設!B:B,NC導入施設!E:E)=0,_xlfn.IFS(H536&lt;=5,0,H536&lt;=10,1,H536&lt;=15,2,H536&gt;=16,3),"Null"),"-")</f>
        <v>0</v>
      </c>
      <c r="K536" s="62"/>
      <c r="L536" s="1">
        <v>2415211100</v>
      </c>
    </row>
    <row r="537" spans="1:12" ht="18" customHeight="1" x14ac:dyDescent="0.45">
      <c r="A537" s="13">
        <v>531</v>
      </c>
      <c r="B537" s="40" t="s">
        <v>48</v>
      </c>
      <c r="C537" s="40" t="s">
        <v>59</v>
      </c>
      <c r="D537" s="14" t="s">
        <v>3</v>
      </c>
      <c r="E537" s="15">
        <v>1</v>
      </c>
      <c r="F537" s="17">
        <v>5</v>
      </c>
      <c r="G537" s="17">
        <v>5</v>
      </c>
      <c r="H537" s="15">
        <f t="shared" si="213"/>
        <v>5</v>
      </c>
      <c r="I537" s="43" cm="1">
        <f t="array" ref="I537">IF(J537="-","-",_xlfn.IFS(K537&lt;=5,0,K537&lt;=10,1,K537&lt;=15,2,K537&gt;=16,3))</f>
        <v>3</v>
      </c>
      <c r="J537" s="19" cm="1">
        <f t="array" ref="J537">IFERROR(IF(_xlfn.XLOOKUP(L537,NC導入施設!B:B,NC導入施設!E:E)=0,_xlfn.IFS(H537&lt;=5,0,H537&lt;=10,1,H537&lt;=15,2,H537&gt;=16,3),"Null"),"-")</f>
        <v>0</v>
      </c>
      <c r="K537" s="60">
        <f t="shared" ref="K537" si="220">IFERROR(SUM(H537:H541),"-")</f>
        <v>35</v>
      </c>
      <c r="L537" s="1">
        <v>2415221200</v>
      </c>
    </row>
    <row r="538" spans="1:12" ht="18" customHeight="1" x14ac:dyDescent="0.45">
      <c r="A538" s="13">
        <v>532</v>
      </c>
      <c r="B538" s="41" t="str">
        <f t="shared" ref="B538:C541" si="221">B537</f>
        <v>神奈川静岡本部</v>
      </c>
      <c r="C538" s="41" t="str">
        <f t="shared" si="221"/>
        <v>そんぽの家　生田</v>
      </c>
      <c r="D538" s="14" t="s">
        <v>4</v>
      </c>
      <c r="E538" s="15">
        <v>1</v>
      </c>
      <c r="F538" s="17">
        <v>2</v>
      </c>
      <c r="G538" s="17">
        <v>2</v>
      </c>
      <c r="H538" s="15">
        <f t="shared" si="213"/>
        <v>2</v>
      </c>
      <c r="I538" s="44"/>
      <c r="J538" s="19" cm="1">
        <f t="array" ref="J538">IFERROR(IF(_xlfn.XLOOKUP(L538,NC導入施設!B:B,NC導入施設!E:E)=0,_xlfn.IFS(H538&lt;=5,0,H538&lt;=10,1,H538&lt;=15,2,H538&gt;=16,3),"Null"),"-")</f>
        <v>0</v>
      </c>
      <c r="K538" s="61"/>
      <c r="L538" s="1">
        <v>2415221200</v>
      </c>
    </row>
    <row r="539" spans="1:12" ht="18" customHeight="1" x14ac:dyDescent="0.45">
      <c r="A539" s="13">
        <v>533</v>
      </c>
      <c r="B539" s="41" t="str">
        <f t="shared" si="221"/>
        <v>神奈川静岡本部</v>
      </c>
      <c r="C539" s="41" t="str">
        <f t="shared" si="221"/>
        <v>そんぽの家　生田</v>
      </c>
      <c r="D539" s="14" t="s">
        <v>5</v>
      </c>
      <c r="E539" s="15">
        <v>1</v>
      </c>
      <c r="F539" s="17">
        <v>22</v>
      </c>
      <c r="G539" s="17">
        <v>22</v>
      </c>
      <c r="H539" s="15">
        <f t="shared" si="213"/>
        <v>22</v>
      </c>
      <c r="I539" s="44"/>
      <c r="J539" s="19" cm="1">
        <f t="array" ref="J539">IFERROR(IF(_xlfn.XLOOKUP(L539,NC導入施設!B:B,NC導入施設!E:E)=0,_xlfn.IFS(H539&lt;=5,0,H539&lt;=10,1,H539&lt;=15,2,H539&gt;=16,3),"Null"),"-")</f>
        <v>3</v>
      </c>
      <c r="K539" s="61"/>
      <c r="L539" s="1">
        <v>2415221200</v>
      </c>
    </row>
    <row r="540" spans="1:12" ht="18" customHeight="1" x14ac:dyDescent="0.45">
      <c r="A540" s="13">
        <v>534</v>
      </c>
      <c r="B540" s="41" t="str">
        <f t="shared" si="221"/>
        <v>神奈川静岡本部</v>
      </c>
      <c r="C540" s="41" t="str">
        <f t="shared" si="221"/>
        <v>そんぽの家　生田</v>
      </c>
      <c r="D540" s="14" t="s">
        <v>6</v>
      </c>
      <c r="E540" s="15">
        <v>2</v>
      </c>
      <c r="F540" s="17">
        <v>1</v>
      </c>
      <c r="G540" s="17">
        <v>0.5</v>
      </c>
      <c r="H540" s="15">
        <f t="shared" si="213"/>
        <v>1</v>
      </c>
      <c r="I540" s="44"/>
      <c r="J540" s="19" cm="1">
        <f t="array" ref="J540">IFERROR(IF(_xlfn.XLOOKUP(L540,NC導入施設!B:B,NC導入施設!E:E)=0,_xlfn.IFS(H540&lt;=5,0,H540&lt;=10,1,H540&lt;=15,2,H540&gt;=16,3),"Null"),"-")</f>
        <v>0</v>
      </c>
      <c r="K540" s="61"/>
      <c r="L540" s="1">
        <v>2415221200</v>
      </c>
    </row>
    <row r="541" spans="1:12" ht="18" customHeight="1" x14ac:dyDescent="0.45">
      <c r="A541" s="13">
        <v>535</v>
      </c>
      <c r="B541" s="42" t="str">
        <f t="shared" si="221"/>
        <v>神奈川静岡本部</v>
      </c>
      <c r="C541" s="42" t="str">
        <f t="shared" si="221"/>
        <v>そんぽの家　生田</v>
      </c>
      <c r="D541" s="14" t="s">
        <v>2</v>
      </c>
      <c r="E541" s="15">
        <v>1</v>
      </c>
      <c r="F541" s="17">
        <v>5</v>
      </c>
      <c r="G541" s="17">
        <v>5</v>
      </c>
      <c r="H541" s="15">
        <f t="shared" si="213"/>
        <v>5</v>
      </c>
      <c r="I541" s="45"/>
      <c r="J541" s="19" cm="1">
        <f t="array" ref="J541">IFERROR(IF(_xlfn.XLOOKUP(L541,NC導入施設!B:B,NC導入施設!E:E)=0,_xlfn.IFS(H541&lt;=5,0,H541&lt;=10,1,H541&lt;=15,2,H541&gt;=16,3),"Null"),"-")</f>
        <v>0</v>
      </c>
      <c r="K541" s="62"/>
      <c r="L541" s="1">
        <v>2415221200</v>
      </c>
    </row>
    <row r="542" spans="1:12" ht="18" customHeight="1" x14ac:dyDescent="0.45">
      <c r="A542" s="8">
        <v>536</v>
      </c>
      <c r="B542" s="34" t="s">
        <v>48</v>
      </c>
      <c r="C542" s="34" t="s">
        <v>60</v>
      </c>
      <c r="D542" s="9" t="s">
        <v>3</v>
      </c>
      <c r="E542" s="10">
        <v>1</v>
      </c>
      <c r="F542" s="12">
        <v>6</v>
      </c>
      <c r="G542" s="12">
        <v>6</v>
      </c>
      <c r="H542" s="10">
        <f t="shared" si="213"/>
        <v>6</v>
      </c>
      <c r="I542" s="37" cm="1">
        <f t="array" ref="I542">IF(J542="-","-",_xlfn.IFS(K542&lt;=5,0,K542&lt;=10,1,K542&lt;=15,2,K542&gt;=16,3))</f>
        <v>1</v>
      </c>
      <c r="J542" s="19" cm="1">
        <f t="array" ref="J542">IFERROR(IF(_xlfn.XLOOKUP(L542,NC導入施設!B:B,NC導入施設!E:E)=0,_xlfn.IFS(H542&lt;=5,0,H542&lt;=10,1,H542&lt;=15,2,H542&gt;=16,3),"Null"),"-")</f>
        <v>1</v>
      </c>
      <c r="K542" s="60">
        <f t="shared" ref="K542" si="222">IFERROR(SUM(H542:H546),"-")</f>
        <v>9</v>
      </c>
      <c r="L542" s="1">
        <v>2415261200</v>
      </c>
    </row>
    <row r="543" spans="1:12" ht="18" customHeight="1" x14ac:dyDescent="0.45">
      <c r="A543" s="8">
        <v>537</v>
      </c>
      <c r="B543" s="35" t="str">
        <f t="shared" ref="B543:C546" si="223">B542</f>
        <v>神奈川静岡本部</v>
      </c>
      <c r="C543" s="35" t="str">
        <f t="shared" si="223"/>
        <v>そんぽの家　新百合ヶ丘</v>
      </c>
      <c r="D543" s="9" t="s">
        <v>4</v>
      </c>
      <c r="E543" s="10">
        <v>1</v>
      </c>
      <c r="F543" s="12">
        <v>1</v>
      </c>
      <c r="G543" s="12">
        <v>1</v>
      </c>
      <c r="H543" s="10">
        <f t="shared" si="213"/>
        <v>1</v>
      </c>
      <c r="I543" s="38"/>
      <c r="J543" s="19" cm="1">
        <f t="array" ref="J543">IFERROR(IF(_xlfn.XLOOKUP(L543,NC導入施設!B:B,NC導入施設!E:E)=0,_xlfn.IFS(H543&lt;=5,0,H543&lt;=10,1,H543&lt;=15,2,H543&gt;=16,3),"Null"),"-")</f>
        <v>0</v>
      </c>
      <c r="K543" s="61"/>
      <c r="L543" s="1">
        <v>2415261200</v>
      </c>
    </row>
    <row r="544" spans="1:12" ht="18" customHeight="1" x14ac:dyDescent="0.45">
      <c r="A544" s="8">
        <v>538</v>
      </c>
      <c r="B544" s="35" t="str">
        <f t="shared" si="223"/>
        <v>神奈川静岡本部</v>
      </c>
      <c r="C544" s="35" t="str">
        <f t="shared" si="223"/>
        <v>そんぽの家　新百合ヶ丘</v>
      </c>
      <c r="D544" s="9" t="s">
        <v>5</v>
      </c>
      <c r="E544" s="10">
        <v>1</v>
      </c>
      <c r="F544" s="12">
        <v>2</v>
      </c>
      <c r="G544" s="12">
        <v>2</v>
      </c>
      <c r="H544" s="10">
        <f t="shared" si="213"/>
        <v>2</v>
      </c>
      <c r="I544" s="38"/>
      <c r="J544" s="19" cm="1">
        <f t="array" ref="J544">IFERROR(IF(_xlfn.XLOOKUP(L544,NC導入施設!B:B,NC導入施設!E:E)=0,_xlfn.IFS(H544&lt;=5,0,H544&lt;=10,1,H544&lt;=15,2,H544&gt;=16,3),"Null"),"-")</f>
        <v>0</v>
      </c>
      <c r="K544" s="61"/>
      <c r="L544" s="1">
        <v>2415261200</v>
      </c>
    </row>
    <row r="545" spans="1:12" ht="18" customHeight="1" x14ac:dyDescent="0.45">
      <c r="A545" s="8">
        <v>539</v>
      </c>
      <c r="B545" s="35" t="str">
        <f t="shared" si="223"/>
        <v>神奈川静岡本部</v>
      </c>
      <c r="C545" s="35" t="str">
        <f t="shared" si="223"/>
        <v>そんぽの家　新百合ヶ丘</v>
      </c>
      <c r="D545" s="9" t="s">
        <v>6</v>
      </c>
      <c r="E545" s="10">
        <v>3</v>
      </c>
      <c r="F545" s="12">
        <v>0</v>
      </c>
      <c r="G545" s="12">
        <v>0</v>
      </c>
      <c r="H545" s="10">
        <f t="shared" si="213"/>
        <v>0</v>
      </c>
      <c r="I545" s="38"/>
      <c r="J545" s="19" cm="1">
        <f t="array" ref="J545">IFERROR(IF(_xlfn.XLOOKUP(L545,NC導入施設!B:B,NC導入施設!E:E)=0,_xlfn.IFS(H545&lt;=5,0,H545&lt;=10,1,H545&lt;=15,2,H545&gt;=16,3),"Null"),"-")</f>
        <v>0</v>
      </c>
      <c r="K545" s="61"/>
      <c r="L545" s="1">
        <v>2415261200</v>
      </c>
    </row>
    <row r="546" spans="1:12" ht="18" customHeight="1" x14ac:dyDescent="0.45">
      <c r="A546" s="8">
        <v>540</v>
      </c>
      <c r="B546" s="36" t="str">
        <f t="shared" si="223"/>
        <v>神奈川静岡本部</v>
      </c>
      <c r="C546" s="36" t="str">
        <f t="shared" si="223"/>
        <v>そんぽの家　新百合ヶ丘</v>
      </c>
      <c r="D546" s="9" t="s">
        <v>2</v>
      </c>
      <c r="E546" s="10">
        <v>0</v>
      </c>
      <c r="F546" s="12">
        <v>0</v>
      </c>
      <c r="G546" s="12">
        <v>0</v>
      </c>
      <c r="H546" s="10">
        <f t="shared" si="213"/>
        <v>0</v>
      </c>
      <c r="I546" s="39"/>
      <c r="J546" s="19" cm="1">
        <f t="array" ref="J546">IFERROR(IF(_xlfn.XLOOKUP(L546,NC導入施設!B:B,NC導入施設!E:E)=0,_xlfn.IFS(H546&lt;=5,0,H546&lt;=10,1,H546&lt;=15,2,H546&gt;=16,3),"Null"),"-")</f>
        <v>0</v>
      </c>
      <c r="K546" s="62"/>
      <c r="L546" s="1">
        <v>2415261200</v>
      </c>
    </row>
    <row r="547" spans="1:12" ht="18" customHeight="1" x14ac:dyDescent="0.45">
      <c r="A547" s="13">
        <v>541</v>
      </c>
      <c r="B547" s="40" t="s">
        <v>48</v>
      </c>
      <c r="C547" s="40" t="s">
        <v>243</v>
      </c>
      <c r="D547" s="14" t="s">
        <v>3</v>
      </c>
      <c r="E547" s="15">
        <v>1</v>
      </c>
      <c r="F547" s="17">
        <v>13</v>
      </c>
      <c r="G547" s="17">
        <v>13</v>
      </c>
      <c r="H547" s="15">
        <f t="shared" si="213"/>
        <v>13</v>
      </c>
      <c r="I547" s="43" cm="1">
        <f t="array" ref="I547">IF(J547="-","-",_xlfn.IFS(K547&lt;=5,0,K547&lt;=10,1,K547&lt;=15,2,K547&gt;=16,3))</f>
        <v>3</v>
      </c>
      <c r="J547" s="19" cm="1">
        <f t="array" ref="J547">IFERROR(IF(_xlfn.XLOOKUP(L547,NC導入施設!B:B,NC導入施設!E:E)=0,_xlfn.IFS(H547&lt;=5,0,H547&lt;=10,1,H547&lt;=15,2,H547&gt;=16,3),"Null"),"-")</f>
        <v>2</v>
      </c>
      <c r="K547" s="60">
        <f t="shared" ref="K547" si="224">IFERROR(SUM(H547:H551),"-")</f>
        <v>18</v>
      </c>
      <c r="L547" s="1">
        <v>2415271100</v>
      </c>
    </row>
    <row r="548" spans="1:12" ht="18" customHeight="1" x14ac:dyDescent="0.45">
      <c r="A548" s="13">
        <v>542</v>
      </c>
      <c r="B548" s="41" t="str">
        <f t="shared" ref="B548:C551" si="225">B547</f>
        <v>神奈川静岡本部</v>
      </c>
      <c r="C548" s="41" t="str">
        <f t="shared" si="225"/>
        <v>ラヴィーレ王禅寺</v>
      </c>
      <c r="D548" s="14" t="s">
        <v>4</v>
      </c>
      <c r="E548" s="15">
        <v>1</v>
      </c>
      <c r="F548" s="17">
        <v>2</v>
      </c>
      <c r="G548" s="17">
        <v>2</v>
      </c>
      <c r="H548" s="15">
        <f t="shared" si="213"/>
        <v>2</v>
      </c>
      <c r="I548" s="44"/>
      <c r="J548" s="19" cm="1">
        <f t="array" ref="J548">IFERROR(IF(_xlfn.XLOOKUP(L548,NC導入施設!B:B,NC導入施設!E:E)=0,_xlfn.IFS(H548&lt;=5,0,H548&lt;=10,1,H548&lt;=15,2,H548&gt;=16,3),"Null"),"-")</f>
        <v>0</v>
      </c>
      <c r="K548" s="61"/>
      <c r="L548" s="1">
        <v>2415271100</v>
      </c>
    </row>
    <row r="549" spans="1:12" ht="18" customHeight="1" x14ac:dyDescent="0.45">
      <c r="A549" s="13">
        <v>543</v>
      </c>
      <c r="B549" s="41" t="str">
        <f t="shared" si="225"/>
        <v>神奈川静岡本部</v>
      </c>
      <c r="C549" s="41" t="str">
        <f t="shared" si="225"/>
        <v>ラヴィーレ王禅寺</v>
      </c>
      <c r="D549" s="14" t="s">
        <v>5</v>
      </c>
      <c r="E549" s="15">
        <v>2</v>
      </c>
      <c r="F549" s="17">
        <v>3</v>
      </c>
      <c r="G549" s="17">
        <v>1.5</v>
      </c>
      <c r="H549" s="15">
        <f t="shared" si="213"/>
        <v>3</v>
      </c>
      <c r="I549" s="44"/>
      <c r="J549" s="19" cm="1">
        <f t="array" ref="J549">IFERROR(IF(_xlfn.XLOOKUP(L549,NC導入施設!B:B,NC導入施設!E:E)=0,_xlfn.IFS(H549&lt;=5,0,H549&lt;=10,1,H549&lt;=15,2,H549&gt;=16,3),"Null"),"-")</f>
        <v>0</v>
      </c>
      <c r="K549" s="61"/>
      <c r="L549" s="1">
        <v>2415271100</v>
      </c>
    </row>
    <row r="550" spans="1:12" ht="18" customHeight="1" x14ac:dyDescent="0.45">
      <c r="A550" s="13">
        <v>544</v>
      </c>
      <c r="B550" s="41" t="str">
        <f t="shared" si="225"/>
        <v>神奈川静岡本部</v>
      </c>
      <c r="C550" s="41" t="str">
        <f t="shared" si="225"/>
        <v>ラヴィーレ王禅寺</v>
      </c>
      <c r="D550" s="14" t="s">
        <v>6</v>
      </c>
      <c r="E550" s="15">
        <v>4</v>
      </c>
      <c r="F550" s="17">
        <v>0</v>
      </c>
      <c r="G550" s="17">
        <v>0</v>
      </c>
      <c r="H550" s="15">
        <f t="shared" si="213"/>
        <v>0</v>
      </c>
      <c r="I550" s="44"/>
      <c r="J550" s="19" cm="1">
        <f t="array" ref="J550">IFERROR(IF(_xlfn.XLOOKUP(L550,NC導入施設!B:B,NC導入施設!E:E)=0,_xlfn.IFS(H550&lt;=5,0,H550&lt;=10,1,H550&lt;=15,2,H550&gt;=16,3),"Null"),"-")</f>
        <v>0</v>
      </c>
      <c r="K550" s="61"/>
      <c r="L550" s="1">
        <v>2415271100</v>
      </c>
    </row>
    <row r="551" spans="1:12" ht="18" customHeight="1" x14ac:dyDescent="0.45">
      <c r="A551" s="13">
        <v>545</v>
      </c>
      <c r="B551" s="42" t="str">
        <f t="shared" si="225"/>
        <v>神奈川静岡本部</v>
      </c>
      <c r="C551" s="42" t="str">
        <f t="shared" si="225"/>
        <v>ラヴィーレ王禅寺</v>
      </c>
      <c r="D551" s="14" t="s">
        <v>2</v>
      </c>
      <c r="E551" s="15">
        <v>1</v>
      </c>
      <c r="F551" s="17">
        <v>0</v>
      </c>
      <c r="G551" s="17">
        <v>0</v>
      </c>
      <c r="H551" s="15">
        <f t="shared" si="213"/>
        <v>0</v>
      </c>
      <c r="I551" s="45"/>
      <c r="J551" s="19" cm="1">
        <f t="array" ref="J551">IFERROR(IF(_xlfn.XLOOKUP(L551,NC導入施設!B:B,NC導入施設!E:E)=0,_xlfn.IFS(H551&lt;=5,0,H551&lt;=10,1,H551&lt;=15,2,H551&gt;=16,3),"Null"),"-")</f>
        <v>0</v>
      </c>
      <c r="K551" s="62"/>
      <c r="L551" s="1">
        <v>2415271100</v>
      </c>
    </row>
    <row r="552" spans="1:12" ht="18" customHeight="1" x14ac:dyDescent="0.45">
      <c r="A552" s="8">
        <v>546</v>
      </c>
      <c r="B552" s="34" t="s">
        <v>48</v>
      </c>
      <c r="C552" s="34" t="s">
        <v>244</v>
      </c>
      <c r="D552" s="9" t="s">
        <v>3</v>
      </c>
      <c r="E552" s="10">
        <v>1</v>
      </c>
      <c r="F552" s="12">
        <v>1</v>
      </c>
      <c r="G552" s="12">
        <v>1</v>
      </c>
      <c r="H552" s="10">
        <f t="shared" si="213"/>
        <v>1</v>
      </c>
      <c r="I552" s="37" cm="1">
        <f t="array" ref="I552">IF(J552="-","-",_xlfn.IFS(K552&lt;=5,0,K552&lt;=10,1,K552&lt;=15,2,K552&gt;=16,3))</f>
        <v>3</v>
      </c>
      <c r="J552" s="19" cm="1">
        <f t="array" ref="J552">IFERROR(IF(_xlfn.XLOOKUP(L552,NC導入施設!B:B,NC導入施設!E:E)=0,_xlfn.IFS(H552&lt;=5,0,H552&lt;=10,1,H552&lt;=15,2,H552&gt;=16,3),"Null"),"-")</f>
        <v>0</v>
      </c>
      <c r="K552" s="60">
        <f t="shared" ref="K552" si="226">IFERROR(SUM(H552:H556),"-")</f>
        <v>16</v>
      </c>
      <c r="L552" s="1">
        <v>2415281100</v>
      </c>
    </row>
    <row r="553" spans="1:12" ht="18" customHeight="1" x14ac:dyDescent="0.45">
      <c r="A553" s="8">
        <v>547</v>
      </c>
      <c r="B553" s="35" t="str">
        <f t="shared" ref="B553:C556" si="227">B552</f>
        <v>神奈川静岡本部</v>
      </c>
      <c r="C553" s="35" t="str">
        <f t="shared" si="227"/>
        <v>ラヴィーレ若葉台</v>
      </c>
      <c r="D553" s="9" t="s">
        <v>4</v>
      </c>
      <c r="E553" s="10">
        <v>1</v>
      </c>
      <c r="F553" s="12">
        <v>0</v>
      </c>
      <c r="G553" s="12">
        <v>0</v>
      </c>
      <c r="H553" s="10">
        <f t="shared" si="213"/>
        <v>0</v>
      </c>
      <c r="I553" s="38"/>
      <c r="J553" s="19" cm="1">
        <f t="array" ref="J553">IFERROR(IF(_xlfn.XLOOKUP(L553,NC導入施設!B:B,NC導入施設!E:E)=0,_xlfn.IFS(H553&lt;=5,0,H553&lt;=10,1,H553&lt;=15,2,H553&gt;=16,3),"Null"),"-")</f>
        <v>0</v>
      </c>
      <c r="K553" s="61"/>
      <c r="L553" s="1">
        <v>2415281100</v>
      </c>
    </row>
    <row r="554" spans="1:12" ht="18" customHeight="1" x14ac:dyDescent="0.45">
      <c r="A554" s="8">
        <v>548</v>
      </c>
      <c r="B554" s="35" t="str">
        <f t="shared" si="227"/>
        <v>神奈川静岡本部</v>
      </c>
      <c r="C554" s="35" t="str">
        <f t="shared" si="227"/>
        <v>ラヴィーレ若葉台</v>
      </c>
      <c r="D554" s="9" t="s">
        <v>5</v>
      </c>
      <c r="E554" s="10">
        <v>2</v>
      </c>
      <c r="F554" s="12">
        <v>15</v>
      </c>
      <c r="G554" s="12">
        <v>7.5</v>
      </c>
      <c r="H554" s="10">
        <f t="shared" si="213"/>
        <v>15</v>
      </c>
      <c r="I554" s="38"/>
      <c r="J554" s="19" cm="1">
        <f t="array" ref="J554">IFERROR(IF(_xlfn.XLOOKUP(L554,NC導入施設!B:B,NC導入施設!E:E)=0,_xlfn.IFS(H554&lt;=5,0,H554&lt;=10,1,H554&lt;=15,2,H554&gt;=16,3),"Null"),"-")</f>
        <v>2</v>
      </c>
      <c r="K554" s="61"/>
      <c r="L554" s="1">
        <v>2415281100</v>
      </c>
    </row>
    <row r="555" spans="1:12" ht="18" customHeight="1" x14ac:dyDescent="0.45">
      <c r="A555" s="8">
        <v>549</v>
      </c>
      <c r="B555" s="35" t="str">
        <f t="shared" si="227"/>
        <v>神奈川静岡本部</v>
      </c>
      <c r="C555" s="35" t="str">
        <f t="shared" si="227"/>
        <v>ラヴィーレ若葉台</v>
      </c>
      <c r="D555" s="9" t="s">
        <v>6</v>
      </c>
      <c r="E555" s="10">
        <v>6</v>
      </c>
      <c r="F555" s="12">
        <v>0</v>
      </c>
      <c r="G555" s="12">
        <v>0</v>
      </c>
      <c r="H555" s="10">
        <f t="shared" si="213"/>
        <v>0</v>
      </c>
      <c r="I555" s="38"/>
      <c r="J555" s="19" cm="1">
        <f t="array" ref="J555">IFERROR(IF(_xlfn.XLOOKUP(L555,NC導入施設!B:B,NC導入施設!E:E)=0,_xlfn.IFS(H555&lt;=5,0,H555&lt;=10,1,H555&lt;=15,2,H555&gt;=16,3),"Null"),"-")</f>
        <v>0</v>
      </c>
      <c r="K555" s="61"/>
      <c r="L555" s="1">
        <v>2415281100</v>
      </c>
    </row>
    <row r="556" spans="1:12" ht="18" customHeight="1" x14ac:dyDescent="0.45">
      <c r="A556" s="8">
        <v>550</v>
      </c>
      <c r="B556" s="36" t="str">
        <f t="shared" si="227"/>
        <v>神奈川静岡本部</v>
      </c>
      <c r="C556" s="36" t="str">
        <f t="shared" si="227"/>
        <v>ラヴィーレ若葉台</v>
      </c>
      <c r="D556" s="9" t="s">
        <v>2</v>
      </c>
      <c r="E556" s="10">
        <v>1</v>
      </c>
      <c r="F556" s="12">
        <v>0</v>
      </c>
      <c r="G556" s="12">
        <v>0</v>
      </c>
      <c r="H556" s="10">
        <f t="shared" si="213"/>
        <v>0</v>
      </c>
      <c r="I556" s="39"/>
      <c r="J556" s="19" cm="1">
        <f t="array" ref="J556">IFERROR(IF(_xlfn.XLOOKUP(L556,NC導入施設!B:B,NC導入施設!E:E)=0,_xlfn.IFS(H556&lt;=5,0,H556&lt;=10,1,H556&lt;=15,2,H556&gt;=16,3),"Null"),"-")</f>
        <v>0</v>
      </c>
      <c r="K556" s="62"/>
      <c r="L556" s="1">
        <v>2415281100</v>
      </c>
    </row>
    <row r="557" spans="1:12" ht="18" customHeight="1" x14ac:dyDescent="0.45">
      <c r="A557" s="13">
        <v>551</v>
      </c>
      <c r="B557" s="40" t="s">
        <v>48</v>
      </c>
      <c r="C557" s="40" t="s">
        <v>61</v>
      </c>
      <c r="D557" s="14" t="s">
        <v>3</v>
      </c>
      <c r="E557" s="15">
        <v>1</v>
      </c>
      <c r="F557" s="17">
        <v>9</v>
      </c>
      <c r="G557" s="17">
        <v>9</v>
      </c>
      <c r="H557" s="15">
        <f t="shared" si="213"/>
        <v>9</v>
      </c>
      <c r="I557" s="43" cm="1">
        <f t="array" ref="I557">IF(J557="-","-",_xlfn.IFS(K557&lt;=5,0,K557&lt;=10,1,K557&lt;=15,2,K557&gt;=16,3))</f>
        <v>2</v>
      </c>
      <c r="J557" s="19" cm="1">
        <f t="array" ref="J557">IFERROR(IF(_xlfn.XLOOKUP(L557,NC導入施設!B:B,NC導入施設!E:E)=0,_xlfn.IFS(H557&lt;=5,0,H557&lt;=10,1,H557&lt;=15,2,H557&gt;=16,3),"Null"),"-")</f>
        <v>1</v>
      </c>
      <c r="K557" s="60">
        <f t="shared" ref="K557" si="228">IFERROR(SUM(H557:H561),"-")</f>
        <v>11</v>
      </c>
      <c r="L557" s="1">
        <v>2415291200</v>
      </c>
    </row>
    <row r="558" spans="1:12" ht="18" customHeight="1" x14ac:dyDescent="0.45">
      <c r="A558" s="13">
        <v>552</v>
      </c>
      <c r="B558" s="41" t="str">
        <f t="shared" ref="B558:C561" si="229">B557</f>
        <v>神奈川静岡本部</v>
      </c>
      <c r="C558" s="41" t="str">
        <f t="shared" si="229"/>
        <v>そんぽの家　はるひ野</v>
      </c>
      <c r="D558" s="14" t="s">
        <v>4</v>
      </c>
      <c r="E558" s="15">
        <v>1</v>
      </c>
      <c r="F558" s="17">
        <v>0</v>
      </c>
      <c r="G558" s="17">
        <v>0</v>
      </c>
      <c r="H558" s="15">
        <f t="shared" si="213"/>
        <v>0</v>
      </c>
      <c r="I558" s="44"/>
      <c r="J558" s="19" cm="1">
        <f t="array" ref="J558">IFERROR(IF(_xlfn.XLOOKUP(L558,NC導入施設!B:B,NC導入施設!E:E)=0,_xlfn.IFS(H558&lt;=5,0,H558&lt;=10,1,H558&lt;=15,2,H558&gt;=16,3),"Null"),"-")</f>
        <v>0</v>
      </c>
      <c r="K558" s="61"/>
      <c r="L558" s="1">
        <v>2415291200</v>
      </c>
    </row>
    <row r="559" spans="1:12" ht="18" customHeight="1" x14ac:dyDescent="0.45">
      <c r="A559" s="13">
        <v>553</v>
      </c>
      <c r="B559" s="41" t="str">
        <f t="shared" si="229"/>
        <v>神奈川静岡本部</v>
      </c>
      <c r="C559" s="41" t="str">
        <f t="shared" si="229"/>
        <v>そんぽの家　はるひ野</v>
      </c>
      <c r="D559" s="14" t="s">
        <v>5</v>
      </c>
      <c r="E559" s="15">
        <v>3</v>
      </c>
      <c r="F559" s="17">
        <v>0</v>
      </c>
      <c r="G559" s="17">
        <v>0</v>
      </c>
      <c r="H559" s="15">
        <f t="shared" si="213"/>
        <v>0</v>
      </c>
      <c r="I559" s="44"/>
      <c r="J559" s="19" cm="1">
        <f t="array" ref="J559">IFERROR(IF(_xlfn.XLOOKUP(L559,NC導入施設!B:B,NC導入施設!E:E)=0,_xlfn.IFS(H559&lt;=5,0,H559&lt;=10,1,H559&lt;=15,2,H559&gt;=16,3),"Null"),"-")</f>
        <v>0</v>
      </c>
      <c r="K559" s="61"/>
      <c r="L559" s="1">
        <v>2415291200</v>
      </c>
    </row>
    <row r="560" spans="1:12" ht="18" customHeight="1" x14ac:dyDescent="0.45">
      <c r="A560" s="13">
        <v>554</v>
      </c>
      <c r="B560" s="41" t="str">
        <f t="shared" si="229"/>
        <v>神奈川静岡本部</v>
      </c>
      <c r="C560" s="41" t="str">
        <f t="shared" si="229"/>
        <v>そんぽの家　はるひ野</v>
      </c>
      <c r="D560" s="14" t="s">
        <v>6</v>
      </c>
      <c r="E560" s="15">
        <v>6</v>
      </c>
      <c r="F560" s="17">
        <v>0</v>
      </c>
      <c r="G560" s="17">
        <v>0</v>
      </c>
      <c r="H560" s="15">
        <f t="shared" si="213"/>
        <v>0</v>
      </c>
      <c r="I560" s="44"/>
      <c r="J560" s="19" cm="1">
        <f t="array" ref="J560">IFERROR(IF(_xlfn.XLOOKUP(L560,NC導入施設!B:B,NC導入施設!E:E)=0,_xlfn.IFS(H560&lt;=5,0,H560&lt;=10,1,H560&lt;=15,2,H560&gt;=16,3),"Null"),"-")</f>
        <v>0</v>
      </c>
      <c r="K560" s="61"/>
      <c r="L560" s="1">
        <v>2415291200</v>
      </c>
    </row>
    <row r="561" spans="1:12" ht="18" customHeight="1" x14ac:dyDescent="0.45">
      <c r="A561" s="13">
        <v>555</v>
      </c>
      <c r="B561" s="42" t="str">
        <f t="shared" si="229"/>
        <v>神奈川静岡本部</v>
      </c>
      <c r="C561" s="42" t="str">
        <f t="shared" si="229"/>
        <v>そんぽの家　はるひ野</v>
      </c>
      <c r="D561" s="14" t="s">
        <v>2</v>
      </c>
      <c r="E561" s="15">
        <v>2</v>
      </c>
      <c r="F561" s="17">
        <v>2</v>
      </c>
      <c r="G561" s="17">
        <v>1</v>
      </c>
      <c r="H561" s="15">
        <f t="shared" si="213"/>
        <v>2</v>
      </c>
      <c r="I561" s="45"/>
      <c r="J561" s="19" cm="1">
        <f t="array" ref="J561">IFERROR(IF(_xlfn.XLOOKUP(L561,NC導入施設!B:B,NC導入施設!E:E)=0,_xlfn.IFS(H561&lt;=5,0,H561&lt;=10,1,H561&lt;=15,2,H561&gt;=16,3),"Null"),"-")</f>
        <v>0</v>
      </c>
      <c r="K561" s="62"/>
      <c r="L561" s="1">
        <v>2415291200</v>
      </c>
    </row>
    <row r="562" spans="1:12" ht="18" customHeight="1" x14ac:dyDescent="0.45">
      <c r="A562" s="8">
        <v>556</v>
      </c>
      <c r="B562" s="34" t="s">
        <v>48</v>
      </c>
      <c r="C562" s="34" t="s">
        <v>245</v>
      </c>
      <c r="D562" s="9" t="s">
        <v>3</v>
      </c>
      <c r="E562" s="10">
        <v>1</v>
      </c>
      <c r="F562" s="12">
        <v>2</v>
      </c>
      <c r="G562" s="12">
        <v>2</v>
      </c>
      <c r="H562" s="10">
        <f t="shared" si="213"/>
        <v>2</v>
      </c>
      <c r="I562" s="37" cm="1">
        <f t="array" ref="I562">IF(J562="-","-",_xlfn.IFS(K562&lt;=5,0,K562&lt;=10,1,K562&lt;=15,2,K562&gt;=16,3))</f>
        <v>3</v>
      </c>
      <c r="J562" s="19" cm="1">
        <f t="array" ref="J562">IFERROR(IF(_xlfn.XLOOKUP(L562,NC導入施設!B:B,NC導入施設!E:E)=0,_xlfn.IFS(H562&lt;=5,0,H562&lt;=10,1,H562&lt;=15,2,H562&gt;=16,3),"Null"),"-")</f>
        <v>0</v>
      </c>
      <c r="K562" s="60">
        <f t="shared" ref="K562" si="230">IFERROR(SUM(H562:H566),"-")</f>
        <v>40</v>
      </c>
      <c r="L562" s="1">
        <v>2415311100</v>
      </c>
    </row>
    <row r="563" spans="1:12" ht="18" customHeight="1" x14ac:dyDescent="0.45">
      <c r="A563" s="8">
        <v>557</v>
      </c>
      <c r="B563" s="35" t="str">
        <f t="shared" ref="B563:C566" si="231">B562</f>
        <v>神奈川静岡本部</v>
      </c>
      <c r="C563" s="35" t="str">
        <f t="shared" si="231"/>
        <v>ラヴィーレ海老名</v>
      </c>
      <c r="D563" s="9" t="s">
        <v>4</v>
      </c>
      <c r="E563" s="10">
        <v>1</v>
      </c>
      <c r="F563" s="12">
        <v>18</v>
      </c>
      <c r="G563" s="12">
        <v>18</v>
      </c>
      <c r="H563" s="10">
        <f t="shared" si="213"/>
        <v>18</v>
      </c>
      <c r="I563" s="38"/>
      <c r="J563" s="19" cm="1">
        <f t="array" ref="J563">IFERROR(IF(_xlfn.XLOOKUP(L563,NC導入施設!B:B,NC導入施設!E:E)=0,_xlfn.IFS(H563&lt;=5,0,H563&lt;=10,1,H563&lt;=15,2,H563&gt;=16,3),"Null"),"-")</f>
        <v>3</v>
      </c>
      <c r="K563" s="61"/>
      <c r="L563" s="1">
        <v>2415311100</v>
      </c>
    </row>
    <row r="564" spans="1:12" ht="18" customHeight="1" x14ac:dyDescent="0.45">
      <c r="A564" s="8">
        <v>558</v>
      </c>
      <c r="B564" s="35" t="str">
        <f t="shared" si="231"/>
        <v>神奈川静岡本部</v>
      </c>
      <c r="C564" s="35" t="str">
        <f t="shared" si="231"/>
        <v>ラヴィーレ海老名</v>
      </c>
      <c r="D564" s="9" t="s">
        <v>5</v>
      </c>
      <c r="E564" s="10">
        <v>2</v>
      </c>
      <c r="F564" s="12">
        <v>20</v>
      </c>
      <c r="G564" s="12">
        <v>10</v>
      </c>
      <c r="H564" s="10">
        <f t="shared" si="213"/>
        <v>20</v>
      </c>
      <c r="I564" s="38"/>
      <c r="J564" s="19" cm="1">
        <f t="array" ref="J564">IFERROR(IF(_xlfn.XLOOKUP(L564,NC導入施設!B:B,NC導入施設!E:E)=0,_xlfn.IFS(H564&lt;=5,0,H564&lt;=10,1,H564&lt;=15,2,H564&gt;=16,3),"Null"),"-")</f>
        <v>3</v>
      </c>
      <c r="K564" s="61"/>
      <c r="L564" s="1">
        <v>2415311100</v>
      </c>
    </row>
    <row r="565" spans="1:12" ht="18" customHeight="1" x14ac:dyDescent="0.45">
      <c r="A565" s="8">
        <v>559</v>
      </c>
      <c r="B565" s="35" t="str">
        <f t="shared" si="231"/>
        <v>神奈川静岡本部</v>
      </c>
      <c r="C565" s="35" t="str">
        <f t="shared" si="231"/>
        <v>ラヴィーレ海老名</v>
      </c>
      <c r="D565" s="9" t="s">
        <v>6</v>
      </c>
      <c r="E565" s="10">
        <v>3</v>
      </c>
      <c r="F565" s="12">
        <v>0</v>
      </c>
      <c r="G565" s="12">
        <v>0</v>
      </c>
      <c r="H565" s="10">
        <f t="shared" si="213"/>
        <v>0</v>
      </c>
      <c r="I565" s="38"/>
      <c r="J565" s="19" cm="1">
        <f t="array" ref="J565">IFERROR(IF(_xlfn.XLOOKUP(L565,NC導入施設!B:B,NC導入施設!E:E)=0,_xlfn.IFS(H565&lt;=5,0,H565&lt;=10,1,H565&lt;=15,2,H565&gt;=16,3),"Null"),"-")</f>
        <v>0</v>
      </c>
      <c r="K565" s="61"/>
      <c r="L565" s="1">
        <v>2415311100</v>
      </c>
    </row>
    <row r="566" spans="1:12" ht="18" customHeight="1" x14ac:dyDescent="0.45">
      <c r="A566" s="8">
        <v>560</v>
      </c>
      <c r="B566" s="36" t="str">
        <f t="shared" si="231"/>
        <v>神奈川静岡本部</v>
      </c>
      <c r="C566" s="36" t="str">
        <f t="shared" si="231"/>
        <v>ラヴィーレ海老名</v>
      </c>
      <c r="D566" s="9" t="s">
        <v>2</v>
      </c>
      <c r="E566" s="10">
        <v>1</v>
      </c>
      <c r="F566" s="12">
        <v>0</v>
      </c>
      <c r="G566" s="12">
        <v>0</v>
      </c>
      <c r="H566" s="10">
        <f t="shared" si="213"/>
        <v>0</v>
      </c>
      <c r="I566" s="39"/>
      <c r="J566" s="19" cm="1">
        <f t="array" ref="J566">IFERROR(IF(_xlfn.XLOOKUP(L566,NC導入施設!B:B,NC導入施設!E:E)=0,_xlfn.IFS(H566&lt;=5,0,H566&lt;=10,1,H566&lt;=15,2,H566&gt;=16,3),"Null"),"-")</f>
        <v>0</v>
      </c>
      <c r="K566" s="62"/>
      <c r="L566" s="1">
        <v>2415311100</v>
      </c>
    </row>
    <row r="567" spans="1:12" ht="18" customHeight="1" x14ac:dyDescent="0.45">
      <c r="A567" s="13">
        <v>561</v>
      </c>
      <c r="B567" s="40" t="s">
        <v>48</v>
      </c>
      <c r="C567" s="40" t="s">
        <v>246</v>
      </c>
      <c r="D567" s="14" t="s">
        <v>3</v>
      </c>
      <c r="E567" s="15">
        <v>1</v>
      </c>
      <c r="F567" s="17">
        <v>1</v>
      </c>
      <c r="G567" s="17">
        <v>1</v>
      </c>
      <c r="H567" s="15">
        <f t="shared" si="213"/>
        <v>1</v>
      </c>
      <c r="I567" s="43" cm="1">
        <f t="array" ref="I567">IF(J567="-","-",_xlfn.IFS(K567&lt;=5,0,K567&lt;=10,1,K567&lt;=15,2,K567&gt;=16,3))</f>
        <v>3</v>
      </c>
      <c r="J567" s="19" cm="1">
        <f t="array" ref="J567">IFERROR(IF(_xlfn.XLOOKUP(L567,NC導入施設!B:B,NC導入施設!E:E)=0,_xlfn.IFS(H567&lt;=5,0,H567&lt;=10,1,H567&lt;=15,2,H567&gt;=16,3),"Null"),"-")</f>
        <v>0</v>
      </c>
      <c r="K567" s="60">
        <f t="shared" ref="K567" si="232">IFERROR(SUM(H567:H571),"-")</f>
        <v>28</v>
      </c>
      <c r="L567" s="1">
        <v>2415321100</v>
      </c>
    </row>
    <row r="568" spans="1:12" ht="18" customHeight="1" x14ac:dyDescent="0.45">
      <c r="A568" s="13">
        <v>562</v>
      </c>
      <c r="B568" s="41" t="str">
        <f t="shared" ref="B568:C571" si="233">B567</f>
        <v>神奈川静岡本部</v>
      </c>
      <c r="C568" s="41" t="str">
        <f t="shared" si="233"/>
        <v>ラヴィーレ座間谷戸山公園</v>
      </c>
      <c r="D568" s="14" t="s">
        <v>4</v>
      </c>
      <c r="E568" s="15">
        <v>2</v>
      </c>
      <c r="F568" s="17">
        <v>12</v>
      </c>
      <c r="G568" s="17">
        <v>6</v>
      </c>
      <c r="H568" s="15">
        <f t="shared" si="213"/>
        <v>12</v>
      </c>
      <c r="I568" s="44"/>
      <c r="J568" s="19" cm="1">
        <f t="array" ref="J568">IFERROR(IF(_xlfn.XLOOKUP(L568,NC導入施設!B:B,NC導入施設!E:E)=0,_xlfn.IFS(H568&lt;=5,0,H568&lt;=10,1,H568&lt;=15,2,H568&gt;=16,3),"Null"),"-")</f>
        <v>2</v>
      </c>
      <c r="K568" s="61"/>
      <c r="L568" s="1">
        <v>2415321100</v>
      </c>
    </row>
    <row r="569" spans="1:12" ht="18" customHeight="1" x14ac:dyDescent="0.45">
      <c r="A569" s="13">
        <v>563</v>
      </c>
      <c r="B569" s="41" t="str">
        <f t="shared" si="233"/>
        <v>神奈川静岡本部</v>
      </c>
      <c r="C569" s="41" t="str">
        <f t="shared" si="233"/>
        <v>ラヴィーレ座間谷戸山公園</v>
      </c>
      <c r="D569" s="14" t="s">
        <v>5</v>
      </c>
      <c r="E569" s="15">
        <v>2</v>
      </c>
      <c r="F569" s="17">
        <v>5</v>
      </c>
      <c r="G569" s="17">
        <v>2.5</v>
      </c>
      <c r="H569" s="15">
        <f t="shared" si="213"/>
        <v>5</v>
      </c>
      <c r="I569" s="44"/>
      <c r="J569" s="19" cm="1">
        <f t="array" ref="J569">IFERROR(IF(_xlfn.XLOOKUP(L569,NC導入施設!B:B,NC導入施設!E:E)=0,_xlfn.IFS(H569&lt;=5,0,H569&lt;=10,1,H569&lt;=15,2,H569&gt;=16,3),"Null"),"-")</f>
        <v>0</v>
      </c>
      <c r="K569" s="61"/>
      <c r="L569" s="1">
        <v>2415321100</v>
      </c>
    </row>
    <row r="570" spans="1:12" ht="18" customHeight="1" x14ac:dyDescent="0.45">
      <c r="A570" s="13">
        <v>564</v>
      </c>
      <c r="B570" s="41" t="str">
        <f t="shared" si="233"/>
        <v>神奈川静岡本部</v>
      </c>
      <c r="C570" s="41" t="str">
        <f t="shared" si="233"/>
        <v>ラヴィーレ座間谷戸山公園</v>
      </c>
      <c r="D570" s="14" t="s">
        <v>6</v>
      </c>
      <c r="E570" s="15">
        <v>12</v>
      </c>
      <c r="F570" s="17">
        <v>0</v>
      </c>
      <c r="G570" s="17">
        <v>0</v>
      </c>
      <c r="H570" s="15">
        <f t="shared" si="213"/>
        <v>0</v>
      </c>
      <c r="I570" s="44"/>
      <c r="J570" s="19" cm="1">
        <f t="array" ref="J570">IFERROR(IF(_xlfn.XLOOKUP(L570,NC導入施設!B:B,NC導入施設!E:E)=0,_xlfn.IFS(H570&lt;=5,0,H570&lt;=10,1,H570&lt;=15,2,H570&gt;=16,3),"Null"),"-")</f>
        <v>0</v>
      </c>
      <c r="K570" s="61"/>
      <c r="L570" s="1">
        <v>2415321100</v>
      </c>
    </row>
    <row r="571" spans="1:12" ht="18" customHeight="1" x14ac:dyDescent="0.45">
      <c r="A571" s="13">
        <v>565</v>
      </c>
      <c r="B571" s="42" t="str">
        <f t="shared" si="233"/>
        <v>神奈川静岡本部</v>
      </c>
      <c r="C571" s="42" t="str">
        <f t="shared" si="233"/>
        <v>ラヴィーレ座間谷戸山公園</v>
      </c>
      <c r="D571" s="14" t="s">
        <v>2</v>
      </c>
      <c r="E571" s="15">
        <v>3</v>
      </c>
      <c r="F571" s="17">
        <v>10</v>
      </c>
      <c r="G571" s="17">
        <v>3.3</v>
      </c>
      <c r="H571" s="15">
        <f t="shared" si="213"/>
        <v>10</v>
      </c>
      <c r="I571" s="45"/>
      <c r="J571" s="19" cm="1">
        <f t="array" ref="J571">IFERROR(IF(_xlfn.XLOOKUP(L571,NC導入施設!B:B,NC導入施設!E:E)=0,_xlfn.IFS(H571&lt;=5,0,H571&lt;=10,1,H571&lt;=15,2,H571&gt;=16,3),"Null"),"-")</f>
        <v>1</v>
      </c>
      <c r="K571" s="62"/>
      <c r="L571" s="1">
        <v>2415321100</v>
      </c>
    </row>
    <row r="572" spans="1:12" ht="18" customHeight="1" x14ac:dyDescent="0.45">
      <c r="A572" s="8">
        <v>566</v>
      </c>
      <c r="B572" s="34" t="s">
        <v>48</v>
      </c>
      <c r="C572" s="34" t="s">
        <v>247</v>
      </c>
      <c r="D572" s="9" t="s">
        <v>3</v>
      </c>
      <c r="E572" s="10">
        <v>1</v>
      </c>
      <c r="F572" s="12">
        <v>13</v>
      </c>
      <c r="G572" s="12">
        <v>13</v>
      </c>
      <c r="H572" s="10">
        <f t="shared" si="213"/>
        <v>13</v>
      </c>
      <c r="I572" s="37" cm="1">
        <f t="array" ref="I572">IF(J572="-","-",_xlfn.IFS(K572&lt;=5,0,K572&lt;=10,1,K572&lt;=15,2,K572&gt;=16,3))</f>
        <v>3</v>
      </c>
      <c r="J572" s="19" cm="1">
        <f t="array" ref="J572">IFERROR(IF(_xlfn.XLOOKUP(L572,NC導入施設!B:B,NC導入施設!E:E)=0,_xlfn.IFS(H572&lt;=5,0,H572&lt;=10,1,H572&lt;=15,2,H572&gt;=16,3),"Null"),"-")</f>
        <v>2</v>
      </c>
      <c r="K572" s="60">
        <f t="shared" ref="K572" si="234">IFERROR(SUM(H572:H576),"-")</f>
        <v>17</v>
      </c>
      <c r="L572" s="1">
        <v>2415331100</v>
      </c>
    </row>
    <row r="573" spans="1:12" ht="18" customHeight="1" x14ac:dyDescent="0.45">
      <c r="A573" s="8">
        <v>567</v>
      </c>
      <c r="B573" s="35" t="str">
        <f t="shared" ref="B573:C576" si="235">B572</f>
        <v>神奈川静岡本部</v>
      </c>
      <c r="C573" s="35" t="str">
        <f t="shared" si="235"/>
        <v>ラヴィーレ座間</v>
      </c>
      <c r="D573" s="9" t="s">
        <v>4</v>
      </c>
      <c r="E573" s="10">
        <v>1</v>
      </c>
      <c r="F573" s="12">
        <v>3</v>
      </c>
      <c r="G573" s="12">
        <v>3</v>
      </c>
      <c r="H573" s="10">
        <f t="shared" si="213"/>
        <v>3</v>
      </c>
      <c r="I573" s="38"/>
      <c r="J573" s="19" cm="1">
        <f t="array" ref="J573">IFERROR(IF(_xlfn.XLOOKUP(L573,NC導入施設!B:B,NC導入施設!E:E)=0,_xlfn.IFS(H573&lt;=5,0,H573&lt;=10,1,H573&lt;=15,2,H573&gt;=16,3),"Null"),"-")</f>
        <v>0</v>
      </c>
      <c r="K573" s="61"/>
      <c r="L573" s="1">
        <v>2415331100</v>
      </c>
    </row>
    <row r="574" spans="1:12" ht="18" customHeight="1" x14ac:dyDescent="0.45">
      <c r="A574" s="8">
        <v>568</v>
      </c>
      <c r="B574" s="35" t="str">
        <f t="shared" si="235"/>
        <v>神奈川静岡本部</v>
      </c>
      <c r="C574" s="35" t="str">
        <f t="shared" si="235"/>
        <v>ラヴィーレ座間</v>
      </c>
      <c r="D574" s="9" t="s">
        <v>5</v>
      </c>
      <c r="E574" s="10">
        <v>1</v>
      </c>
      <c r="F574" s="12">
        <v>1</v>
      </c>
      <c r="G574" s="12">
        <v>1</v>
      </c>
      <c r="H574" s="10">
        <f t="shared" si="213"/>
        <v>1</v>
      </c>
      <c r="I574" s="38"/>
      <c r="J574" s="19" cm="1">
        <f t="array" ref="J574">IFERROR(IF(_xlfn.XLOOKUP(L574,NC導入施設!B:B,NC導入施設!E:E)=0,_xlfn.IFS(H574&lt;=5,0,H574&lt;=10,1,H574&lt;=15,2,H574&gt;=16,3),"Null"),"-")</f>
        <v>0</v>
      </c>
      <c r="K574" s="61"/>
      <c r="L574" s="1">
        <v>2415331100</v>
      </c>
    </row>
    <row r="575" spans="1:12" ht="18" customHeight="1" x14ac:dyDescent="0.45">
      <c r="A575" s="8">
        <v>569</v>
      </c>
      <c r="B575" s="35" t="str">
        <f t="shared" si="235"/>
        <v>神奈川静岡本部</v>
      </c>
      <c r="C575" s="35" t="str">
        <f t="shared" si="235"/>
        <v>ラヴィーレ座間</v>
      </c>
      <c r="D575" s="9" t="s">
        <v>6</v>
      </c>
      <c r="E575" s="10">
        <v>3</v>
      </c>
      <c r="F575" s="12">
        <v>0</v>
      </c>
      <c r="G575" s="12">
        <v>0</v>
      </c>
      <c r="H575" s="10">
        <f t="shared" si="213"/>
        <v>0</v>
      </c>
      <c r="I575" s="38"/>
      <c r="J575" s="19" cm="1">
        <f t="array" ref="J575">IFERROR(IF(_xlfn.XLOOKUP(L575,NC導入施設!B:B,NC導入施設!E:E)=0,_xlfn.IFS(H575&lt;=5,0,H575&lt;=10,1,H575&lt;=15,2,H575&gt;=16,3),"Null"),"-")</f>
        <v>0</v>
      </c>
      <c r="K575" s="61"/>
      <c r="L575" s="1">
        <v>2415331100</v>
      </c>
    </row>
    <row r="576" spans="1:12" ht="18" customHeight="1" x14ac:dyDescent="0.45">
      <c r="A576" s="8">
        <v>570</v>
      </c>
      <c r="B576" s="36" t="str">
        <f t="shared" si="235"/>
        <v>神奈川静岡本部</v>
      </c>
      <c r="C576" s="36" t="str">
        <f t="shared" si="235"/>
        <v>ラヴィーレ座間</v>
      </c>
      <c r="D576" s="9" t="s">
        <v>2</v>
      </c>
      <c r="E576" s="10">
        <v>1</v>
      </c>
      <c r="F576" s="12">
        <v>0</v>
      </c>
      <c r="G576" s="12">
        <v>0</v>
      </c>
      <c r="H576" s="10">
        <f t="shared" si="213"/>
        <v>0</v>
      </c>
      <c r="I576" s="39"/>
      <c r="J576" s="19" cm="1">
        <f t="array" ref="J576">IFERROR(IF(_xlfn.XLOOKUP(L576,NC導入施設!B:B,NC導入施設!E:E)=0,_xlfn.IFS(H576&lt;=5,0,H576&lt;=10,1,H576&lt;=15,2,H576&gt;=16,3),"Null"),"-")</f>
        <v>0</v>
      </c>
      <c r="K576" s="62"/>
      <c r="L576" s="1">
        <v>2415331100</v>
      </c>
    </row>
    <row r="577" spans="1:12" ht="18" customHeight="1" x14ac:dyDescent="0.45">
      <c r="A577" s="13">
        <v>571</v>
      </c>
      <c r="B577" s="40" t="s">
        <v>48</v>
      </c>
      <c r="C577" s="40" t="s">
        <v>62</v>
      </c>
      <c r="D577" s="14" t="s">
        <v>3</v>
      </c>
      <c r="E577" s="15">
        <v>1</v>
      </c>
      <c r="F577" s="17">
        <v>3</v>
      </c>
      <c r="G577" s="17">
        <v>3</v>
      </c>
      <c r="H577" s="15">
        <f t="shared" si="213"/>
        <v>3</v>
      </c>
      <c r="I577" s="43" cm="1">
        <f t="array" ref="I577">IF(J577="-","-",_xlfn.IFS(K577&lt;=5,0,K577&lt;=10,1,K577&lt;=15,2,K577&gt;=16,3))</f>
        <v>3</v>
      </c>
      <c r="J577" s="19" cm="1">
        <f t="array" ref="J577">IFERROR(IF(_xlfn.XLOOKUP(L577,NC導入施設!B:B,NC導入施設!E:E)=0,_xlfn.IFS(H577&lt;=5,0,H577&lt;=10,1,H577&lt;=15,2,H577&gt;=16,3),"Null"),"-")</f>
        <v>0</v>
      </c>
      <c r="K577" s="60">
        <f t="shared" ref="K577" si="236">IFERROR(SUM(H577:H581),"-")</f>
        <v>25</v>
      </c>
      <c r="L577" s="1">
        <v>2415341100</v>
      </c>
    </row>
    <row r="578" spans="1:12" ht="18" customHeight="1" x14ac:dyDescent="0.45">
      <c r="A578" s="13">
        <v>572</v>
      </c>
      <c r="B578" s="41" t="str">
        <f t="shared" ref="B578:C581" si="237">B577</f>
        <v>神奈川静岡本部</v>
      </c>
      <c r="C578" s="41" t="str">
        <f t="shared" si="237"/>
        <v>そんぽの家　相模大野</v>
      </c>
      <c r="D578" s="14" t="s">
        <v>4</v>
      </c>
      <c r="E578" s="15">
        <v>1</v>
      </c>
      <c r="F578" s="17">
        <v>2</v>
      </c>
      <c r="G578" s="17">
        <v>2</v>
      </c>
      <c r="H578" s="15">
        <f t="shared" si="213"/>
        <v>2</v>
      </c>
      <c r="I578" s="44"/>
      <c r="J578" s="19" cm="1">
        <f t="array" ref="J578">IFERROR(IF(_xlfn.XLOOKUP(L578,NC導入施設!B:B,NC導入施設!E:E)=0,_xlfn.IFS(H578&lt;=5,0,H578&lt;=10,1,H578&lt;=15,2,H578&gt;=16,3),"Null"),"-")</f>
        <v>0</v>
      </c>
      <c r="K578" s="61"/>
      <c r="L578" s="1">
        <v>2415341100</v>
      </c>
    </row>
    <row r="579" spans="1:12" ht="18" customHeight="1" x14ac:dyDescent="0.45">
      <c r="A579" s="13">
        <v>573</v>
      </c>
      <c r="B579" s="41" t="str">
        <f t="shared" si="237"/>
        <v>神奈川静岡本部</v>
      </c>
      <c r="C579" s="41" t="str">
        <f t="shared" si="237"/>
        <v>そんぽの家　相模大野</v>
      </c>
      <c r="D579" s="14" t="s">
        <v>5</v>
      </c>
      <c r="E579" s="15">
        <v>1</v>
      </c>
      <c r="F579" s="17">
        <v>15</v>
      </c>
      <c r="G579" s="17">
        <v>15</v>
      </c>
      <c r="H579" s="15">
        <f t="shared" si="213"/>
        <v>15</v>
      </c>
      <c r="I579" s="44"/>
      <c r="J579" s="19" cm="1">
        <f t="array" ref="J579">IFERROR(IF(_xlfn.XLOOKUP(L579,NC導入施設!B:B,NC導入施設!E:E)=0,_xlfn.IFS(H579&lt;=5,0,H579&lt;=10,1,H579&lt;=15,2,H579&gt;=16,3),"Null"),"-")</f>
        <v>2</v>
      </c>
      <c r="K579" s="61"/>
      <c r="L579" s="1">
        <v>2415341100</v>
      </c>
    </row>
    <row r="580" spans="1:12" ht="18" customHeight="1" x14ac:dyDescent="0.45">
      <c r="A580" s="13">
        <v>574</v>
      </c>
      <c r="B580" s="41" t="str">
        <f t="shared" si="237"/>
        <v>神奈川静岡本部</v>
      </c>
      <c r="C580" s="41" t="str">
        <f t="shared" si="237"/>
        <v>そんぽの家　相模大野</v>
      </c>
      <c r="D580" s="14" t="s">
        <v>6</v>
      </c>
      <c r="E580" s="15">
        <v>3</v>
      </c>
      <c r="F580" s="17">
        <v>1</v>
      </c>
      <c r="G580" s="17">
        <v>0.3</v>
      </c>
      <c r="H580" s="15">
        <f t="shared" si="213"/>
        <v>1</v>
      </c>
      <c r="I580" s="44"/>
      <c r="J580" s="19" cm="1">
        <f t="array" ref="J580">IFERROR(IF(_xlfn.XLOOKUP(L580,NC導入施設!B:B,NC導入施設!E:E)=0,_xlfn.IFS(H580&lt;=5,0,H580&lt;=10,1,H580&lt;=15,2,H580&gt;=16,3),"Null"),"-")</f>
        <v>0</v>
      </c>
      <c r="K580" s="61"/>
      <c r="L580" s="1">
        <v>2415341100</v>
      </c>
    </row>
    <row r="581" spans="1:12" ht="18" customHeight="1" x14ac:dyDescent="0.45">
      <c r="A581" s="13">
        <v>575</v>
      </c>
      <c r="B581" s="42" t="str">
        <f t="shared" si="237"/>
        <v>神奈川静岡本部</v>
      </c>
      <c r="C581" s="42" t="str">
        <f t="shared" si="237"/>
        <v>そんぽの家　相模大野</v>
      </c>
      <c r="D581" s="14" t="s">
        <v>2</v>
      </c>
      <c r="E581" s="15">
        <v>1</v>
      </c>
      <c r="F581" s="17">
        <v>4</v>
      </c>
      <c r="G581" s="17">
        <v>4</v>
      </c>
      <c r="H581" s="15">
        <f t="shared" si="213"/>
        <v>4</v>
      </c>
      <c r="I581" s="45"/>
      <c r="J581" s="19" cm="1">
        <f t="array" ref="J581">IFERROR(IF(_xlfn.XLOOKUP(L581,NC導入施設!B:B,NC導入施設!E:E)=0,_xlfn.IFS(H581&lt;=5,0,H581&lt;=10,1,H581&lt;=15,2,H581&gt;=16,3),"Null"),"-")</f>
        <v>0</v>
      </c>
      <c r="K581" s="62"/>
      <c r="L581" s="1">
        <v>2415341100</v>
      </c>
    </row>
    <row r="582" spans="1:12" ht="18" customHeight="1" x14ac:dyDescent="0.45">
      <c r="A582" s="8">
        <v>576</v>
      </c>
      <c r="B582" s="34" t="s">
        <v>48</v>
      </c>
      <c r="C582" s="34" t="s">
        <v>248</v>
      </c>
      <c r="D582" s="9" t="s">
        <v>3</v>
      </c>
      <c r="E582" s="10">
        <v>1</v>
      </c>
      <c r="F582" s="12">
        <v>5</v>
      </c>
      <c r="G582" s="12">
        <v>5</v>
      </c>
      <c r="H582" s="10">
        <f t="shared" si="213"/>
        <v>5</v>
      </c>
      <c r="I582" s="37" cm="1">
        <f t="array" ref="I582">IF(J582="-","-",_xlfn.IFS(K582&lt;=5,0,K582&lt;=10,1,K582&lt;=15,2,K582&gt;=16,3))</f>
        <v>2</v>
      </c>
      <c r="J582" s="19" cm="1">
        <f t="array" ref="J582">IFERROR(IF(_xlfn.XLOOKUP(L582,NC導入施設!B:B,NC導入施設!E:E)=0,_xlfn.IFS(H582&lt;=5,0,H582&lt;=10,1,H582&lt;=15,2,H582&gt;=16,3),"Null"),"-")</f>
        <v>0</v>
      </c>
      <c r="K582" s="60">
        <f t="shared" ref="K582" si="238">IFERROR(SUM(H582:H586),"-")</f>
        <v>15</v>
      </c>
      <c r="L582" s="1">
        <v>2415351100</v>
      </c>
    </row>
    <row r="583" spans="1:12" ht="18" customHeight="1" x14ac:dyDescent="0.45">
      <c r="A583" s="8">
        <v>577</v>
      </c>
      <c r="B583" s="35" t="str">
        <f t="shared" ref="B583:C586" si="239">B582</f>
        <v>神奈川静岡本部</v>
      </c>
      <c r="C583" s="35" t="str">
        <f t="shared" si="239"/>
        <v>ラヴィーレ小田急相模原</v>
      </c>
      <c r="D583" s="9" t="s">
        <v>4</v>
      </c>
      <c r="E583" s="10">
        <v>1</v>
      </c>
      <c r="F583" s="12">
        <v>1</v>
      </c>
      <c r="G583" s="12">
        <v>1</v>
      </c>
      <c r="H583" s="10">
        <f t="shared" si="213"/>
        <v>1</v>
      </c>
      <c r="I583" s="38"/>
      <c r="J583" s="19" cm="1">
        <f t="array" ref="J583">IFERROR(IF(_xlfn.XLOOKUP(L583,NC導入施設!B:B,NC導入施設!E:E)=0,_xlfn.IFS(H583&lt;=5,0,H583&lt;=10,1,H583&lt;=15,2,H583&gt;=16,3),"Null"),"-")</f>
        <v>0</v>
      </c>
      <c r="K583" s="61"/>
      <c r="L583" s="1">
        <v>2415351100</v>
      </c>
    </row>
    <row r="584" spans="1:12" ht="18" customHeight="1" x14ac:dyDescent="0.45">
      <c r="A584" s="8">
        <v>578</v>
      </c>
      <c r="B584" s="35" t="str">
        <f t="shared" si="239"/>
        <v>神奈川静岡本部</v>
      </c>
      <c r="C584" s="35" t="str">
        <f t="shared" si="239"/>
        <v>ラヴィーレ小田急相模原</v>
      </c>
      <c r="D584" s="9" t="s">
        <v>5</v>
      </c>
      <c r="E584" s="10">
        <v>1</v>
      </c>
      <c r="F584" s="12">
        <v>7</v>
      </c>
      <c r="G584" s="12">
        <v>7</v>
      </c>
      <c r="H584" s="10">
        <f t="shared" ref="H584:H647" si="240">F584</f>
        <v>7</v>
      </c>
      <c r="I584" s="38"/>
      <c r="J584" s="19" cm="1">
        <f t="array" ref="J584">IFERROR(IF(_xlfn.XLOOKUP(L584,NC導入施設!B:B,NC導入施設!E:E)=0,_xlfn.IFS(H584&lt;=5,0,H584&lt;=10,1,H584&lt;=15,2,H584&gt;=16,3),"Null"),"-")</f>
        <v>1</v>
      </c>
      <c r="K584" s="61"/>
      <c r="L584" s="1">
        <v>2415351100</v>
      </c>
    </row>
    <row r="585" spans="1:12" ht="18" customHeight="1" x14ac:dyDescent="0.45">
      <c r="A585" s="8">
        <v>579</v>
      </c>
      <c r="B585" s="35" t="str">
        <f t="shared" si="239"/>
        <v>神奈川静岡本部</v>
      </c>
      <c r="C585" s="35" t="str">
        <f t="shared" si="239"/>
        <v>ラヴィーレ小田急相模原</v>
      </c>
      <c r="D585" s="9" t="s">
        <v>6</v>
      </c>
      <c r="E585" s="10">
        <v>4</v>
      </c>
      <c r="F585" s="12">
        <v>0</v>
      </c>
      <c r="G585" s="12">
        <v>0</v>
      </c>
      <c r="H585" s="10">
        <f t="shared" si="240"/>
        <v>0</v>
      </c>
      <c r="I585" s="38"/>
      <c r="J585" s="19" cm="1">
        <f t="array" ref="J585">IFERROR(IF(_xlfn.XLOOKUP(L585,NC導入施設!B:B,NC導入施設!E:E)=0,_xlfn.IFS(H585&lt;=5,0,H585&lt;=10,1,H585&lt;=15,2,H585&gt;=16,3),"Null"),"-")</f>
        <v>0</v>
      </c>
      <c r="K585" s="61"/>
      <c r="L585" s="1">
        <v>2415351100</v>
      </c>
    </row>
    <row r="586" spans="1:12" ht="18" customHeight="1" x14ac:dyDescent="0.45">
      <c r="A586" s="8">
        <v>580</v>
      </c>
      <c r="B586" s="36" t="str">
        <f t="shared" si="239"/>
        <v>神奈川静岡本部</v>
      </c>
      <c r="C586" s="36" t="str">
        <f t="shared" si="239"/>
        <v>ラヴィーレ小田急相模原</v>
      </c>
      <c r="D586" s="9" t="s">
        <v>2</v>
      </c>
      <c r="E586" s="10">
        <v>2</v>
      </c>
      <c r="F586" s="12">
        <v>2</v>
      </c>
      <c r="G586" s="12">
        <v>1</v>
      </c>
      <c r="H586" s="10">
        <f t="shared" si="240"/>
        <v>2</v>
      </c>
      <c r="I586" s="39"/>
      <c r="J586" s="19" cm="1">
        <f t="array" ref="J586">IFERROR(IF(_xlfn.XLOOKUP(L586,NC導入施設!B:B,NC導入施設!E:E)=0,_xlfn.IFS(H586&lt;=5,0,H586&lt;=10,1,H586&lt;=15,2,H586&gt;=16,3),"Null"),"-")</f>
        <v>0</v>
      </c>
      <c r="K586" s="62"/>
      <c r="L586" s="1">
        <v>2415351100</v>
      </c>
    </row>
    <row r="587" spans="1:12" ht="18" customHeight="1" x14ac:dyDescent="0.45">
      <c r="A587" s="13">
        <v>581</v>
      </c>
      <c r="B587" s="40" t="s">
        <v>48</v>
      </c>
      <c r="C587" s="40" t="s">
        <v>249</v>
      </c>
      <c r="D587" s="14" t="s">
        <v>3</v>
      </c>
      <c r="E587" s="15">
        <v>1</v>
      </c>
      <c r="F587" s="17">
        <v>19</v>
      </c>
      <c r="G587" s="17">
        <v>19</v>
      </c>
      <c r="H587" s="15">
        <f t="shared" si="240"/>
        <v>19</v>
      </c>
      <c r="I587" s="43" cm="1">
        <f t="array" ref="I587">IF(J587="-","-",_xlfn.IFS(K587&lt;=5,0,K587&lt;=10,1,K587&lt;=15,2,K587&gt;=16,3))</f>
        <v>3</v>
      </c>
      <c r="J587" s="19" cm="1">
        <f t="array" ref="J587">IFERROR(IF(_xlfn.XLOOKUP(L587,NC導入施設!B:B,NC導入施設!E:E)=0,_xlfn.IFS(H587&lt;=5,0,H587&lt;=10,1,H587&lt;=15,2,H587&gt;=16,3),"Null"),"-")</f>
        <v>3</v>
      </c>
      <c r="K587" s="60">
        <f t="shared" ref="K587" si="241">IFERROR(SUM(H587:H591),"-")</f>
        <v>56</v>
      </c>
      <c r="L587" s="1">
        <v>2415361100</v>
      </c>
    </row>
    <row r="588" spans="1:12" ht="18" customHeight="1" x14ac:dyDescent="0.45">
      <c r="A588" s="13">
        <v>582</v>
      </c>
      <c r="B588" s="41" t="str">
        <f t="shared" ref="B588:C591" si="242">B587</f>
        <v>神奈川静岡本部</v>
      </c>
      <c r="C588" s="41" t="str">
        <f t="shared" si="242"/>
        <v>ラヴィーレ綾瀬</v>
      </c>
      <c r="D588" s="14" t="s">
        <v>4</v>
      </c>
      <c r="E588" s="15">
        <v>1</v>
      </c>
      <c r="F588" s="17">
        <v>37</v>
      </c>
      <c r="G588" s="17">
        <v>37</v>
      </c>
      <c r="H588" s="15">
        <f t="shared" si="240"/>
        <v>37</v>
      </c>
      <c r="I588" s="44"/>
      <c r="J588" s="19" cm="1">
        <f t="array" ref="J588">IFERROR(IF(_xlfn.XLOOKUP(L588,NC導入施設!B:B,NC導入施設!E:E)=0,_xlfn.IFS(H588&lt;=5,0,H588&lt;=10,1,H588&lt;=15,2,H588&gt;=16,3),"Null"),"-")</f>
        <v>3</v>
      </c>
      <c r="K588" s="61"/>
      <c r="L588" s="1">
        <v>2415361100</v>
      </c>
    </row>
    <row r="589" spans="1:12" ht="18" customHeight="1" x14ac:dyDescent="0.45">
      <c r="A589" s="13">
        <v>583</v>
      </c>
      <c r="B589" s="41" t="str">
        <f t="shared" si="242"/>
        <v>神奈川静岡本部</v>
      </c>
      <c r="C589" s="41" t="str">
        <f t="shared" si="242"/>
        <v>ラヴィーレ綾瀬</v>
      </c>
      <c r="D589" s="14" t="s">
        <v>5</v>
      </c>
      <c r="E589" s="15">
        <v>1</v>
      </c>
      <c r="F589" s="17">
        <v>0</v>
      </c>
      <c r="G589" s="17">
        <v>0</v>
      </c>
      <c r="H589" s="15">
        <f t="shared" si="240"/>
        <v>0</v>
      </c>
      <c r="I589" s="44"/>
      <c r="J589" s="19" cm="1">
        <f t="array" ref="J589">IFERROR(IF(_xlfn.XLOOKUP(L589,NC導入施設!B:B,NC導入施設!E:E)=0,_xlfn.IFS(H589&lt;=5,0,H589&lt;=10,1,H589&lt;=15,2,H589&gt;=16,3),"Null"),"-")</f>
        <v>0</v>
      </c>
      <c r="K589" s="61"/>
      <c r="L589" s="1">
        <v>2415361100</v>
      </c>
    </row>
    <row r="590" spans="1:12" ht="18" customHeight="1" x14ac:dyDescent="0.45">
      <c r="A590" s="13">
        <v>584</v>
      </c>
      <c r="B590" s="41" t="str">
        <f t="shared" si="242"/>
        <v>神奈川静岡本部</v>
      </c>
      <c r="C590" s="41" t="str">
        <f t="shared" si="242"/>
        <v>ラヴィーレ綾瀬</v>
      </c>
      <c r="D590" s="14" t="s">
        <v>6</v>
      </c>
      <c r="E590" s="15">
        <v>4</v>
      </c>
      <c r="F590" s="17">
        <v>0</v>
      </c>
      <c r="G590" s="17">
        <v>0</v>
      </c>
      <c r="H590" s="15">
        <f t="shared" si="240"/>
        <v>0</v>
      </c>
      <c r="I590" s="44"/>
      <c r="J590" s="19" cm="1">
        <f t="array" ref="J590">IFERROR(IF(_xlfn.XLOOKUP(L590,NC導入施設!B:B,NC導入施設!E:E)=0,_xlfn.IFS(H590&lt;=5,0,H590&lt;=10,1,H590&lt;=15,2,H590&gt;=16,3),"Null"),"-")</f>
        <v>0</v>
      </c>
      <c r="K590" s="61"/>
      <c r="L590" s="1">
        <v>2415361100</v>
      </c>
    </row>
    <row r="591" spans="1:12" ht="18" customHeight="1" x14ac:dyDescent="0.45">
      <c r="A591" s="13">
        <v>585</v>
      </c>
      <c r="B591" s="42" t="str">
        <f t="shared" si="242"/>
        <v>神奈川静岡本部</v>
      </c>
      <c r="C591" s="42" t="str">
        <f t="shared" si="242"/>
        <v>ラヴィーレ綾瀬</v>
      </c>
      <c r="D591" s="14" t="s">
        <v>2</v>
      </c>
      <c r="E591" s="15">
        <v>1</v>
      </c>
      <c r="F591" s="17">
        <v>0</v>
      </c>
      <c r="G591" s="17">
        <v>0</v>
      </c>
      <c r="H591" s="15">
        <f t="shared" si="240"/>
        <v>0</v>
      </c>
      <c r="I591" s="45"/>
      <c r="J591" s="19" cm="1">
        <f t="array" ref="J591">IFERROR(IF(_xlfn.XLOOKUP(L591,NC導入施設!B:B,NC導入施設!E:E)=0,_xlfn.IFS(H591&lt;=5,0,H591&lt;=10,1,H591&lt;=15,2,H591&gt;=16,3),"Null"),"-")</f>
        <v>0</v>
      </c>
      <c r="K591" s="62"/>
      <c r="L591" s="1">
        <v>2415361100</v>
      </c>
    </row>
    <row r="592" spans="1:12" ht="18" customHeight="1" x14ac:dyDescent="0.45">
      <c r="A592" s="8">
        <v>586</v>
      </c>
      <c r="B592" s="34" t="s">
        <v>48</v>
      </c>
      <c r="C592" s="34" t="s">
        <v>250</v>
      </c>
      <c r="D592" s="9" t="s">
        <v>3</v>
      </c>
      <c r="E592" s="10">
        <v>1</v>
      </c>
      <c r="F592" s="12">
        <v>14</v>
      </c>
      <c r="G592" s="12">
        <v>14</v>
      </c>
      <c r="H592" s="10">
        <f t="shared" si="240"/>
        <v>14</v>
      </c>
      <c r="I592" s="37" cm="1">
        <f t="array" ref="I592">IF(J592="-","-",_xlfn.IFS(K592&lt;=5,0,K592&lt;=10,1,K592&lt;=15,2,K592&gt;=16,3))</f>
        <v>3</v>
      </c>
      <c r="J592" s="19" cm="1">
        <f t="array" ref="J592">IFERROR(IF(_xlfn.XLOOKUP(L592,NC導入施設!B:B,NC導入施設!E:E)=0,_xlfn.IFS(H592&lt;=5,0,H592&lt;=10,1,H592&lt;=15,2,H592&gt;=16,3),"Null"),"-")</f>
        <v>2</v>
      </c>
      <c r="K592" s="60">
        <f t="shared" ref="K592" si="243">IFERROR(SUM(H592:H596),"-")</f>
        <v>42</v>
      </c>
      <c r="L592" s="1">
        <v>2415371100</v>
      </c>
    </row>
    <row r="593" spans="1:12" ht="18" customHeight="1" x14ac:dyDescent="0.45">
      <c r="A593" s="8">
        <v>587</v>
      </c>
      <c r="B593" s="35" t="str">
        <f t="shared" ref="B593:C596" si="244">B592</f>
        <v>神奈川静岡本部</v>
      </c>
      <c r="C593" s="35" t="str">
        <f t="shared" si="244"/>
        <v>ラヴィーレ中央林間</v>
      </c>
      <c r="D593" s="9" t="s">
        <v>4</v>
      </c>
      <c r="E593" s="10">
        <v>1</v>
      </c>
      <c r="F593" s="12">
        <v>8</v>
      </c>
      <c r="G593" s="12">
        <v>8</v>
      </c>
      <c r="H593" s="10">
        <f t="shared" si="240"/>
        <v>8</v>
      </c>
      <c r="I593" s="38"/>
      <c r="J593" s="19" cm="1">
        <f t="array" ref="J593">IFERROR(IF(_xlfn.XLOOKUP(L593,NC導入施設!B:B,NC導入施設!E:E)=0,_xlfn.IFS(H593&lt;=5,0,H593&lt;=10,1,H593&lt;=15,2,H593&gt;=16,3),"Null"),"-")</f>
        <v>1</v>
      </c>
      <c r="K593" s="61"/>
      <c r="L593" s="1">
        <v>2415371100</v>
      </c>
    </row>
    <row r="594" spans="1:12" ht="18" customHeight="1" x14ac:dyDescent="0.45">
      <c r="A594" s="8">
        <v>588</v>
      </c>
      <c r="B594" s="35" t="str">
        <f t="shared" si="244"/>
        <v>神奈川静岡本部</v>
      </c>
      <c r="C594" s="35" t="str">
        <f t="shared" si="244"/>
        <v>ラヴィーレ中央林間</v>
      </c>
      <c r="D594" s="9" t="s">
        <v>5</v>
      </c>
      <c r="E594" s="10">
        <v>2</v>
      </c>
      <c r="F594" s="12">
        <v>17</v>
      </c>
      <c r="G594" s="12">
        <v>8.5</v>
      </c>
      <c r="H594" s="10">
        <f t="shared" si="240"/>
        <v>17</v>
      </c>
      <c r="I594" s="38"/>
      <c r="J594" s="19" cm="1">
        <f t="array" ref="J594">IFERROR(IF(_xlfn.XLOOKUP(L594,NC導入施設!B:B,NC導入施設!E:E)=0,_xlfn.IFS(H594&lt;=5,0,H594&lt;=10,1,H594&lt;=15,2,H594&gt;=16,3),"Null"),"-")</f>
        <v>3</v>
      </c>
      <c r="K594" s="61"/>
      <c r="L594" s="1">
        <v>2415371100</v>
      </c>
    </row>
    <row r="595" spans="1:12" ht="18" customHeight="1" x14ac:dyDescent="0.45">
      <c r="A595" s="8">
        <v>589</v>
      </c>
      <c r="B595" s="35" t="str">
        <f t="shared" si="244"/>
        <v>神奈川静岡本部</v>
      </c>
      <c r="C595" s="35" t="str">
        <f t="shared" si="244"/>
        <v>ラヴィーレ中央林間</v>
      </c>
      <c r="D595" s="9" t="s">
        <v>6</v>
      </c>
      <c r="E595" s="10">
        <v>5</v>
      </c>
      <c r="F595" s="12">
        <v>0</v>
      </c>
      <c r="G595" s="12">
        <v>0</v>
      </c>
      <c r="H595" s="10">
        <f t="shared" si="240"/>
        <v>0</v>
      </c>
      <c r="I595" s="38"/>
      <c r="J595" s="19" cm="1">
        <f t="array" ref="J595">IFERROR(IF(_xlfn.XLOOKUP(L595,NC導入施設!B:B,NC導入施設!E:E)=0,_xlfn.IFS(H595&lt;=5,0,H595&lt;=10,1,H595&lt;=15,2,H595&gt;=16,3),"Null"),"-")</f>
        <v>0</v>
      </c>
      <c r="K595" s="61"/>
      <c r="L595" s="1">
        <v>2415371100</v>
      </c>
    </row>
    <row r="596" spans="1:12" ht="18" customHeight="1" x14ac:dyDescent="0.45">
      <c r="A596" s="8">
        <v>590</v>
      </c>
      <c r="B596" s="36" t="str">
        <f t="shared" si="244"/>
        <v>神奈川静岡本部</v>
      </c>
      <c r="C596" s="36" t="str">
        <f t="shared" si="244"/>
        <v>ラヴィーレ中央林間</v>
      </c>
      <c r="D596" s="9" t="s">
        <v>2</v>
      </c>
      <c r="E596" s="10">
        <v>1</v>
      </c>
      <c r="F596" s="12">
        <v>3</v>
      </c>
      <c r="G596" s="12">
        <v>3</v>
      </c>
      <c r="H596" s="10">
        <f t="shared" si="240"/>
        <v>3</v>
      </c>
      <c r="I596" s="39"/>
      <c r="J596" s="19" cm="1">
        <f t="array" ref="J596">IFERROR(IF(_xlfn.XLOOKUP(L596,NC導入施設!B:B,NC導入施設!E:E)=0,_xlfn.IFS(H596&lt;=5,0,H596&lt;=10,1,H596&lt;=15,2,H596&gt;=16,3),"Null"),"-")</f>
        <v>0</v>
      </c>
      <c r="K596" s="62"/>
      <c r="L596" s="1">
        <v>2415371100</v>
      </c>
    </row>
    <row r="597" spans="1:12" ht="18" customHeight="1" x14ac:dyDescent="0.45">
      <c r="A597" s="13">
        <v>591</v>
      </c>
      <c r="B597" s="40" t="s">
        <v>48</v>
      </c>
      <c r="C597" s="40" t="s">
        <v>63</v>
      </c>
      <c r="D597" s="14" t="s">
        <v>3</v>
      </c>
      <c r="E597" s="15">
        <v>2</v>
      </c>
      <c r="F597" s="17">
        <v>3</v>
      </c>
      <c r="G597" s="17">
        <v>1.5</v>
      </c>
      <c r="H597" s="15">
        <f t="shared" si="240"/>
        <v>3</v>
      </c>
      <c r="I597" s="43" cm="1">
        <f t="array" ref="I597">IF(J597="-","-",_xlfn.IFS(K597&lt;=5,0,K597&lt;=10,1,K597&lt;=15,2,K597&gt;=16,3))</f>
        <v>0</v>
      </c>
      <c r="J597" s="19" cm="1">
        <f t="array" ref="J597">IFERROR(IF(_xlfn.XLOOKUP(L597,NC導入施設!B:B,NC導入施設!E:E)=0,_xlfn.IFS(H597&lt;=5,0,H597&lt;=10,1,H597&lt;=15,2,H597&gt;=16,3),"Null"),"-")</f>
        <v>0</v>
      </c>
      <c r="K597" s="60">
        <f t="shared" ref="K597" si="245">IFERROR(SUM(H597:H601),"-")</f>
        <v>4</v>
      </c>
      <c r="L597" s="1">
        <v>2415391200</v>
      </c>
    </row>
    <row r="598" spans="1:12" ht="18" customHeight="1" x14ac:dyDescent="0.45">
      <c r="A598" s="13">
        <v>592</v>
      </c>
      <c r="B598" s="41" t="str">
        <f t="shared" ref="B598:C601" si="246">B597</f>
        <v>神奈川静岡本部</v>
      </c>
      <c r="C598" s="41" t="str">
        <f t="shared" si="246"/>
        <v>そんぽの家　つきみ野</v>
      </c>
      <c r="D598" s="14" t="s">
        <v>4</v>
      </c>
      <c r="E598" s="15">
        <v>1</v>
      </c>
      <c r="F598" s="17">
        <v>0</v>
      </c>
      <c r="G598" s="17">
        <v>0</v>
      </c>
      <c r="H598" s="15">
        <f t="shared" si="240"/>
        <v>0</v>
      </c>
      <c r="I598" s="44"/>
      <c r="J598" s="19" cm="1">
        <f t="array" ref="J598">IFERROR(IF(_xlfn.XLOOKUP(L598,NC導入施設!B:B,NC導入施設!E:E)=0,_xlfn.IFS(H598&lt;=5,0,H598&lt;=10,1,H598&lt;=15,2,H598&gt;=16,3),"Null"),"-")</f>
        <v>0</v>
      </c>
      <c r="K598" s="61"/>
      <c r="L598" s="1">
        <v>2415391200</v>
      </c>
    </row>
    <row r="599" spans="1:12" ht="18" customHeight="1" x14ac:dyDescent="0.45">
      <c r="A599" s="13">
        <v>593</v>
      </c>
      <c r="B599" s="41" t="str">
        <f t="shared" si="246"/>
        <v>神奈川静岡本部</v>
      </c>
      <c r="C599" s="41" t="str">
        <f t="shared" si="246"/>
        <v>そんぽの家　つきみ野</v>
      </c>
      <c r="D599" s="14" t="s">
        <v>5</v>
      </c>
      <c r="E599" s="15">
        <v>2</v>
      </c>
      <c r="F599" s="17">
        <v>0</v>
      </c>
      <c r="G599" s="17">
        <v>0</v>
      </c>
      <c r="H599" s="15">
        <f t="shared" si="240"/>
        <v>0</v>
      </c>
      <c r="I599" s="44"/>
      <c r="J599" s="19" cm="1">
        <f t="array" ref="J599">IFERROR(IF(_xlfn.XLOOKUP(L599,NC導入施設!B:B,NC導入施設!E:E)=0,_xlfn.IFS(H599&lt;=5,0,H599&lt;=10,1,H599&lt;=15,2,H599&gt;=16,3),"Null"),"-")</f>
        <v>0</v>
      </c>
      <c r="K599" s="61"/>
      <c r="L599" s="1">
        <v>2415391200</v>
      </c>
    </row>
    <row r="600" spans="1:12" ht="18" customHeight="1" x14ac:dyDescent="0.45">
      <c r="A600" s="13">
        <v>594</v>
      </c>
      <c r="B600" s="41" t="str">
        <f t="shared" si="246"/>
        <v>神奈川静岡本部</v>
      </c>
      <c r="C600" s="41" t="str">
        <f t="shared" si="246"/>
        <v>そんぽの家　つきみ野</v>
      </c>
      <c r="D600" s="14" t="s">
        <v>6</v>
      </c>
      <c r="E600" s="15">
        <v>2</v>
      </c>
      <c r="F600" s="17">
        <v>1</v>
      </c>
      <c r="G600" s="17">
        <v>0.5</v>
      </c>
      <c r="H600" s="15">
        <f t="shared" si="240"/>
        <v>1</v>
      </c>
      <c r="I600" s="44"/>
      <c r="J600" s="19" cm="1">
        <f t="array" ref="J600">IFERROR(IF(_xlfn.XLOOKUP(L600,NC導入施設!B:B,NC導入施設!E:E)=0,_xlfn.IFS(H600&lt;=5,0,H600&lt;=10,1,H600&lt;=15,2,H600&gt;=16,3),"Null"),"-")</f>
        <v>0</v>
      </c>
      <c r="K600" s="61"/>
      <c r="L600" s="1">
        <v>2415391200</v>
      </c>
    </row>
    <row r="601" spans="1:12" ht="18" customHeight="1" x14ac:dyDescent="0.45">
      <c r="A601" s="13">
        <v>595</v>
      </c>
      <c r="B601" s="42" t="str">
        <f t="shared" si="246"/>
        <v>神奈川静岡本部</v>
      </c>
      <c r="C601" s="42" t="str">
        <f t="shared" si="246"/>
        <v>そんぽの家　つきみ野</v>
      </c>
      <c r="D601" s="14" t="s">
        <v>2</v>
      </c>
      <c r="E601" s="15">
        <v>2</v>
      </c>
      <c r="F601" s="17">
        <v>0</v>
      </c>
      <c r="G601" s="17">
        <v>0</v>
      </c>
      <c r="H601" s="15">
        <f t="shared" si="240"/>
        <v>0</v>
      </c>
      <c r="I601" s="45"/>
      <c r="J601" s="19" cm="1">
        <f t="array" ref="J601">IFERROR(IF(_xlfn.XLOOKUP(L601,NC導入施設!B:B,NC導入施設!E:E)=0,_xlfn.IFS(H601&lt;=5,0,H601&lt;=10,1,H601&lt;=15,2,H601&gt;=16,3),"Null"),"-")</f>
        <v>0</v>
      </c>
      <c r="K601" s="62"/>
      <c r="L601" s="1">
        <v>2415391200</v>
      </c>
    </row>
    <row r="602" spans="1:12" ht="18" customHeight="1" x14ac:dyDescent="0.45">
      <c r="A602" s="8">
        <v>596</v>
      </c>
      <c r="B602" s="34" t="s">
        <v>48</v>
      </c>
      <c r="C602" s="34" t="s">
        <v>251</v>
      </c>
      <c r="D602" s="9" t="s">
        <v>3</v>
      </c>
      <c r="E602" s="10">
        <v>1</v>
      </c>
      <c r="F602" s="12">
        <v>11</v>
      </c>
      <c r="G602" s="12">
        <v>11</v>
      </c>
      <c r="H602" s="10">
        <f t="shared" si="240"/>
        <v>11</v>
      </c>
      <c r="I602" s="37" cm="1">
        <f t="array" ref="I602">IF(J602="-","-",_xlfn.IFS(K602&lt;=5,0,K602&lt;=10,1,K602&lt;=15,2,K602&gt;=16,3))</f>
        <v>3</v>
      </c>
      <c r="J602" s="19" cm="1">
        <f t="array" ref="J602">IFERROR(IF(_xlfn.XLOOKUP(L602,NC導入施設!B:B,NC導入施設!E:E)=0,_xlfn.IFS(H602&lt;=5,0,H602&lt;=10,1,H602&lt;=15,2,H602&gt;=16,3),"Null"),"-")</f>
        <v>2</v>
      </c>
      <c r="K602" s="60">
        <f t="shared" ref="K602" si="247">IFERROR(SUM(H602:H606),"-")</f>
        <v>127</v>
      </c>
      <c r="L602" s="1">
        <v>2415411100</v>
      </c>
    </row>
    <row r="603" spans="1:12" ht="18" customHeight="1" x14ac:dyDescent="0.45">
      <c r="A603" s="8">
        <v>597</v>
      </c>
      <c r="B603" s="35" t="str">
        <f t="shared" ref="B603:C606" si="248">B602</f>
        <v>神奈川静岡本部</v>
      </c>
      <c r="C603" s="35" t="str">
        <f t="shared" si="248"/>
        <v>ラヴィーレ高座渋谷</v>
      </c>
      <c r="D603" s="9" t="s">
        <v>4</v>
      </c>
      <c r="E603" s="10">
        <v>1</v>
      </c>
      <c r="F603" s="12">
        <v>18</v>
      </c>
      <c r="G603" s="12">
        <v>18</v>
      </c>
      <c r="H603" s="10">
        <f t="shared" si="240"/>
        <v>18</v>
      </c>
      <c r="I603" s="38"/>
      <c r="J603" s="19" cm="1">
        <f t="array" ref="J603">IFERROR(IF(_xlfn.XLOOKUP(L603,NC導入施設!B:B,NC導入施設!E:E)=0,_xlfn.IFS(H603&lt;=5,0,H603&lt;=10,1,H603&lt;=15,2,H603&gt;=16,3),"Null"),"-")</f>
        <v>3</v>
      </c>
      <c r="K603" s="61"/>
      <c r="L603" s="1">
        <v>2415411100</v>
      </c>
    </row>
    <row r="604" spans="1:12" ht="18" customHeight="1" x14ac:dyDescent="0.45">
      <c r="A604" s="8">
        <v>598</v>
      </c>
      <c r="B604" s="35" t="str">
        <f t="shared" si="248"/>
        <v>神奈川静岡本部</v>
      </c>
      <c r="C604" s="35" t="str">
        <f t="shared" si="248"/>
        <v>ラヴィーレ高座渋谷</v>
      </c>
      <c r="D604" s="9" t="s">
        <v>5</v>
      </c>
      <c r="E604" s="10">
        <v>2</v>
      </c>
      <c r="F604" s="12">
        <v>58</v>
      </c>
      <c r="G604" s="12">
        <v>29</v>
      </c>
      <c r="H604" s="10">
        <f t="shared" si="240"/>
        <v>58</v>
      </c>
      <c r="I604" s="38"/>
      <c r="J604" s="19" cm="1">
        <f t="array" ref="J604">IFERROR(IF(_xlfn.XLOOKUP(L604,NC導入施設!B:B,NC導入施設!E:E)=0,_xlfn.IFS(H604&lt;=5,0,H604&lt;=10,1,H604&lt;=15,2,H604&gt;=16,3),"Null"),"-")</f>
        <v>3</v>
      </c>
      <c r="K604" s="61"/>
      <c r="L604" s="1">
        <v>2415411100</v>
      </c>
    </row>
    <row r="605" spans="1:12" ht="18" customHeight="1" x14ac:dyDescent="0.45">
      <c r="A605" s="8">
        <v>599</v>
      </c>
      <c r="B605" s="35" t="str">
        <f t="shared" si="248"/>
        <v>神奈川静岡本部</v>
      </c>
      <c r="C605" s="35" t="str">
        <f t="shared" si="248"/>
        <v>ラヴィーレ高座渋谷</v>
      </c>
      <c r="D605" s="9" t="s">
        <v>6</v>
      </c>
      <c r="E605" s="10">
        <v>4</v>
      </c>
      <c r="F605" s="12">
        <v>27</v>
      </c>
      <c r="G605" s="12">
        <v>6.8</v>
      </c>
      <c r="H605" s="10">
        <f t="shared" si="240"/>
        <v>27</v>
      </c>
      <c r="I605" s="38"/>
      <c r="J605" s="19" cm="1">
        <f t="array" ref="J605">IFERROR(IF(_xlfn.XLOOKUP(L605,NC導入施設!B:B,NC導入施設!E:E)=0,_xlfn.IFS(H605&lt;=5,0,H605&lt;=10,1,H605&lt;=15,2,H605&gt;=16,3),"Null"),"-")</f>
        <v>3</v>
      </c>
      <c r="K605" s="61"/>
      <c r="L605" s="1">
        <v>2415411100</v>
      </c>
    </row>
    <row r="606" spans="1:12" ht="18" customHeight="1" x14ac:dyDescent="0.45">
      <c r="A606" s="8">
        <v>600</v>
      </c>
      <c r="B606" s="36" t="str">
        <f t="shared" si="248"/>
        <v>神奈川静岡本部</v>
      </c>
      <c r="C606" s="36" t="str">
        <f t="shared" si="248"/>
        <v>ラヴィーレ高座渋谷</v>
      </c>
      <c r="D606" s="9" t="s">
        <v>2</v>
      </c>
      <c r="E606" s="10">
        <v>1</v>
      </c>
      <c r="F606" s="12">
        <v>13</v>
      </c>
      <c r="G606" s="12">
        <v>13</v>
      </c>
      <c r="H606" s="10">
        <f t="shared" si="240"/>
        <v>13</v>
      </c>
      <c r="I606" s="39"/>
      <c r="J606" s="19" cm="1">
        <f t="array" ref="J606">IFERROR(IF(_xlfn.XLOOKUP(L606,NC導入施設!B:B,NC導入施設!E:E)=0,_xlfn.IFS(H606&lt;=5,0,H606&lt;=10,1,H606&lt;=15,2,H606&gt;=16,3),"Null"),"-")</f>
        <v>2</v>
      </c>
      <c r="K606" s="62"/>
      <c r="L606" s="1">
        <v>2415411100</v>
      </c>
    </row>
    <row r="607" spans="1:12" ht="18" customHeight="1" x14ac:dyDescent="0.45">
      <c r="A607" s="13">
        <v>601</v>
      </c>
      <c r="B607" s="40" t="s">
        <v>48</v>
      </c>
      <c r="C607" s="40" t="s">
        <v>64</v>
      </c>
      <c r="D607" s="14" t="s">
        <v>3</v>
      </c>
      <c r="E607" s="15">
        <v>1</v>
      </c>
      <c r="F607" s="17">
        <v>0</v>
      </c>
      <c r="G607" s="17">
        <v>0</v>
      </c>
      <c r="H607" s="15">
        <f t="shared" si="240"/>
        <v>0</v>
      </c>
      <c r="I607" s="43" cm="1">
        <f t="array" ref="I607">IF(J607="-","-",_xlfn.IFS(K607&lt;=5,0,K607&lt;=10,1,K607&lt;=15,2,K607&gt;=16,3))</f>
        <v>3</v>
      </c>
      <c r="J607" s="19" cm="1">
        <f t="array" ref="J607">IFERROR(IF(_xlfn.XLOOKUP(L607,NC導入施設!B:B,NC導入施設!E:E)=0,_xlfn.IFS(H607&lt;=5,0,H607&lt;=10,1,H607&lt;=15,2,H607&gt;=16,3),"Null"),"-")</f>
        <v>0</v>
      </c>
      <c r="K607" s="60">
        <f t="shared" ref="K607" si="249">IFERROR(SUM(H607:H611),"-")</f>
        <v>17</v>
      </c>
      <c r="L607" s="1">
        <v>2415431200</v>
      </c>
    </row>
    <row r="608" spans="1:12" ht="18" customHeight="1" x14ac:dyDescent="0.45">
      <c r="A608" s="13">
        <v>602</v>
      </c>
      <c r="B608" s="41" t="str">
        <f t="shared" ref="B608:C611" si="250">B607</f>
        <v>神奈川静岡本部</v>
      </c>
      <c r="C608" s="41" t="str">
        <f t="shared" si="250"/>
        <v>そんぽの家　大和</v>
      </c>
      <c r="D608" s="14" t="s">
        <v>4</v>
      </c>
      <c r="E608" s="15">
        <v>1</v>
      </c>
      <c r="F608" s="17">
        <v>15</v>
      </c>
      <c r="G608" s="17">
        <v>15</v>
      </c>
      <c r="H608" s="15">
        <f t="shared" si="240"/>
        <v>15</v>
      </c>
      <c r="I608" s="44"/>
      <c r="J608" s="19" cm="1">
        <f t="array" ref="J608">IFERROR(IF(_xlfn.XLOOKUP(L608,NC導入施設!B:B,NC導入施設!E:E)=0,_xlfn.IFS(H608&lt;=5,0,H608&lt;=10,1,H608&lt;=15,2,H608&gt;=16,3),"Null"),"-")</f>
        <v>2</v>
      </c>
      <c r="K608" s="61"/>
      <c r="L608" s="1">
        <v>2415431200</v>
      </c>
    </row>
    <row r="609" spans="1:12" ht="18" customHeight="1" x14ac:dyDescent="0.45">
      <c r="A609" s="13">
        <v>603</v>
      </c>
      <c r="B609" s="41" t="str">
        <f t="shared" si="250"/>
        <v>神奈川静岡本部</v>
      </c>
      <c r="C609" s="41" t="str">
        <f t="shared" si="250"/>
        <v>そんぽの家　大和</v>
      </c>
      <c r="D609" s="14" t="s">
        <v>5</v>
      </c>
      <c r="E609" s="15">
        <v>1</v>
      </c>
      <c r="F609" s="17">
        <v>0</v>
      </c>
      <c r="G609" s="17">
        <v>0</v>
      </c>
      <c r="H609" s="15">
        <f t="shared" si="240"/>
        <v>0</v>
      </c>
      <c r="I609" s="44"/>
      <c r="J609" s="19" cm="1">
        <f t="array" ref="J609">IFERROR(IF(_xlfn.XLOOKUP(L609,NC導入施設!B:B,NC導入施設!E:E)=0,_xlfn.IFS(H609&lt;=5,0,H609&lt;=10,1,H609&lt;=15,2,H609&gt;=16,3),"Null"),"-")</f>
        <v>0</v>
      </c>
      <c r="K609" s="61"/>
      <c r="L609" s="1">
        <v>2415431200</v>
      </c>
    </row>
    <row r="610" spans="1:12" ht="18" customHeight="1" x14ac:dyDescent="0.45">
      <c r="A610" s="13">
        <v>604</v>
      </c>
      <c r="B610" s="41" t="str">
        <f t="shared" si="250"/>
        <v>神奈川静岡本部</v>
      </c>
      <c r="C610" s="41" t="str">
        <f t="shared" si="250"/>
        <v>そんぽの家　大和</v>
      </c>
      <c r="D610" s="14" t="s">
        <v>6</v>
      </c>
      <c r="E610" s="15">
        <v>4</v>
      </c>
      <c r="F610" s="17">
        <v>1</v>
      </c>
      <c r="G610" s="17">
        <v>0.3</v>
      </c>
      <c r="H610" s="15">
        <f t="shared" si="240"/>
        <v>1</v>
      </c>
      <c r="I610" s="44"/>
      <c r="J610" s="19" cm="1">
        <f t="array" ref="J610">IFERROR(IF(_xlfn.XLOOKUP(L610,NC導入施設!B:B,NC導入施設!E:E)=0,_xlfn.IFS(H610&lt;=5,0,H610&lt;=10,1,H610&lt;=15,2,H610&gt;=16,3),"Null"),"-")</f>
        <v>0</v>
      </c>
      <c r="K610" s="61"/>
      <c r="L610" s="1">
        <v>2415431200</v>
      </c>
    </row>
    <row r="611" spans="1:12" ht="18" customHeight="1" x14ac:dyDescent="0.45">
      <c r="A611" s="13">
        <v>605</v>
      </c>
      <c r="B611" s="42" t="str">
        <f t="shared" si="250"/>
        <v>神奈川静岡本部</v>
      </c>
      <c r="C611" s="42" t="str">
        <f t="shared" si="250"/>
        <v>そんぽの家　大和</v>
      </c>
      <c r="D611" s="14" t="s">
        <v>2</v>
      </c>
      <c r="E611" s="15">
        <v>2</v>
      </c>
      <c r="F611" s="17">
        <v>1</v>
      </c>
      <c r="G611" s="17">
        <v>0.5</v>
      </c>
      <c r="H611" s="15">
        <f t="shared" si="240"/>
        <v>1</v>
      </c>
      <c r="I611" s="45"/>
      <c r="J611" s="19" cm="1">
        <f t="array" ref="J611">IFERROR(IF(_xlfn.XLOOKUP(L611,NC導入施設!B:B,NC導入施設!E:E)=0,_xlfn.IFS(H611&lt;=5,0,H611&lt;=10,1,H611&lt;=15,2,H611&gt;=16,3),"Null"),"-")</f>
        <v>0</v>
      </c>
      <c r="K611" s="62"/>
      <c r="L611" s="1">
        <v>2415431200</v>
      </c>
    </row>
    <row r="612" spans="1:12" ht="18" customHeight="1" x14ac:dyDescent="0.45">
      <c r="A612" s="8">
        <v>606</v>
      </c>
      <c r="B612" s="34" t="s">
        <v>48</v>
      </c>
      <c r="C612" s="34" t="s">
        <v>252</v>
      </c>
      <c r="D612" s="9" t="s">
        <v>3</v>
      </c>
      <c r="E612" s="10">
        <v>1</v>
      </c>
      <c r="F612" s="12">
        <v>5</v>
      </c>
      <c r="G612" s="12">
        <v>5</v>
      </c>
      <c r="H612" s="10">
        <f t="shared" si="240"/>
        <v>5</v>
      </c>
      <c r="I612" s="37" cm="1">
        <f t="array" ref="I612">IF(J612="-","-",_xlfn.IFS(K612&lt;=5,0,K612&lt;=10,1,K612&lt;=15,2,K612&gt;=16,3))</f>
        <v>3</v>
      </c>
      <c r="J612" s="19" cm="1">
        <f t="array" ref="J612">IFERROR(IF(_xlfn.XLOOKUP(L612,NC導入施設!B:B,NC導入施設!E:E)=0,_xlfn.IFS(H612&lt;=5,0,H612&lt;=10,1,H612&lt;=15,2,H612&gt;=16,3),"Null"),"-")</f>
        <v>0</v>
      </c>
      <c r="K612" s="60">
        <f t="shared" ref="K612" si="251">IFERROR(SUM(H612:H616),"-")</f>
        <v>19</v>
      </c>
      <c r="L612" s="1">
        <v>2415441100</v>
      </c>
    </row>
    <row r="613" spans="1:12" ht="18" customHeight="1" x14ac:dyDescent="0.45">
      <c r="A613" s="8">
        <v>607</v>
      </c>
      <c r="B613" s="35" t="str">
        <f t="shared" ref="B613:C616" si="252">B612</f>
        <v>神奈川静岡本部</v>
      </c>
      <c r="C613" s="35" t="str">
        <f t="shared" si="252"/>
        <v>ラヴィーレ大和</v>
      </c>
      <c r="D613" s="9" t="s">
        <v>4</v>
      </c>
      <c r="E613" s="10">
        <v>2</v>
      </c>
      <c r="F613" s="12">
        <v>8</v>
      </c>
      <c r="G613" s="12">
        <v>4</v>
      </c>
      <c r="H613" s="10">
        <f t="shared" si="240"/>
        <v>8</v>
      </c>
      <c r="I613" s="38"/>
      <c r="J613" s="19" cm="1">
        <f t="array" ref="J613">IFERROR(IF(_xlfn.XLOOKUP(L613,NC導入施設!B:B,NC導入施設!E:E)=0,_xlfn.IFS(H613&lt;=5,0,H613&lt;=10,1,H613&lt;=15,2,H613&gt;=16,3),"Null"),"-")</f>
        <v>1</v>
      </c>
      <c r="K613" s="61"/>
      <c r="L613" s="1">
        <v>2415441100</v>
      </c>
    </row>
    <row r="614" spans="1:12" ht="18" customHeight="1" x14ac:dyDescent="0.45">
      <c r="A614" s="8">
        <v>608</v>
      </c>
      <c r="B614" s="35" t="str">
        <f t="shared" si="252"/>
        <v>神奈川静岡本部</v>
      </c>
      <c r="C614" s="35" t="str">
        <f t="shared" si="252"/>
        <v>ラヴィーレ大和</v>
      </c>
      <c r="D614" s="9" t="s">
        <v>5</v>
      </c>
      <c r="E614" s="10">
        <v>2</v>
      </c>
      <c r="F614" s="12">
        <v>2</v>
      </c>
      <c r="G614" s="12">
        <v>1</v>
      </c>
      <c r="H614" s="10">
        <f t="shared" si="240"/>
        <v>2</v>
      </c>
      <c r="I614" s="38"/>
      <c r="J614" s="19" cm="1">
        <f t="array" ref="J614">IFERROR(IF(_xlfn.XLOOKUP(L614,NC導入施設!B:B,NC導入施設!E:E)=0,_xlfn.IFS(H614&lt;=5,0,H614&lt;=10,1,H614&lt;=15,2,H614&gt;=16,3),"Null"),"-")</f>
        <v>0</v>
      </c>
      <c r="K614" s="61"/>
      <c r="L614" s="1">
        <v>2415441100</v>
      </c>
    </row>
    <row r="615" spans="1:12" ht="18" customHeight="1" x14ac:dyDescent="0.45">
      <c r="A615" s="8">
        <v>609</v>
      </c>
      <c r="B615" s="35" t="str">
        <f t="shared" si="252"/>
        <v>神奈川静岡本部</v>
      </c>
      <c r="C615" s="35" t="str">
        <f t="shared" si="252"/>
        <v>ラヴィーレ大和</v>
      </c>
      <c r="D615" s="9" t="s">
        <v>6</v>
      </c>
      <c r="E615" s="10">
        <v>3</v>
      </c>
      <c r="F615" s="12">
        <v>2</v>
      </c>
      <c r="G615" s="12">
        <v>0.7</v>
      </c>
      <c r="H615" s="10">
        <f t="shared" si="240"/>
        <v>2</v>
      </c>
      <c r="I615" s="38"/>
      <c r="J615" s="19" cm="1">
        <f t="array" ref="J615">IFERROR(IF(_xlfn.XLOOKUP(L615,NC導入施設!B:B,NC導入施設!E:E)=0,_xlfn.IFS(H615&lt;=5,0,H615&lt;=10,1,H615&lt;=15,2,H615&gt;=16,3),"Null"),"-")</f>
        <v>0</v>
      </c>
      <c r="K615" s="61"/>
      <c r="L615" s="1">
        <v>2415441100</v>
      </c>
    </row>
    <row r="616" spans="1:12" ht="18" customHeight="1" x14ac:dyDescent="0.45">
      <c r="A616" s="8">
        <v>610</v>
      </c>
      <c r="B616" s="36" t="str">
        <f t="shared" si="252"/>
        <v>神奈川静岡本部</v>
      </c>
      <c r="C616" s="36" t="str">
        <f t="shared" si="252"/>
        <v>ラヴィーレ大和</v>
      </c>
      <c r="D616" s="9" t="s">
        <v>2</v>
      </c>
      <c r="E616" s="10">
        <v>1</v>
      </c>
      <c r="F616" s="12">
        <v>2</v>
      </c>
      <c r="G616" s="12">
        <v>2</v>
      </c>
      <c r="H616" s="10">
        <f t="shared" si="240"/>
        <v>2</v>
      </c>
      <c r="I616" s="39"/>
      <c r="J616" s="19" cm="1">
        <f t="array" ref="J616">IFERROR(IF(_xlfn.XLOOKUP(L616,NC導入施設!B:B,NC導入施設!E:E)=0,_xlfn.IFS(H616&lt;=5,0,H616&lt;=10,1,H616&lt;=15,2,H616&gt;=16,3),"Null"),"-")</f>
        <v>0</v>
      </c>
      <c r="K616" s="62"/>
      <c r="L616" s="1">
        <v>2415441100</v>
      </c>
    </row>
    <row r="617" spans="1:12" ht="18" customHeight="1" x14ac:dyDescent="0.45">
      <c r="A617" s="13">
        <v>611</v>
      </c>
      <c r="B617" s="40" t="s">
        <v>48</v>
      </c>
      <c r="C617" s="40" t="s">
        <v>65</v>
      </c>
      <c r="D617" s="14" t="s">
        <v>3</v>
      </c>
      <c r="E617" s="15">
        <v>1</v>
      </c>
      <c r="F617" s="17">
        <v>14</v>
      </c>
      <c r="G617" s="17">
        <v>14</v>
      </c>
      <c r="H617" s="15">
        <f t="shared" si="240"/>
        <v>14</v>
      </c>
      <c r="I617" s="43" cm="1">
        <f t="array" ref="I617">IF(J617="-","-",_xlfn.IFS(K617&lt;=5,0,K617&lt;=10,1,K617&lt;=15,2,K617&gt;=16,3))</f>
        <v>3</v>
      </c>
      <c r="J617" s="19" cm="1">
        <f t="array" ref="J617">IFERROR(IF(_xlfn.XLOOKUP(L617,NC導入施設!B:B,NC導入施設!E:E)=0,_xlfn.IFS(H617&lt;=5,0,H617&lt;=10,1,H617&lt;=15,2,H617&gt;=16,3),"Null"),"-")</f>
        <v>2</v>
      </c>
      <c r="K617" s="60">
        <f t="shared" ref="K617" si="253">IFERROR(SUM(H617:H621),"-")</f>
        <v>36</v>
      </c>
      <c r="L617" s="1">
        <v>2415461200</v>
      </c>
    </row>
    <row r="618" spans="1:12" ht="18" customHeight="1" x14ac:dyDescent="0.45">
      <c r="A618" s="13">
        <v>612</v>
      </c>
      <c r="B618" s="41" t="str">
        <f t="shared" ref="B618:C621" si="254">B617</f>
        <v>神奈川静岡本部</v>
      </c>
      <c r="C618" s="41" t="str">
        <f t="shared" si="254"/>
        <v>そんぽの家　城山</v>
      </c>
      <c r="D618" s="14" t="s">
        <v>4</v>
      </c>
      <c r="E618" s="15">
        <v>1</v>
      </c>
      <c r="F618" s="17">
        <v>0</v>
      </c>
      <c r="G618" s="17">
        <v>0</v>
      </c>
      <c r="H618" s="15">
        <f t="shared" si="240"/>
        <v>0</v>
      </c>
      <c r="I618" s="44"/>
      <c r="J618" s="19" cm="1">
        <f t="array" ref="J618">IFERROR(IF(_xlfn.XLOOKUP(L618,NC導入施設!B:B,NC導入施設!E:E)=0,_xlfn.IFS(H618&lt;=5,0,H618&lt;=10,1,H618&lt;=15,2,H618&gt;=16,3),"Null"),"-")</f>
        <v>0</v>
      </c>
      <c r="K618" s="61"/>
      <c r="L618" s="1">
        <v>2415461200</v>
      </c>
    </row>
    <row r="619" spans="1:12" ht="18" customHeight="1" x14ac:dyDescent="0.45">
      <c r="A619" s="13">
        <v>613</v>
      </c>
      <c r="B619" s="41" t="str">
        <f t="shared" si="254"/>
        <v>神奈川静岡本部</v>
      </c>
      <c r="C619" s="41" t="str">
        <f t="shared" si="254"/>
        <v>そんぽの家　城山</v>
      </c>
      <c r="D619" s="14" t="s">
        <v>5</v>
      </c>
      <c r="E619" s="15">
        <v>2</v>
      </c>
      <c r="F619" s="17">
        <v>22</v>
      </c>
      <c r="G619" s="17">
        <v>11</v>
      </c>
      <c r="H619" s="15">
        <f t="shared" si="240"/>
        <v>22</v>
      </c>
      <c r="I619" s="44"/>
      <c r="J619" s="19" cm="1">
        <f t="array" ref="J619">IFERROR(IF(_xlfn.XLOOKUP(L619,NC導入施設!B:B,NC導入施設!E:E)=0,_xlfn.IFS(H619&lt;=5,0,H619&lt;=10,1,H619&lt;=15,2,H619&gt;=16,3),"Null"),"-")</f>
        <v>3</v>
      </c>
      <c r="K619" s="61"/>
      <c r="L619" s="1">
        <v>2415461200</v>
      </c>
    </row>
    <row r="620" spans="1:12" ht="18" customHeight="1" x14ac:dyDescent="0.45">
      <c r="A620" s="13">
        <v>614</v>
      </c>
      <c r="B620" s="41" t="str">
        <f t="shared" si="254"/>
        <v>神奈川静岡本部</v>
      </c>
      <c r="C620" s="41" t="str">
        <f t="shared" si="254"/>
        <v>そんぽの家　城山</v>
      </c>
      <c r="D620" s="14" t="s">
        <v>6</v>
      </c>
      <c r="E620" s="15">
        <v>3</v>
      </c>
      <c r="F620" s="17">
        <v>0</v>
      </c>
      <c r="G620" s="17">
        <v>0</v>
      </c>
      <c r="H620" s="15">
        <f t="shared" si="240"/>
        <v>0</v>
      </c>
      <c r="I620" s="44"/>
      <c r="J620" s="19" cm="1">
        <f t="array" ref="J620">IFERROR(IF(_xlfn.XLOOKUP(L620,NC導入施設!B:B,NC導入施設!E:E)=0,_xlfn.IFS(H620&lt;=5,0,H620&lt;=10,1,H620&lt;=15,2,H620&gt;=16,3),"Null"),"-")</f>
        <v>0</v>
      </c>
      <c r="K620" s="61"/>
      <c r="L620" s="1">
        <v>2415461200</v>
      </c>
    </row>
    <row r="621" spans="1:12" ht="18" customHeight="1" x14ac:dyDescent="0.45">
      <c r="A621" s="13">
        <v>615</v>
      </c>
      <c r="B621" s="42" t="str">
        <f t="shared" si="254"/>
        <v>神奈川静岡本部</v>
      </c>
      <c r="C621" s="42" t="str">
        <f t="shared" si="254"/>
        <v>そんぽの家　城山</v>
      </c>
      <c r="D621" s="14" t="s">
        <v>2</v>
      </c>
      <c r="E621" s="15">
        <v>1</v>
      </c>
      <c r="F621" s="17">
        <v>0</v>
      </c>
      <c r="G621" s="17">
        <v>0</v>
      </c>
      <c r="H621" s="15">
        <f t="shared" si="240"/>
        <v>0</v>
      </c>
      <c r="I621" s="45"/>
      <c r="J621" s="19" cm="1">
        <f t="array" ref="J621">IFERROR(IF(_xlfn.XLOOKUP(L621,NC導入施設!B:B,NC導入施設!E:E)=0,_xlfn.IFS(H621&lt;=5,0,H621&lt;=10,1,H621&lt;=15,2,H621&gt;=16,3),"Null"),"-")</f>
        <v>0</v>
      </c>
      <c r="K621" s="62"/>
      <c r="L621" s="1">
        <v>2415461200</v>
      </c>
    </row>
    <row r="622" spans="1:12" ht="18" customHeight="1" x14ac:dyDescent="0.45">
      <c r="A622" s="8">
        <v>616</v>
      </c>
      <c r="B622" s="34" t="s">
        <v>48</v>
      </c>
      <c r="C622" s="34" t="s">
        <v>253</v>
      </c>
      <c r="D622" s="9" t="s">
        <v>3</v>
      </c>
      <c r="E622" s="10">
        <v>1</v>
      </c>
      <c r="F622" s="12">
        <v>2</v>
      </c>
      <c r="G622" s="12">
        <v>2</v>
      </c>
      <c r="H622" s="10">
        <f t="shared" si="240"/>
        <v>2</v>
      </c>
      <c r="I622" s="37" cm="1">
        <f t="array" ref="I622">IF(J622="-","-",_xlfn.IFS(K622&lt;=5,0,K622&lt;=10,1,K622&lt;=15,2,K622&gt;=16,3))</f>
        <v>3</v>
      </c>
      <c r="J622" s="19" cm="1">
        <f t="array" ref="J622">IFERROR(IF(_xlfn.XLOOKUP(L622,NC導入施設!B:B,NC導入施設!E:E)=0,_xlfn.IFS(H622&lt;=5,0,H622&lt;=10,1,H622&lt;=15,2,H622&gt;=16,3),"Null"),"-")</f>
        <v>0</v>
      </c>
      <c r="K622" s="60">
        <f t="shared" ref="K622" si="255">IFERROR(SUM(H622:H626),"-")</f>
        <v>113</v>
      </c>
      <c r="L622" s="1">
        <v>2415471100</v>
      </c>
    </row>
    <row r="623" spans="1:12" ht="18" customHeight="1" x14ac:dyDescent="0.45">
      <c r="A623" s="8">
        <v>617</v>
      </c>
      <c r="B623" s="35" t="str">
        <f t="shared" ref="B623:C626" si="256">B622</f>
        <v>神奈川静岡本部</v>
      </c>
      <c r="C623" s="35" t="str">
        <f t="shared" si="256"/>
        <v>ラヴィーレ古淵</v>
      </c>
      <c r="D623" s="9" t="s">
        <v>4</v>
      </c>
      <c r="E623" s="10">
        <v>1</v>
      </c>
      <c r="F623" s="12">
        <v>9</v>
      </c>
      <c r="G623" s="12">
        <v>9</v>
      </c>
      <c r="H623" s="10">
        <f t="shared" si="240"/>
        <v>9</v>
      </c>
      <c r="I623" s="38"/>
      <c r="J623" s="19" cm="1">
        <f t="array" ref="J623">IFERROR(IF(_xlfn.XLOOKUP(L623,NC導入施設!B:B,NC導入施設!E:E)=0,_xlfn.IFS(H623&lt;=5,0,H623&lt;=10,1,H623&lt;=15,2,H623&gt;=16,3),"Null"),"-")</f>
        <v>1</v>
      </c>
      <c r="K623" s="61"/>
      <c r="L623" s="1">
        <v>2415471100</v>
      </c>
    </row>
    <row r="624" spans="1:12" ht="18" customHeight="1" x14ac:dyDescent="0.45">
      <c r="A624" s="8">
        <v>618</v>
      </c>
      <c r="B624" s="35" t="str">
        <f t="shared" si="256"/>
        <v>神奈川静岡本部</v>
      </c>
      <c r="C624" s="35" t="str">
        <f t="shared" si="256"/>
        <v>ラヴィーレ古淵</v>
      </c>
      <c r="D624" s="9" t="s">
        <v>5</v>
      </c>
      <c r="E624" s="10">
        <v>2</v>
      </c>
      <c r="F624" s="12">
        <v>29</v>
      </c>
      <c r="G624" s="12">
        <v>14.5</v>
      </c>
      <c r="H624" s="10">
        <f t="shared" si="240"/>
        <v>29</v>
      </c>
      <c r="I624" s="38"/>
      <c r="J624" s="19" cm="1">
        <f t="array" ref="J624">IFERROR(IF(_xlfn.XLOOKUP(L624,NC導入施設!B:B,NC導入施設!E:E)=0,_xlfn.IFS(H624&lt;=5,0,H624&lt;=10,1,H624&lt;=15,2,H624&gt;=16,3),"Null"),"-")</f>
        <v>3</v>
      </c>
      <c r="K624" s="61"/>
      <c r="L624" s="1">
        <v>2415471100</v>
      </c>
    </row>
    <row r="625" spans="1:12" ht="18" customHeight="1" x14ac:dyDescent="0.45">
      <c r="A625" s="8">
        <v>619</v>
      </c>
      <c r="B625" s="35" t="str">
        <f t="shared" si="256"/>
        <v>神奈川静岡本部</v>
      </c>
      <c r="C625" s="35" t="str">
        <f t="shared" si="256"/>
        <v>ラヴィーレ古淵</v>
      </c>
      <c r="D625" s="9" t="s">
        <v>6</v>
      </c>
      <c r="E625" s="10">
        <v>4</v>
      </c>
      <c r="F625" s="12">
        <v>71</v>
      </c>
      <c r="G625" s="12">
        <v>17.8</v>
      </c>
      <c r="H625" s="10">
        <f t="shared" si="240"/>
        <v>71</v>
      </c>
      <c r="I625" s="38"/>
      <c r="J625" s="19" cm="1">
        <f t="array" ref="J625">IFERROR(IF(_xlfn.XLOOKUP(L625,NC導入施設!B:B,NC導入施設!E:E)=0,_xlfn.IFS(H625&lt;=5,0,H625&lt;=10,1,H625&lt;=15,2,H625&gt;=16,3),"Null"),"-")</f>
        <v>3</v>
      </c>
      <c r="K625" s="61"/>
      <c r="L625" s="1">
        <v>2415471100</v>
      </c>
    </row>
    <row r="626" spans="1:12" ht="18" customHeight="1" x14ac:dyDescent="0.45">
      <c r="A626" s="8">
        <v>620</v>
      </c>
      <c r="B626" s="36" t="str">
        <f t="shared" si="256"/>
        <v>神奈川静岡本部</v>
      </c>
      <c r="C626" s="36" t="str">
        <f t="shared" si="256"/>
        <v>ラヴィーレ古淵</v>
      </c>
      <c r="D626" s="9" t="s">
        <v>2</v>
      </c>
      <c r="E626" s="10">
        <v>1</v>
      </c>
      <c r="F626" s="12">
        <v>2</v>
      </c>
      <c r="G626" s="12">
        <v>2</v>
      </c>
      <c r="H626" s="10">
        <f t="shared" si="240"/>
        <v>2</v>
      </c>
      <c r="I626" s="39"/>
      <c r="J626" s="19" cm="1">
        <f t="array" ref="J626">IFERROR(IF(_xlfn.XLOOKUP(L626,NC導入施設!B:B,NC導入施設!E:E)=0,_xlfn.IFS(H626&lt;=5,0,H626&lt;=10,1,H626&lt;=15,2,H626&gt;=16,3),"Null"),"-")</f>
        <v>0</v>
      </c>
      <c r="K626" s="62"/>
      <c r="L626" s="1">
        <v>2415471100</v>
      </c>
    </row>
    <row r="627" spans="1:12" ht="18" customHeight="1" x14ac:dyDescent="0.45">
      <c r="A627" s="13">
        <v>621</v>
      </c>
      <c r="B627" s="40" t="s">
        <v>48</v>
      </c>
      <c r="C627" s="40" t="s">
        <v>254</v>
      </c>
      <c r="D627" s="14" t="s">
        <v>3</v>
      </c>
      <c r="E627" s="15">
        <v>1</v>
      </c>
      <c r="F627" s="17">
        <v>0</v>
      </c>
      <c r="G627" s="17">
        <v>0</v>
      </c>
      <c r="H627" s="15">
        <f t="shared" si="240"/>
        <v>0</v>
      </c>
      <c r="I627" s="43" cm="1">
        <f t="array" ref="I627">IF(J627="-","-",_xlfn.IFS(K627&lt;=5,0,K627&lt;=10,1,K627&lt;=15,2,K627&gt;=16,3))</f>
        <v>3</v>
      </c>
      <c r="J627" s="19" cm="1">
        <f t="array" ref="J627">IFERROR(IF(_xlfn.XLOOKUP(L627,NC導入施設!B:B,NC導入施設!E:E)=0,_xlfn.IFS(H627&lt;=5,0,H627&lt;=10,1,H627&lt;=15,2,H627&gt;=16,3),"Null"),"-")</f>
        <v>0</v>
      </c>
      <c r="K627" s="60">
        <f t="shared" ref="K627" si="257">IFERROR(SUM(H627:H631),"-")</f>
        <v>30</v>
      </c>
      <c r="L627" s="1">
        <v>2415481100</v>
      </c>
    </row>
    <row r="628" spans="1:12" ht="18" customHeight="1" x14ac:dyDescent="0.45">
      <c r="A628" s="13">
        <v>622</v>
      </c>
      <c r="B628" s="41" t="str">
        <f t="shared" ref="B628:C631" si="258">B627</f>
        <v>神奈川静岡本部</v>
      </c>
      <c r="C628" s="41" t="str">
        <f t="shared" si="258"/>
        <v>ラヴィーレ淵野辺</v>
      </c>
      <c r="D628" s="14" t="s">
        <v>4</v>
      </c>
      <c r="E628" s="15">
        <v>1</v>
      </c>
      <c r="F628" s="17">
        <v>16</v>
      </c>
      <c r="G628" s="17">
        <v>16</v>
      </c>
      <c r="H628" s="15">
        <f t="shared" si="240"/>
        <v>16</v>
      </c>
      <c r="I628" s="44"/>
      <c r="J628" s="19" cm="1">
        <f t="array" ref="J628">IFERROR(IF(_xlfn.XLOOKUP(L628,NC導入施設!B:B,NC導入施設!E:E)=0,_xlfn.IFS(H628&lt;=5,0,H628&lt;=10,1,H628&lt;=15,2,H628&gt;=16,3),"Null"),"-")</f>
        <v>3</v>
      </c>
      <c r="K628" s="61"/>
      <c r="L628" s="1">
        <v>2415481100</v>
      </c>
    </row>
    <row r="629" spans="1:12" ht="18" customHeight="1" x14ac:dyDescent="0.45">
      <c r="A629" s="13">
        <v>623</v>
      </c>
      <c r="B629" s="41" t="str">
        <f t="shared" si="258"/>
        <v>神奈川静岡本部</v>
      </c>
      <c r="C629" s="41" t="str">
        <f t="shared" si="258"/>
        <v>ラヴィーレ淵野辺</v>
      </c>
      <c r="D629" s="14" t="s">
        <v>5</v>
      </c>
      <c r="E629" s="15">
        <v>1</v>
      </c>
      <c r="F629" s="17">
        <v>14</v>
      </c>
      <c r="G629" s="17">
        <v>14</v>
      </c>
      <c r="H629" s="15">
        <f t="shared" si="240"/>
        <v>14</v>
      </c>
      <c r="I629" s="44"/>
      <c r="J629" s="19" cm="1">
        <f t="array" ref="J629">IFERROR(IF(_xlfn.XLOOKUP(L629,NC導入施設!B:B,NC導入施設!E:E)=0,_xlfn.IFS(H629&lt;=5,0,H629&lt;=10,1,H629&lt;=15,2,H629&gt;=16,3),"Null"),"-")</f>
        <v>2</v>
      </c>
      <c r="K629" s="61"/>
      <c r="L629" s="1">
        <v>2415481100</v>
      </c>
    </row>
    <row r="630" spans="1:12" ht="18" customHeight="1" x14ac:dyDescent="0.45">
      <c r="A630" s="13">
        <v>624</v>
      </c>
      <c r="B630" s="41" t="str">
        <f t="shared" si="258"/>
        <v>神奈川静岡本部</v>
      </c>
      <c r="C630" s="41" t="str">
        <f t="shared" si="258"/>
        <v>ラヴィーレ淵野辺</v>
      </c>
      <c r="D630" s="14" t="s">
        <v>6</v>
      </c>
      <c r="E630" s="15">
        <v>3</v>
      </c>
      <c r="F630" s="17">
        <v>0</v>
      </c>
      <c r="G630" s="17">
        <v>0</v>
      </c>
      <c r="H630" s="15">
        <f t="shared" si="240"/>
        <v>0</v>
      </c>
      <c r="I630" s="44"/>
      <c r="J630" s="19" cm="1">
        <f t="array" ref="J630">IFERROR(IF(_xlfn.XLOOKUP(L630,NC導入施設!B:B,NC導入施設!E:E)=0,_xlfn.IFS(H630&lt;=5,0,H630&lt;=10,1,H630&lt;=15,2,H630&gt;=16,3),"Null"),"-")</f>
        <v>0</v>
      </c>
      <c r="K630" s="61"/>
      <c r="L630" s="1">
        <v>2415481100</v>
      </c>
    </row>
    <row r="631" spans="1:12" ht="18" customHeight="1" x14ac:dyDescent="0.45">
      <c r="A631" s="13">
        <v>625</v>
      </c>
      <c r="B631" s="42" t="str">
        <f t="shared" si="258"/>
        <v>神奈川静岡本部</v>
      </c>
      <c r="C631" s="42" t="str">
        <f t="shared" si="258"/>
        <v>ラヴィーレ淵野辺</v>
      </c>
      <c r="D631" s="14" t="s">
        <v>2</v>
      </c>
      <c r="E631" s="15">
        <v>1</v>
      </c>
      <c r="F631" s="17">
        <v>0</v>
      </c>
      <c r="G631" s="17">
        <v>0</v>
      </c>
      <c r="H631" s="15">
        <f t="shared" si="240"/>
        <v>0</v>
      </c>
      <c r="I631" s="45"/>
      <c r="J631" s="19" cm="1">
        <f t="array" ref="J631">IFERROR(IF(_xlfn.XLOOKUP(L631,NC導入施設!B:B,NC導入施設!E:E)=0,_xlfn.IFS(H631&lt;=5,0,H631&lt;=10,1,H631&lt;=15,2,H631&gt;=16,3),"Null"),"-")</f>
        <v>0</v>
      </c>
      <c r="K631" s="62"/>
      <c r="L631" s="1">
        <v>2415481100</v>
      </c>
    </row>
    <row r="632" spans="1:12" ht="18" customHeight="1" x14ac:dyDescent="0.45">
      <c r="A632" s="8">
        <v>626</v>
      </c>
      <c r="B632" s="34" t="s">
        <v>48</v>
      </c>
      <c r="C632" s="34" t="s">
        <v>255</v>
      </c>
      <c r="D632" s="9" t="s">
        <v>3</v>
      </c>
      <c r="E632" s="10">
        <v>1</v>
      </c>
      <c r="F632" s="12">
        <v>8</v>
      </c>
      <c r="G632" s="12">
        <v>8</v>
      </c>
      <c r="H632" s="10">
        <f t="shared" si="240"/>
        <v>8</v>
      </c>
      <c r="I632" s="37" cm="1">
        <f t="array" ref="I632">IF(J632="-","-",_xlfn.IFS(K632&lt;=5,0,K632&lt;=10,1,K632&lt;=15,2,K632&gt;=16,3))</f>
        <v>3</v>
      </c>
      <c r="J632" s="19" cm="1">
        <f t="array" ref="J632">IFERROR(IF(_xlfn.XLOOKUP(L632,NC導入施設!B:B,NC導入施設!E:E)=0,_xlfn.IFS(H632&lt;=5,0,H632&lt;=10,1,H632&lt;=15,2,H632&gt;=16,3),"Null"),"-")</f>
        <v>1</v>
      </c>
      <c r="K632" s="60">
        <f t="shared" ref="K632" si="259">IFERROR(SUM(H632:H636),"-")</f>
        <v>26</v>
      </c>
      <c r="L632" s="1">
        <v>2415511100</v>
      </c>
    </row>
    <row r="633" spans="1:12" ht="18" customHeight="1" x14ac:dyDescent="0.45">
      <c r="A633" s="8">
        <v>627</v>
      </c>
      <c r="B633" s="35" t="str">
        <f t="shared" ref="B633:C636" si="260">B632</f>
        <v>神奈川静岡本部</v>
      </c>
      <c r="C633" s="35" t="str">
        <f t="shared" si="260"/>
        <v>ラヴィーレ相模原中央</v>
      </c>
      <c r="D633" s="9" t="s">
        <v>4</v>
      </c>
      <c r="E633" s="10">
        <v>2</v>
      </c>
      <c r="F633" s="12">
        <v>5</v>
      </c>
      <c r="G633" s="12">
        <v>2.5</v>
      </c>
      <c r="H633" s="10">
        <f t="shared" si="240"/>
        <v>5</v>
      </c>
      <c r="I633" s="38"/>
      <c r="J633" s="19" cm="1">
        <f t="array" ref="J633">IFERROR(IF(_xlfn.XLOOKUP(L633,NC導入施設!B:B,NC導入施設!E:E)=0,_xlfn.IFS(H633&lt;=5,0,H633&lt;=10,1,H633&lt;=15,2,H633&gt;=16,3),"Null"),"-")</f>
        <v>0</v>
      </c>
      <c r="K633" s="61"/>
      <c r="L633" s="1">
        <v>2415511100</v>
      </c>
    </row>
    <row r="634" spans="1:12" ht="18" customHeight="1" x14ac:dyDescent="0.45">
      <c r="A634" s="8">
        <v>628</v>
      </c>
      <c r="B634" s="35" t="str">
        <f t="shared" si="260"/>
        <v>神奈川静岡本部</v>
      </c>
      <c r="C634" s="35" t="str">
        <f t="shared" si="260"/>
        <v>ラヴィーレ相模原中央</v>
      </c>
      <c r="D634" s="9" t="s">
        <v>5</v>
      </c>
      <c r="E634" s="10">
        <v>2</v>
      </c>
      <c r="F634" s="12">
        <v>8</v>
      </c>
      <c r="G634" s="12">
        <v>4</v>
      </c>
      <c r="H634" s="10">
        <f t="shared" si="240"/>
        <v>8</v>
      </c>
      <c r="I634" s="38"/>
      <c r="J634" s="19" cm="1">
        <f t="array" ref="J634">IFERROR(IF(_xlfn.XLOOKUP(L634,NC導入施設!B:B,NC導入施設!E:E)=0,_xlfn.IFS(H634&lt;=5,0,H634&lt;=10,1,H634&lt;=15,2,H634&gt;=16,3),"Null"),"-")</f>
        <v>1</v>
      </c>
      <c r="K634" s="61"/>
      <c r="L634" s="1">
        <v>2415511100</v>
      </c>
    </row>
    <row r="635" spans="1:12" ht="18" customHeight="1" x14ac:dyDescent="0.45">
      <c r="A635" s="8">
        <v>629</v>
      </c>
      <c r="B635" s="35" t="str">
        <f t="shared" si="260"/>
        <v>神奈川静岡本部</v>
      </c>
      <c r="C635" s="35" t="str">
        <f t="shared" si="260"/>
        <v>ラヴィーレ相模原中央</v>
      </c>
      <c r="D635" s="9" t="s">
        <v>6</v>
      </c>
      <c r="E635" s="10">
        <v>5</v>
      </c>
      <c r="F635" s="12">
        <v>0</v>
      </c>
      <c r="G635" s="12">
        <v>0</v>
      </c>
      <c r="H635" s="10">
        <f t="shared" si="240"/>
        <v>0</v>
      </c>
      <c r="I635" s="38"/>
      <c r="J635" s="19" cm="1">
        <f t="array" ref="J635">IFERROR(IF(_xlfn.XLOOKUP(L635,NC導入施設!B:B,NC導入施設!E:E)=0,_xlfn.IFS(H635&lt;=5,0,H635&lt;=10,1,H635&lt;=15,2,H635&gt;=16,3),"Null"),"-")</f>
        <v>0</v>
      </c>
      <c r="K635" s="61"/>
      <c r="L635" s="1">
        <v>2415511100</v>
      </c>
    </row>
    <row r="636" spans="1:12" ht="18" customHeight="1" x14ac:dyDescent="0.45">
      <c r="A636" s="8">
        <v>630</v>
      </c>
      <c r="B636" s="36" t="str">
        <f t="shared" si="260"/>
        <v>神奈川静岡本部</v>
      </c>
      <c r="C636" s="36" t="str">
        <f t="shared" si="260"/>
        <v>ラヴィーレ相模原中央</v>
      </c>
      <c r="D636" s="9" t="s">
        <v>2</v>
      </c>
      <c r="E636" s="10">
        <v>3</v>
      </c>
      <c r="F636" s="12">
        <v>5</v>
      </c>
      <c r="G636" s="12">
        <v>1.7</v>
      </c>
      <c r="H636" s="10">
        <f t="shared" si="240"/>
        <v>5</v>
      </c>
      <c r="I636" s="39"/>
      <c r="J636" s="19" cm="1">
        <f t="array" ref="J636">IFERROR(IF(_xlfn.XLOOKUP(L636,NC導入施設!B:B,NC導入施設!E:E)=0,_xlfn.IFS(H636&lt;=5,0,H636&lt;=10,1,H636&lt;=15,2,H636&gt;=16,3),"Null"),"-")</f>
        <v>0</v>
      </c>
      <c r="K636" s="62"/>
      <c r="L636" s="1">
        <v>2415511100</v>
      </c>
    </row>
    <row r="637" spans="1:12" ht="18" customHeight="1" x14ac:dyDescent="0.45">
      <c r="A637" s="13">
        <v>631</v>
      </c>
      <c r="B637" s="40" t="s">
        <v>48</v>
      </c>
      <c r="C637" s="40" t="s">
        <v>256</v>
      </c>
      <c r="D637" s="14" t="s">
        <v>3</v>
      </c>
      <c r="E637" s="15">
        <v>1</v>
      </c>
      <c r="F637" s="17">
        <v>20</v>
      </c>
      <c r="G637" s="17">
        <v>20</v>
      </c>
      <c r="H637" s="15">
        <f t="shared" si="240"/>
        <v>20</v>
      </c>
      <c r="I637" s="43" cm="1">
        <f t="array" ref="I637">IF(J637="-","-",_xlfn.IFS(K637&lt;=5,0,K637&lt;=10,1,K637&lt;=15,2,K637&gt;=16,3))</f>
        <v>3</v>
      </c>
      <c r="J637" s="19" cm="1">
        <f t="array" ref="J637">IFERROR(IF(_xlfn.XLOOKUP(L637,NC導入施設!B:B,NC導入施設!E:E)=0,_xlfn.IFS(H637&lt;=5,0,H637&lt;=10,1,H637&lt;=15,2,H637&gt;=16,3),"Null"),"-")</f>
        <v>3</v>
      </c>
      <c r="K637" s="60">
        <f t="shared" ref="K637" si="261">IFERROR(SUM(H637:H641),"-")</f>
        <v>56</v>
      </c>
      <c r="L637" s="1">
        <v>2415521100</v>
      </c>
    </row>
    <row r="638" spans="1:12" ht="18" customHeight="1" x14ac:dyDescent="0.45">
      <c r="A638" s="13">
        <v>632</v>
      </c>
      <c r="B638" s="41" t="str">
        <f t="shared" ref="B638:C641" si="262">B637</f>
        <v>神奈川静岡本部</v>
      </c>
      <c r="C638" s="41" t="str">
        <f t="shared" si="262"/>
        <v>ラヴィーレ上溝</v>
      </c>
      <c r="D638" s="14" t="s">
        <v>4</v>
      </c>
      <c r="E638" s="15">
        <v>1</v>
      </c>
      <c r="F638" s="17">
        <v>15</v>
      </c>
      <c r="G638" s="17">
        <v>15</v>
      </c>
      <c r="H638" s="15">
        <f t="shared" si="240"/>
        <v>15</v>
      </c>
      <c r="I638" s="44"/>
      <c r="J638" s="19" cm="1">
        <f t="array" ref="J638">IFERROR(IF(_xlfn.XLOOKUP(L638,NC導入施設!B:B,NC導入施設!E:E)=0,_xlfn.IFS(H638&lt;=5,0,H638&lt;=10,1,H638&lt;=15,2,H638&gt;=16,3),"Null"),"-")</f>
        <v>2</v>
      </c>
      <c r="K638" s="61"/>
      <c r="L638" s="1">
        <v>2415521100</v>
      </c>
    </row>
    <row r="639" spans="1:12" ht="18" customHeight="1" x14ac:dyDescent="0.45">
      <c r="A639" s="13">
        <v>633</v>
      </c>
      <c r="B639" s="41" t="str">
        <f t="shared" si="262"/>
        <v>神奈川静岡本部</v>
      </c>
      <c r="C639" s="41" t="str">
        <f t="shared" si="262"/>
        <v>ラヴィーレ上溝</v>
      </c>
      <c r="D639" s="14" t="s">
        <v>5</v>
      </c>
      <c r="E639" s="15">
        <v>1</v>
      </c>
      <c r="F639" s="17">
        <v>17</v>
      </c>
      <c r="G639" s="17">
        <v>17</v>
      </c>
      <c r="H639" s="15">
        <f t="shared" si="240"/>
        <v>17</v>
      </c>
      <c r="I639" s="44"/>
      <c r="J639" s="19" cm="1">
        <f t="array" ref="J639">IFERROR(IF(_xlfn.XLOOKUP(L639,NC導入施設!B:B,NC導入施設!E:E)=0,_xlfn.IFS(H639&lt;=5,0,H639&lt;=10,1,H639&lt;=15,2,H639&gt;=16,3),"Null"),"-")</f>
        <v>3</v>
      </c>
      <c r="K639" s="61"/>
      <c r="L639" s="1">
        <v>2415521100</v>
      </c>
    </row>
    <row r="640" spans="1:12" ht="18" customHeight="1" x14ac:dyDescent="0.45">
      <c r="A640" s="13">
        <v>634</v>
      </c>
      <c r="B640" s="41" t="str">
        <f t="shared" si="262"/>
        <v>神奈川静岡本部</v>
      </c>
      <c r="C640" s="41" t="str">
        <f t="shared" si="262"/>
        <v>ラヴィーレ上溝</v>
      </c>
      <c r="D640" s="14" t="s">
        <v>6</v>
      </c>
      <c r="E640" s="15">
        <v>4</v>
      </c>
      <c r="F640" s="17">
        <v>4</v>
      </c>
      <c r="G640" s="17">
        <v>1</v>
      </c>
      <c r="H640" s="15">
        <f t="shared" si="240"/>
        <v>4</v>
      </c>
      <c r="I640" s="44"/>
      <c r="J640" s="19" cm="1">
        <f t="array" ref="J640">IFERROR(IF(_xlfn.XLOOKUP(L640,NC導入施設!B:B,NC導入施設!E:E)=0,_xlfn.IFS(H640&lt;=5,0,H640&lt;=10,1,H640&lt;=15,2,H640&gt;=16,3),"Null"),"-")</f>
        <v>0</v>
      </c>
      <c r="K640" s="61"/>
      <c r="L640" s="1">
        <v>2415521100</v>
      </c>
    </row>
    <row r="641" spans="1:12" ht="18" customHeight="1" x14ac:dyDescent="0.45">
      <c r="A641" s="13">
        <v>635</v>
      </c>
      <c r="B641" s="42" t="str">
        <f t="shared" si="262"/>
        <v>神奈川静岡本部</v>
      </c>
      <c r="C641" s="42" t="str">
        <f t="shared" si="262"/>
        <v>ラヴィーレ上溝</v>
      </c>
      <c r="D641" s="14" t="s">
        <v>2</v>
      </c>
      <c r="E641" s="15">
        <v>1</v>
      </c>
      <c r="F641" s="17">
        <v>0</v>
      </c>
      <c r="G641" s="17">
        <v>0</v>
      </c>
      <c r="H641" s="15">
        <f t="shared" si="240"/>
        <v>0</v>
      </c>
      <c r="I641" s="45"/>
      <c r="J641" s="19" cm="1">
        <f t="array" ref="J641">IFERROR(IF(_xlfn.XLOOKUP(L641,NC導入施設!B:B,NC導入施設!E:E)=0,_xlfn.IFS(H641&lt;=5,0,H641&lt;=10,1,H641&lt;=15,2,H641&gt;=16,3),"Null"),"-")</f>
        <v>0</v>
      </c>
      <c r="K641" s="62"/>
      <c r="L641" s="1">
        <v>2415521100</v>
      </c>
    </row>
    <row r="642" spans="1:12" ht="18" customHeight="1" x14ac:dyDescent="0.45">
      <c r="A642" s="8">
        <v>636</v>
      </c>
      <c r="B642" s="34" t="s">
        <v>48</v>
      </c>
      <c r="C642" s="34" t="s">
        <v>257</v>
      </c>
      <c r="D642" s="9" t="s">
        <v>3</v>
      </c>
      <c r="E642" s="10">
        <v>1</v>
      </c>
      <c r="F642" s="12">
        <v>3</v>
      </c>
      <c r="G642" s="12">
        <v>3</v>
      </c>
      <c r="H642" s="10">
        <f t="shared" si="240"/>
        <v>3</v>
      </c>
      <c r="I642" s="37" cm="1">
        <f t="array" ref="I642">IF(J642="-","-",_xlfn.IFS(K642&lt;=5,0,K642&lt;=10,1,K642&lt;=15,2,K642&gt;=16,3))</f>
        <v>0</v>
      </c>
      <c r="J642" s="19" cm="1">
        <f t="array" ref="J642">IFERROR(IF(_xlfn.XLOOKUP(L642,NC導入施設!B:B,NC導入施設!E:E)=0,_xlfn.IFS(H642&lt;=5,0,H642&lt;=10,1,H642&lt;=15,2,H642&gt;=16,3),"Null"),"-")</f>
        <v>0</v>
      </c>
      <c r="K642" s="60">
        <f t="shared" ref="K642" si="263">IFERROR(SUM(H642:H646),"-")</f>
        <v>3</v>
      </c>
      <c r="L642" s="1">
        <v>2415531100</v>
      </c>
    </row>
    <row r="643" spans="1:12" ht="18" customHeight="1" x14ac:dyDescent="0.45">
      <c r="A643" s="8">
        <v>637</v>
      </c>
      <c r="B643" s="35" t="str">
        <f t="shared" ref="B643:C646" si="264">B642</f>
        <v>神奈川静岡本部</v>
      </c>
      <c r="C643" s="35" t="str">
        <f t="shared" si="264"/>
        <v>ラヴィーレ横須賀</v>
      </c>
      <c r="D643" s="9" t="s">
        <v>4</v>
      </c>
      <c r="E643" s="10">
        <v>1</v>
      </c>
      <c r="F643" s="12">
        <v>0</v>
      </c>
      <c r="G643" s="12">
        <v>0</v>
      </c>
      <c r="H643" s="10">
        <f t="shared" si="240"/>
        <v>0</v>
      </c>
      <c r="I643" s="38"/>
      <c r="J643" s="19" cm="1">
        <f t="array" ref="J643">IFERROR(IF(_xlfn.XLOOKUP(L643,NC導入施設!B:B,NC導入施設!E:E)=0,_xlfn.IFS(H643&lt;=5,0,H643&lt;=10,1,H643&lt;=15,2,H643&gt;=16,3),"Null"),"-")</f>
        <v>0</v>
      </c>
      <c r="K643" s="61"/>
      <c r="L643" s="1">
        <v>2415531100</v>
      </c>
    </row>
    <row r="644" spans="1:12" ht="18" customHeight="1" x14ac:dyDescent="0.45">
      <c r="A644" s="8">
        <v>638</v>
      </c>
      <c r="B644" s="35" t="str">
        <f t="shared" si="264"/>
        <v>神奈川静岡本部</v>
      </c>
      <c r="C644" s="35" t="str">
        <f t="shared" si="264"/>
        <v>ラヴィーレ横須賀</v>
      </c>
      <c r="D644" s="9" t="s">
        <v>5</v>
      </c>
      <c r="E644" s="10">
        <v>2</v>
      </c>
      <c r="F644" s="12">
        <v>0</v>
      </c>
      <c r="G644" s="12">
        <v>0</v>
      </c>
      <c r="H644" s="10">
        <f t="shared" si="240"/>
        <v>0</v>
      </c>
      <c r="I644" s="38"/>
      <c r="J644" s="19" cm="1">
        <f t="array" ref="J644">IFERROR(IF(_xlfn.XLOOKUP(L644,NC導入施設!B:B,NC導入施設!E:E)=0,_xlfn.IFS(H644&lt;=5,0,H644&lt;=10,1,H644&lt;=15,2,H644&gt;=16,3),"Null"),"-")</f>
        <v>0</v>
      </c>
      <c r="K644" s="61"/>
      <c r="L644" s="1">
        <v>2415531100</v>
      </c>
    </row>
    <row r="645" spans="1:12" ht="18" customHeight="1" x14ac:dyDescent="0.45">
      <c r="A645" s="8">
        <v>639</v>
      </c>
      <c r="B645" s="35" t="str">
        <f t="shared" si="264"/>
        <v>神奈川静岡本部</v>
      </c>
      <c r="C645" s="35" t="str">
        <f t="shared" si="264"/>
        <v>ラヴィーレ横須賀</v>
      </c>
      <c r="D645" s="9" t="s">
        <v>6</v>
      </c>
      <c r="E645" s="10">
        <v>4</v>
      </c>
      <c r="F645" s="12">
        <v>0</v>
      </c>
      <c r="G645" s="12">
        <v>0</v>
      </c>
      <c r="H645" s="10">
        <f t="shared" si="240"/>
        <v>0</v>
      </c>
      <c r="I645" s="38"/>
      <c r="J645" s="19" cm="1">
        <f t="array" ref="J645">IFERROR(IF(_xlfn.XLOOKUP(L645,NC導入施設!B:B,NC導入施設!E:E)=0,_xlfn.IFS(H645&lt;=5,0,H645&lt;=10,1,H645&lt;=15,2,H645&gt;=16,3),"Null"),"-")</f>
        <v>0</v>
      </c>
      <c r="K645" s="61"/>
      <c r="L645" s="1">
        <v>2415531100</v>
      </c>
    </row>
    <row r="646" spans="1:12" ht="18" customHeight="1" x14ac:dyDescent="0.45">
      <c r="A646" s="8">
        <v>640</v>
      </c>
      <c r="B646" s="36" t="str">
        <f t="shared" si="264"/>
        <v>神奈川静岡本部</v>
      </c>
      <c r="C646" s="36" t="str">
        <f t="shared" si="264"/>
        <v>ラヴィーレ横須賀</v>
      </c>
      <c r="D646" s="9" t="s">
        <v>2</v>
      </c>
      <c r="E646" s="10">
        <v>2</v>
      </c>
      <c r="F646" s="12">
        <v>0</v>
      </c>
      <c r="G646" s="12">
        <v>0</v>
      </c>
      <c r="H646" s="10">
        <f t="shared" si="240"/>
        <v>0</v>
      </c>
      <c r="I646" s="39"/>
      <c r="J646" s="19" cm="1">
        <f t="array" ref="J646">IFERROR(IF(_xlfn.XLOOKUP(L646,NC導入施設!B:B,NC導入施設!E:E)=0,_xlfn.IFS(H646&lt;=5,0,H646&lt;=10,1,H646&lt;=15,2,H646&gt;=16,3),"Null"),"-")</f>
        <v>0</v>
      </c>
      <c r="K646" s="62"/>
      <c r="L646" s="1">
        <v>2415531100</v>
      </c>
    </row>
    <row r="647" spans="1:12" ht="18" customHeight="1" x14ac:dyDescent="0.45">
      <c r="A647" s="13">
        <v>641</v>
      </c>
      <c r="B647" s="40" t="s">
        <v>48</v>
      </c>
      <c r="C647" s="40" t="s">
        <v>258</v>
      </c>
      <c r="D647" s="14" t="s">
        <v>3</v>
      </c>
      <c r="E647" s="15">
        <v>1</v>
      </c>
      <c r="F647" s="17">
        <v>3</v>
      </c>
      <c r="G647" s="17">
        <v>3</v>
      </c>
      <c r="H647" s="15">
        <f t="shared" si="240"/>
        <v>3</v>
      </c>
      <c r="I647" s="43" cm="1">
        <f t="array" ref="I647">IF(J647="-","-",_xlfn.IFS(K647&lt;=5,0,K647&lt;=10,1,K647&lt;=15,2,K647&gt;=16,3))</f>
        <v>3</v>
      </c>
      <c r="J647" s="19" cm="1">
        <f t="array" ref="J647">IFERROR(IF(_xlfn.XLOOKUP(L647,NC導入施設!B:B,NC導入施設!E:E)=0,_xlfn.IFS(H647&lt;=5,0,H647&lt;=10,1,H647&lt;=15,2,H647&gt;=16,3),"Null"),"-")</f>
        <v>0</v>
      </c>
      <c r="K647" s="60">
        <f t="shared" ref="K647" si="265">IFERROR(SUM(H647:H651),"-")</f>
        <v>20</v>
      </c>
      <c r="L647" s="1">
        <v>2415551100</v>
      </c>
    </row>
    <row r="648" spans="1:12" ht="18" customHeight="1" x14ac:dyDescent="0.45">
      <c r="A648" s="13">
        <v>642</v>
      </c>
      <c r="B648" s="41" t="str">
        <f t="shared" ref="B648:C651" si="266">B647</f>
        <v>神奈川静岡本部</v>
      </c>
      <c r="C648" s="41" t="str">
        <f t="shared" si="266"/>
        <v>ラヴィーレ衣笠山公園</v>
      </c>
      <c r="D648" s="14" t="s">
        <v>4</v>
      </c>
      <c r="E648" s="15">
        <v>1</v>
      </c>
      <c r="F648" s="17">
        <v>4</v>
      </c>
      <c r="G648" s="17">
        <v>4</v>
      </c>
      <c r="H648" s="15">
        <f t="shared" ref="H648:H711" si="267">F648</f>
        <v>4</v>
      </c>
      <c r="I648" s="44"/>
      <c r="J648" s="19" cm="1">
        <f t="array" ref="J648">IFERROR(IF(_xlfn.XLOOKUP(L648,NC導入施設!B:B,NC導入施設!E:E)=0,_xlfn.IFS(H648&lt;=5,0,H648&lt;=10,1,H648&lt;=15,2,H648&gt;=16,3),"Null"),"-")</f>
        <v>0</v>
      </c>
      <c r="K648" s="61"/>
      <c r="L648" s="1">
        <v>2415551100</v>
      </c>
    </row>
    <row r="649" spans="1:12" ht="18" customHeight="1" x14ac:dyDescent="0.45">
      <c r="A649" s="13">
        <v>643</v>
      </c>
      <c r="B649" s="41" t="str">
        <f t="shared" si="266"/>
        <v>神奈川静岡本部</v>
      </c>
      <c r="C649" s="41" t="str">
        <f t="shared" si="266"/>
        <v>ラヴィーレ衣笠山公園</v>
      </c>
      <c r="D649" s="14" t="s">
        <v>5</v>
      </c>
      <c r="E649" s="15">
        <v>4</v>
      </c>
      <c r="F649" s="17">
        <v>13</v>
      </c>
      <c r="G649" s="17">
        <v>3.3</v>
      </c>
      <c r="H649" s="15">
        <f t="shared" si="267"/>
        <v>13</v>
      </c>
      <c r="I649" s="44"/>
      <c r="J649" s="19" cm="1">
        <f t="array" ref="J649">IFERROR(IF(_xlfn.XLOOKUP(L649,NC導入施設!B:B,NC導入施設!E:E)=0,_xlfn.IFS(H649&lt;=5,0,H649&lt;=10,1,H649&lt;=15,2,H649&gt;=16,3),"Null"),"-")</f>
        <v>2</v>
      </c>
      <c r="K649" s="61"/>
      <c r="L649" s="1">
        <v>2415551100</v>
      </c>
    </row>
    <row r="650" spans="1:12" ht="18" customHeight="1" x14ac:dyDescent="0.45">
      <c r="A650" s="13">
        <v>644</v>
      </c>
      <c r="B650" s="41" t="str">
        <f t="shared" si="266"/>
        <v>神奈川静岡本部</v>
      </c>
      <c r="C650" s="41" t="str">
        <f t="shared" si="266"/>
        <v>ラヴィーレ衣笠山公園</v>
      </c>
      <c r="D650" s="14" t="s">
        <v>6</v>
      </c>
      <c r="E650" s="15">
        <v>4</v>
      </c>
      <c r="F650" s="17">
        <v>0</v>
      </c>
      <c r="G650" s="17">
        <v>0</v>
      </c>
      <c r="H650" s="15">
        <f t="shared" si="267"/>
        <v>0</v>
      </c>
      <c r="I650" s="44"/>
      <c r="J650" s="19" cm="1">
        <f t="array" ref="J650">IFERROR(IF(_xlfn.XLOOKUP(L650,NC導入施設!B:B,NC導入施設!E:E)=0,_xlfn.IFS(H650&lt;=5,0,H650&lt;=10,1,H650&lt;=15,2,H650&gt;=16,3),"Null"),"-")</f>
        <v>0</v>
      </c>
      <c r="K650" s="61"/>
      <c r="L650" s="1">
        <v>2415551100</v>
      </c>
    </row>
    <row r="651" spans="1:12" ht="18" customHeight="1" x14ac:dyDescent="0.45">
      <c r="A651" s="13">
        <v>645</v>
      </c>
      <c r="B651" s="42" t="str">
        <f t="shared" si="266"/>
        <v>神奈川静岡本部</v>
      </c>
      <c r="C651" s="42" t="str">
        <f t="shared" si="266"/>
        <v>ラヴィーレ衣笠山公園</v>
      </c>
      <c r="D651" s="14" t="s">
        <v>2</v>
      </c>
      <c r="E651" s="15">
        <v>3</v>
      </c>
      <c r="F651" s="17">
        <v>0</v>
      </c>
      <c r="G651" s="17">
        <v>0</v>
      </c>
      <c r="H651" s="15">
        <f t="shared" si="267"/>
        <v>0</v>
      </c>
      <c r="I651" s="45"/>
      <c r="J651" s="19" cm="1">
        <f t="array" ref="J651">IFERROR(IF(_xlfn.XLOOKUP(L651,NC導入施設!B:B,NC導入施設!E:E)=0,_xlfn.IFS(H651&lt;=5,0,H651&lt;=10,1,H651&lt;=15,2,H651&gt;=16,3),"Null"),"-")</f>
        <v>0</v>
      </c>
      <c r="K651" s="62"/>
      <c r="L651" s="1">
        <v>2415551100</v>
      </c>
    </row>
    <row r="652" spans="1:12" ht="18" customHeight="1" x14ac:dyDescent="0.45">
      <c r="A652" s="8">
        <v>646</v>
      </c>
      <c r="B652" s="34" t="s">
        <v>48</v>
      </c>
      <c r="C652" s="34" t="s">
        <v>66</v>
      </c>
      <c r="D652" s="9" t="s">
        <v>3</v>
      </c>
      <c r="E652" s="10">
        <v>1</v>
      </c>
      <c r="F652" s="12">
        <v>42</v>
      </c>
      <c r="G652" s="12">
        <v>42</v>
      </c>
      <c r="H652" s="10">
        <f t="shared" si="267"/>
        <v>42</v>
      </c>
      <c r="I652" s="37" cm="1">
        <f t="array" ref="I652">IF(J652="-","-",_xlfn.IFS(K652&lt;=5,0,K652&lt;=10,1,K652&lt;=15,2,K652&gt;=16,3))</f>
        <v>3</v>
      </c>
      <c r="J652" s="19" cm="1">
        <f t="array" ref="J652">IFERROR(IF(_xlfn.XLOOKUP(L652,NC導入施設!B:B,NC導入施設!E:E)=0,_xlfn.IFS(H652&lt;=5,0,H652&lt;=10,1,H652&lt;=15,2,H652&gt;=16,3),"Null"),"-")</f>
        <v>3</v>
      </c>
      <c r="K652" s="60">
        <f t="shared" ref="K652" si="268">IFERROR(SUM(H652:H656),"-")</f>
        <v>133</v>
      </c>
      <c r="L652" s="1">
        <v>2415571200</v>
      </c>
    </row>
    <row r="653" spans="1:12" ht="18" customHeight="1" x14ac:dyDescent="0.45">
      <c r="A653" s="8">
        <v>647</v>
      </c>
      <c r="B653" s="35" t="str">
        <f t="shared" ref="B653:C656" si="269">B652</f>
        <v>神奈川静岡本部</v>
      </c>
      <c r="C653" s="35" t="str">
        <f t="shared" si="269"/>
        <v>そんぽの家　三浦</v>
      </c>
      <c r="D653" s="9" t="s">
        <v>4</v>
      </c>
      <c r="E653" s="10">
        <v>2</v>
      </c>
      <c r="F653" s="12">
        <v>34</v>
      </c>
      <c r="G653" s="12">
        <v>17</v>
      </c>
      <c r="H653" s="10">
        <f t="shared" si="267"/>
        <v>34</v>
      </c>
      <c r="I653" s="38"/>
      <c r="J653" s="19" cm="1">
        <f t="array" ref="J653">IFERROR(IF(_xlfn.XLOOKUP(L653,NC導入施設!B:B,NC導入施設!E:E)=0,_xlfn.IFS(H653&lt;=5,0,H653&lt;=10,1,H653&lt;=15,2,H653&gt;=16,3),"Null"),"-")</f>
        <v>3</v>
      </c>
      <c r="K653" s="61"/>
      <c r="L653" s="1">
        <v>2415571200</v>
      </c>
    </row>
    <row r="654" spans="1:12" ht="18" customHeight="1" x14ac:dyDescent="0.45">
      <c r="A654" s="8">
        <v>648</v>
      </c>
      <c r="B654" s="35" t="str">
        <f t="shared" si="269"/>
        <v>神奈川静岡本部</v>
      </c>
      <c r="C654" s="35" t="str">
        <f t="shared" si="269"/>
        <v>そんぽの家　三浦</v>
      </c>
      <c r="D654" s="9" t="s">
        <v>5</v>
      </c>
      <c r="E654" s="10">
        <v>1</v>
      </c>
      <c r="F654" s="12">
        <v>0</v>
      </c>
      <c r="G654" s="12">
        <v>0</v>
      </c>
      <c r="H654" s="10">
        <f t="shared" si="267"/>
        <v>0</v>
      </c>
      <c r="I654" s="38"/>
      <c r="J654" s="19" cm="1">
        <f t="array" ref="J654">IFERROR(IF(_xlfn.XLOOKUP(L654,NC導入施設!B:B,NC導入施設!E:E)=0,_xlfn.IFS(H654&lt;=5,0,H654&lt;=10,1,H654&lt;=15,2,H654&gt;=16,3),"Null"),"-")</f>
        <v>0</v>
      </c>
      <c r="K654" s="61"/>
      <c r="L654" s="1">
        <v>2415571200</v>
      </c>
    </row>
    <row r="655" spans="1:12" ht="18" customHeight="1" x14ac:dyDescent="0.45">
      <c r="A655" s="8">
        <v>649</v>
      </c>
      <c r="B655" s="35" t="str">
        <f t="shared" si="269"/>
        <v>神奈川静岡本部</v>
      </c>
      <c r="C655" s="35" t="str">
        <f t="shared" si="269"/>
        <v>そんぽの家　三浦</v>
      </c>
      <c r="D655" s="9" t="s">
        <v>6</v>
      </c>
      <c r="E655" s="10">
        <v>3</v>
      </c>
      <c r="F655" s="12">
        <v>33</v>
      </c>
      <c r="G655" s="12">
        <v>11</v>
      </c>
      <c r="H655" s="10">
        <f t="shared" si="267"/>
        <v>33</v>
      </c>
      <c r="I655" s="38"/>
      <c r="J655" s="19" cm="1">
        <f t="array" ref="J655">IFERROR(IF(_xlfn.XLOOKUP(L655,NC導入施設!B:B,NC導入施設!E:E)=0,_xlfn.IFS(H655&lt;=5,0,H655&lt;=10,1,H655&lt;=15,2,H655&gt;=16,3),"Null"),"-")</f>
        <v>3</v>
      </c>
      <c r="K655" s="61"/>
      <c r="L655" s="1">
        <v>2415571200</v>
      </c>
    </row>
    <row r="656" spans="1:12" ht="18" customHeight="1" x14ac:dyDescent="0.45">
      <c r="A656" s="8">
        <v>650</v>
      </c>
      <c r="B656" s="36" t="str">
        <f t="shared" si="269"/>
        <v>神奈川静岡本部</v>
      </c>
      <c r="C656" s="36" t="str">
        <f t="shared" si="269"/>
        <v>そんぽの家　三浦</v>
      </c>
      <c r="D656" s="9" t="s">
        <v>2</v>
      </c>
      <c r="E656" s="10">
        <v>1</v>
      </c>
      <c r="F656" s="12">
        <v>24</v>
      </c>
      <c r="G656" s="12">
        <v>24</v>
      </c>
      <c r="H656" s="10">
        <f t="shared" si="267"/>
        <v>24</v>
      </c>
      <c r="I656" s="39"/>
      <c r="J656" s="19" cm="1">
        <f t="array" ref="J656">IFERROR(IF(_xlfn.XLOOKUP(L656,NC導入施設!B:B,NC導入施設!E:E)=0,_xlfn.IFS(H656&lt;=5,0,H656&lt;=10,1,H656&lt;=15,2,H656&gt;=16,3),"Null"),"-")</f>
        <v>3</v>
      </c>
      <c r="K656" s="62"/>
      <c r="L656" s="1">
        <v>2415571200</v>
      </c>
    </row>
    <row r="657" spans="1:12" ht="18" customHeight="1" x14ac:dyDescent="0.45">
      <c r="A657" s="13">
        <v>651</v>
      </c>
      <c r="B657" s="40" t="s">
        <v>48</v>
      </c>
      <c r="C657" s="40" t="s">
        <v>259</v>
      </c>
      <c r="D657" s="14" t="s">
        <v>3</v>
      </c>
      <c r="E657" s="15">
        <v>1</v>
      </c>
      <c r="F657" s="17">
        <v>18</v>
      </c>
      <c r="G657" s="17">
        <v>18</v>
      </c>
      <c r="H657" s="15">
        <f t="shared" si="267"/>
        <v>18</v>
      </c>
      <c r="I657" s="43" cm="1">
        <f t="array" ref="I657">IF(J657="-","-",_xlfn.IFS(K657&lt;=5,0,K657&lt;=10,1,K657&lt;=15,2,K657&gt;=16,3))</f>
        <v>3</v>
      </c>
      <c r="J657" s="19" cm="1">
        <f t="array" ref="J657">IFERROR(IF(_xlfn.XLOOKUP(L657,NC導入施設!B:B,NC導入施設!E:E)=0,_xlfn.IFS(H657&lt;=5,0,H657&lt;=10,1,H657&lt;=15,2,H657&gt;=16,3),"Null"),"-")</f>
        <v>3</v>
      </c>
      <c r="K657" s="60">
        <f t="shared" ref="K657" si="270">IFERROR(SUM(H657:H661),"-")</f>
        <v>30</v>
      </c>
      <c r="L657" s="1">
        <v>2415581100</v>
      </c>
    </row>
    <row r="658" spans="1:12" ht="18" customHeight="1" x14ac:dyDescent="0.45">
      <c r="A658" s="13">
        <v>652</v>
      </c>
      <c r="B658" s="41" t="str">
        <f t="shared" ref="B658:C661" si="271">B657</f>
        <v>神奈川静岡本部</v>
      </c>
      <c r="C658" s="41" t="str">
        <f t="shared" si="271"/>
        <v>ラヴィーレ久里浜</v>
      </c>
      <c r="D658" s="14" t="s">
        <v>4</v>
      </c>
      <c r="E658" s="15">
        <v>1</v>
      </c>
      <c r="F658" s="17">
        <v>0</v>
      </c>
      <c r="G658" s="17">
        <v>0</v>
      </c>
      <c r="H658" s="15">
        <f t="shared" si="267"/>
        <v>0</v>
      </c>
      <c r="I658" s="44"/>
      <c r="J658" s="19" cm="1">
        <f t="array" ref="J658">IFERROR(IF(_xlfn.XLOOKUP(L658,NC導入施設!B:B,NC導入施設!E:E)=0,_xlfn.IFS(H658&lt;=5,0,H658&lt;=10,1,H658&lt;=15,2,H658&gt;=16,3),"Null"),"-")</f>
        <v>0</v>
      </c>
      <c r="K658" s="61"/>
      <c r="L658" s="1">
        <v>2415581100</v>
      </c>
    </row>
    <row r="659" spans="1:12" ht="18" customHeight="1" x14ac:dyDescent="0.45">
      <c r="A659" s="13">
        <v>653</v>
      </c>
      <c r="B659" s="41" t="str">
        <f t="shared" si="271"/>
        <v>神奈川静岡本部</v>
      </c>
      <c r="C659" s="41" t="str">
        <f t="shared" si="271"/>
        <v>ラヴィーレ久里浜</v>
      </c>
      <c r="D659" s="14" t="s">
        <v>5</v>
      </c>
      <c r="E659" s="15">
        <v>2</v>
      </c>
      <c r="F659" s="17">
        <v>0</v>
      </c>
      <c r="G659" s="17">
        <v>0</v>
      </c>
      <c r="H659" s="15">
        <f t="shared" si="267"/>
        <v>0</v>
      </c>
      <c r="I659" s="44"/>
      <c r="J659" s="19" cm="1">
        <f t="array" ref="J659">IFERROR(IF(_xlfn.XLOOKUP(L659,NC導入施設!B:B,NC導入施設!E:E)=0,_xlfn.IFS(H659&lt;=5,0,H659&lt;=10,1,H659&lt;=15,2,H659&gt;=16,3),"Null"),"-")</f>
        <v>0</v>
      </c>
      <c r="K659" s="61"/>
      <c r="L659" s="1">
        <v>2415581100</v>
      </c>
    </row>
    <row r="660" spans="1:12" ht="18" customHeight="1" x14ac:dyDescent="0.45">
      <c r="A660" s="13">
        <v>654</v>
      </c>
      <c r="B660" s="41" t="str">
        <f t="shared" si="271"/>
        <v>神奈川静岡本部</v>
      </c>
      <c r="C660" s="41" t="str">
        <f t="shared" si="271"/>
        <v>ラヴィーレ久里浜</v>
      </c>
      <c r="D660" s="14" t="s">
        <v>6</v>
      </c>
      <c r="E660" s="15">
        <v>3</v>
      </c>
      <c r="F660" s="17">
        <v>0</v>
      </c>
      <c r="G660" s="17">
        <v>0</v>
      </c>
      <c r="H660" s="15">
        <f t="shared" si="267"/>
        <v>0</v>
      </c>
      <c r="I660" s="44"/>
      <c r="J660" s="19" cm="1">
        <f t="array" ref="J660">IFERROR(IF(_xlfn.XLOOKUP(L660,NC導入施設!B:B,NC導入施設!E:E)=0,_xlfn.IFS(H660&lt;=5,0,H660&lt;=10,1,H660&lt;=15,2,H660&gt;=16,3),"Null"),"-")</f>
        <v>0</v>
      </c>
      <c r="K660" s="61"/>
      <c r="L660" s="1">
        <v>2415581100</v>
      </c>
    </row>
    <row r="661" spans="1:12" ht="18" customHeight="1" x14ac:dyDescent="0.45">
      <c r="A661" s="13">
        <v>655</v>
      </c>
      <c r="B661" s="42" t="str">
        <f t="shared" si="271"/>
        <v>神奈川静岡本部</v>
      </c>
      <c r="C661" s="42" t="str">
        <f t="shared" si="271"/>
        <v>ラヴィーレ久里浜</v>
      </c>
      <c r="D661" s="14" t="s">
        <v>2</v>
      </c>
      <c r="E661" s="15">
        <v>2</v>
      </c>
      <c r="F661" s="17">
        <v>12</v>
      </c>
      <c r="G661" s="17">
        <v>6</v>
      </c>
      <c r="H661" s="15">
        <f t="shared" si="267"/>
        <v>12</v>
      </c>
      <c r="I661" s="45"/>
      <c r="J661" s="19" cm="1">
        <f t="array" ref="J661">IFERROR(IF(_xlfn.XLOOKUP(L661,NC導入施設!B:B,NC導入施設!E:E)=0,_xlfn.IFS(H661&lt;=5,0,H661&lt;=10,1,H661&lt;=15,2,H661&gt;=16,3),"Null"),"-")</f>
        <v>2</v>
      </c>
      <c r="K661" s="62"/>
      <c r="L661" s="1">
        <v>2415581100</v>
      </c>
    </row>
    <row r="662" spans="1:12" ht="18" customHeight="1" x14ac:dyDescent="0.45">
      <c r="A662" s="8">
        <v>656</v>
      </c>
      <c r="B662" s="34" t="s">
        <v>48</v>
      </c>
      <c r="C662" s="34" t="s">
        <v>260</v>
      </c>
      <c r="D662" s="9" t="s">
        <v>3</v>
      </c>
      <c r="E662" s="10">
        <v>1</v>
      </c>
      <c r="F662" s="12">
        <v>17</v>
      </c>
      <c r="G662" s="12">
        <v>17</v>
      </c>
      <c r="H662" s="10">
        <f t="shared" si="267"/>
        <v>17</v>
      </c>
      <c r="I662" s="37" cm="1">
        <f t="array" ref="I662">IF(J662="-","-",_xlfn.IFS(K662&lt;=5,0,K662&lt;=10,1,K662&lt;=15,2,K662&gt;=16,3))</f>
        <v>3</v>
      </c>
      <c r="J662" s="19" cm="1">
        <f t="array" ref="J662">IFERROR(IF(_xlfn.XLOOKUP(L662,NC導入施設!B:B,NC導入施設!E:E)=0,_xlfn.IFS(H662&lt;=5,0,H662&lt;=10,1,H662&lt;=15,2,H662&gt;=16,3),"Null"),"-")</f>
        <v>3</v>
      </c>
      <c r="K662" s="60">
        <f t="shared" ref="K662" si="272">IFERROR(SUM(H662:H666),"-")</f>
        <v>23</v>
      </c>
      <c r="L662" s="1">
        <v>2415591100</v>
      </c>
    </row>
    <row r="663" spans="1:12" ht="18" customHeight="1" x14ac:dyDescent="0.45">
      <c r="A663" s="8">
        <v>657</v>
      </c>
      <c r="B663" s="35" t="str">
        <f t="shared" ref="B663:C666" si="273">B662</f>
        <v>神奈川静岡本部</v>
      </c>
      <c r="C663" s="35" t="str">
        <f t="shared" si="273"/>
        <v>ラヴィーレ葉山</v>
      </c>
      <c r="D663" s="9" t="s">
        <v>4</v>
      </c>
      <c r="E663" s="10">
        <v>2</v>
      </c>
      <c r="F663" s="12">
        <v>3</v>
      </c>
      <c r="G663" s="12">
        <v>1.5</v>
      </c>
      <c r="H663" s="10">
        <f t="shared" si="267"/>
        <v>3</v>
      </c>
      <c r="I663" s="38"/>
      <c r="J663" s="19" cm="1">
        <f t="array" ref="J663">IFERROR(IF(_xlfn.XLOOKUP(L663,NC導入施設!B:B,NC導入施設!E:E)=0,_xlfn.IFS(H663&lt;=5,0,H663&lt;=10,1,H663&lt;=15,2,H663&gt;=16,3),"Null"),"-")</f>
        <v>0</v>
      </c>
      <c r="K663" s="61"/>
      <c r="L663" s="1">
        <v>2415591100</v>
      </c>
    </row>
    <row r="664" spans="1:12" ht="18" customHeight="1" x14ac:dyDescent="0.45">
      <c r="A664" s="8">
        <v>658</v>
      </c>
      <c r="B664" s="35" t="str">
        <f t="shared" si="273"/>
        <v>神奈川静岡本部</v>
      </c>
      <c r="C664" s="35" t="str">
        <f t="shared" si="273"/>
        <v>ラヴィーレ葉山</v>
      </c>
      <c r="D664" s="9" t="s">
        <v>5</v>
      </c>
      <c r="E664" s="10">
        <v>3</v>
      </c>
      <c r="F664" s="12">
        <v>3</v>
      </c>
      <c r="G664" s="12">
        <v>1</v>
      </c>
      <c r="H664" s="10">
        <f t="shared" si="267"/>
        <v>3</v>
      </c>
      <c r="I664" s="38"/>
      <c r="J664" s="19" cm="1">
        <f t="array" ref="J664">IFERROR(IF(_xlfn.XLOOKUP(L664,NC導入施設!B:B,NC導入施設!E:E)=0,_xlfn.IFS(H664&lt;=5,0,H664&lt;=10,1,H664&lt;=15,2,H664&gt;=16,3),"Null"),"-")</f>
        <v>0</v>
      </c>
      <c r="K664" s="61"/>
      <c r="L664" s="1">
        <v>2415591100</v>
      </c>
    </row>
    <row r="665" spans="1:12" ht="18" customHeight="1" x14ac:dyDescent="0.45">
      <c r="A665" s="8">
        <v>659</v>
      </c>
      <c r="B665" s="35" t="str">
        <f t="shared" si="273"/>
        <v>神奈川静岡本部</v>
      </c>
      <c r="C665" s="35" t="str">
        <f t="shared" si="273"/>
        <v>ラヴィーレ葉山</v>
      </c>
      <c r="D665" s="9" t="s">
        <v>6</v>
      </c>
      <c r="E665" s="10">
        <v>6</v>
      </c>
      <c r="F665" s="12">
        <v>0</v>
      </c>
      <c r="G665" s="12">
        <v>0</v>
      </c>
      <c r="H665" s="10">
        <f t="shared" si="267"/>
        <v>0</v>
      </c>
      <c r="I665" s="38"/>
      <c r="J665" s="19" cm="1">
        <f t="array" ref="J665">IFERROR(IF(_xlfn.XLOOKUP(L665,NC導入施設!B:B,NC導入施設!E:E)=0,_xlfn.IFS(H665&lt;=5,0,H665&lt;=10,1,H665&lt;=15,2,H665&gt;=16,3),"Null"),"-")</f>
        <v>0</v>
      </c>
      <c r="K665" s="61"/>
      <c r="L665" s="1">
        <v>2415591100</v>
      </c>
    </row>
    <row r="666" spans="1:12" ht="18" customHeight="1" x14ac:dyDescent="0.45">
      <c r="A666" s="8">
        <v>660</v>
      </c>
      <c r="B666" s="36" t="str">
        <f t="shared" si="273"/>
        <v>神奈川静岡本部</v>
      </c>
      <c r="C666" s="36" t="str">
        <f t="shared" si="273"/>
        <v>ラヴィーレ葉山</v>
      </c>
      <c r="D666" s="9" t="s">
        <v>2</v>
      </c>
      <c r="E666" s="10">
        <v>2</v>
      </c>
      <c r="F666" s="12">
        <v>0</v>
      </c>
      <c r="G666" s="12">
        <v>0</v>
      </c>
      <c r="H666" s="10">
        <f t="shared" si="267"/>
        <v>0</v>
      </c>
      <c r="I666" s="39"/>
      <c r="J666" s="19" cm="1">
        <f t="array" ref="J666">IFERROR(IF(_xlfn.XLOOKUP(L666,NC導入施設!B:B,NC導入施設!E:E)=0,_xlfn.IFS(H666&lt;=5,0,H666&lt;=10,1,H666&lt;=15,2,H666&gt;=16,3),"Null"),"-")</f>
        <v>0</v>
      </c>
      <c r="K666" s="62"/>
      <c r="L666" s="1">
        <v>2415591100</v>
      </c>
    </row>
    <row r="667" spans="1:12" ht="18" customHeight="1" x14ac:dyDescent="0.45">
      <c r="A667" s="13">
        <v>661</v>
      </c>
      <c r="B667" s="40" t="s">
        <v>48</v>
      </c>
      <c r="C667" s="40" t="s">
        <v>261</v>
      </c>
      <c r="D667" s="14" t="s">
        <v>3</v>
      </c>
      <c r="E667" s="15">
        <v>1</v>
      </c>
      <c r="F667" s="17">
        <v>4</v>
      </c>
      <c r="G667" s="17">
        <v>4</v>
      </c>
      <c r="H667" s="15">
        <f t="shared" si="267"/>
        <v>4</v>
      </c>
      <c r="I667" s="43" cm="1">
        <f t="array" ref="I667">IF(J667="-","-",_xlfn.IFS(K667&lt;=5,0,K667&lt;=10,1,K667&lt;=15,2,K667&gt;=16,3))</f>
        <v>1</v>
      </c>
      <c r="J667" s="19" cm="1">
        <f t="array" ref="J667">IFERROR(IF(_xlfn.XLOOKUP(L667,NC導入施設!B:B,NC導入施設!E:E)=0,_xlfn.IFS(H667&lt;=5,0,H667&lt;=10,1,H667&lt;=15,2,H667&gt;=16,3),"Null"),"-")</f>
        <v>0</v>
      </c>
      <c r="K667" s="60">
        <f t="shared" ref="K667" si="274">IFERROR(SUM(H667:H671),"-")</f>
        <v>7</v>
      </c>
      <c r="L667" s="1">
        <v>2415601100</v>
      </c>
    </row>
    <row r="668" spans="1:12" ht="18" customHeight="1" x14ac:dyDescent="0.45">
      <c r="A668" s="13">
        <v>662</v>
      </c>
      <c r="B668" s="41" t="str">
        <f t="shared" ref="B668:C671" si="275">B667</f>
        <v>神奈川静岡本部</v>
      </c>
      <c r="C668" s="41" t="str">
        <f t="shared" si="275"/>
        <v>ラヴィーレ北鎌倉</v>
      </c>
      <c r="D668" s="14" t="s">
        <v>4</v>
      </c>
      <c r="E668" s="15">
        <v>2</v>
      </c>
      <c r="F668" s="17">
        <v>2</v>
      </c>
      <c r="G668" s="17">
        <v>1</v>
      </c>
      <c r="H668" s="15">
        <f t="shared" si="267"/>
        <v>2</v>
      </c>
      <c r="I668" s="44"/>
      <c r="J668" s="19" cm="1">
        <f t="array" ref="J668">IFERROR(IF(_xlfn.XLOOKUP(L668,NC導入施設!B:B,NC導入施設!E:E)=0,_xlfn.IFS(H668&lt;=5,0,H668&lt;=10,1,H668&lt;=15,2,H668&gt;=16,3),"Null"),"-")</f>
        <v>0</v>
      </c>
      <c r="K668" s="61"/>
      <c r="L668" s="1">
        <v>2415601100</v>
      </c>
    </row>
    <row r="669" spans="1:12" ht="18" customHeight="1" x14ac:dyDescent="0.45">
      <c r="A669" s="13">
        <v>663</v>
      </c>
      <c r="B669" s="41" t="str">
        <f t="shared" si="275"/>
        <v>神奈川静岡本部</v>
      </c>
      <c r="C669" s="41" t="str">
        <f t="shared" si="275"/>
        <v>ラヴィーレ北鎌倉</v>
      </c>
      <c r="D669" s="14" t="s">
        <v>5</v>
      </c>
      <c r="E669" s="15">
        <v>3</v>
      </c>
      <c r="F669" s="17">
        <v>1</v>
      </c>
      <c r="G669" s="17">
        <v>0.3</v>
      </c>
      <c r="H669" s="15">
        <f t="shared" si="267"/>
        <v>1</v>
      </c>
      <c r="I669" s="44"/>
      <c r="J669" s="19" cm="1">
        <f t="array" ref="J669">IFERROR(IF(_xlfn.XLOOKUP(L669,NC導入施設!B:B,NC導入施設!E:E)=0,_xlfn.IFS(H669&lt;=5,0,H669&lt;=10,1,H669&lt;=15,2,H669&gt;=16,3),"Null"),"-")</f>
        <v>0</v>
      </c>
      <c r="K669" s="61"/>
      <c r="L669" s="1">
        <v>2415601100</v>
      </c>
    </row>
    <row r="670" spans="1:12" ht="18" customHeight="1" x14ac:dyDescent="0.45">
      <c r="A670" s="13">
        <v>664</v>
      </c>
      <c r="B670" s="41" t="str">
        <f t="shared" si="275"/>
        <v>神奈川静岡本部</v>
      </c>
      <c r="C670" s="41" t="str">
        <f t="shared" si="275"/>
        <v>ラヴィーレ北鎌倉</v>
      </c>
      <c r="D670" s="14" t="s">
        <v>6</v>
      </c>
      <c r="E670" s="15">
        <v>4</v>
      </c>
      <c r="F670" s="17">
        <v>0</v>
      </c>
      <c r="G670" s="17">
        <v>0</v>
      </c>
      <c r="H670" s="15">
        <f t="shared" si="267"/>
        <v>0</v>
      </c>
      <c r="I670" s="44"/>
      <c r="J670" s="19" cm="1">
        <f t="array" ref="J670">IFERROR(IF(_xlfn.XLOOKUP(L670,NC導入施設!B:B,NC導入施設!E:E)=0,_xlfn.IFS(H670&lt;=5,0,H670&lt;=10,1,H670&lt;=15,2,H670&gt;=16,3),"Null"),"-")</f>
        <v>0</v>
      </c>
      <c r="K670" s="61"/>
      <c r="L670" s="1">
        <v>2415601100</v>
      </c>
    </row>
    <row r="671" spans="1:12" ht="18" customHeight="1" x14ac:dyDescent="0.45">
      <c r="A671" s="13">
        <v>665</v>
      </c>
      <c r="B671" s="42" t="str">
        <f t="shared" si="275"/>
        <v>神奈川静岡本部</v>
      </c>
      <c r="C671" s="42" t="str">
        <f t="shared" si="275"/>
        <v>ラヴィーレ北鎌倉</v>
      </c>
      <c r="D671" s="14" t="s">
        <v>2</v>
      </c>
      <c r="E671" s="15">
        <v>0</v>
      </c>
      <c r="F671" s="17">
        <v>0</v>
      </c>
      <c r="G671" s="17">
        <v>0</v>
      </c>
      <c r="H671" s="15">
        <f t="shared" si="267"/>
        <v>0</v>
      </c>
      <c r="I671" s="45"/>
      <c r="J671" s="19" cm="1">
        <f t="array" ref="J671">IFERROR(IF(_xlfn.XLOOKUP(L671,NC導入施設!B:B,NC導入施設!E:E)=0,_xlfn.IFS(H671&lt;=5,0,H671&lt;=10,1,H671&lt;=15,2,H671&gt;=16,3),"Null"),"-")</f>
        <v>0</v>
      </c>
      <c r="K671" s="62"/>
      <c r="L671" s="1">
        <v>2415601100</v>
      </c>
    </row>
    <row r="672" spans="1:12" ht="18" customHeight="1" x14ac:dyDescent="0.45">
      <c r="A672" s="8">
        <v>666</v>
      </c>
      <c r="B672" s="34" t="s">
        <v>48</v>
      </c>
      <c r="C672" s="34" t="s">
        <v>262</v>
      </c>
      <c r="D672" s="9" t="s">
        <v>3</v>
      </c>
      <c r="E672" s="10">
        <v>1</v>
      </c>
      <c r="F672" s="12">
        <v>17</v>
      </c>
      <c r="G672" s="12">
        <v>17</v>
      </c>
      <c r="H672" s="10">
        <f t="shared" si="267"/>
        <v>17</v>
      </c>
      <c r="I672" s="37" cm="1">
        <f t="array" ref="I672">IF(J672="-","-",_xlfn.IFS(K672&lt;=5,0,K672&lt;=10,1,K672&lt;=15,2,K672&gt;=16,3))</f>
        <v>3</v>
      </c>
      <c r="J672" s="19" cm="1">
        <f t="array" ref="J672">IFERROR(IF(_xlfn.XLOOKUP(L672,NC導入施設!B:B,NC導入施設!E:E)=0,_xlfn.IFS(H672&lt;=5,0,H672&lt;=10,1,H672&lt;=15,2,H672&gt;=16,3),"Null"),"-")</f>
        <v>3</v>
      </c>
      <c r="K672" s="60">
        <f t="shared" ref="K672" si="276">IFERROR(SUM(H672:H676),"-")</f>
        <v>51</v>
      </c>
      <c r="L672" s="1">
        <v>2415611100</v>
      </c>
    </row>
    <row r="673" spans="1:12" ht="18" customHeight="1" x14ac:dyDescent="0.45">
      <c r="A673" s="8">
        <v>667</v>
      </c>
      <c r="B673" s="35" t="str">
        <f t="shared" ref="B673:C676" si="277">B672</f>
        <v>神奈川静岡本部</v>
      </c>
      <c r="C673" s="35" t="str">
        <f t="shared" si="277"/>
        <v>ラヴィーレ鎌倉常盤</v>
      </c>
      <c r="D673" s="9" t="s">
        <v>4</v>
      </c>
      <c r="E673" s="10">
        <v>2</v>
      </c>
      <c r="F673" s="12">
        <v>27</v>
      </c>
      <c r="G673" s="12">
        <v>13.5</v>
      </c>
      <c r="H673" s="10">
        <f t="shared" si="267"/>
        <v>27</v>
      </c>
      <c r="I673" s="38"/>
      <c r="J673" s="19" cm="1">
        <f t="array" ref="J673">IFERROR(IF(_xlfn.XLOOKUP(L673,NC導入施設!B:B,NC導入施設!E:E)=0,_xlfn.IFS(H673&lt;=5,0,H673&lt;=10,1,H673&lt;=15,2,H673&gt;=16,3),"Null"),"-")</f>
        <v>3</v>
      </c>
      <c r="K673" s="61"/>
      <c r="L673" s="1">
        <v>2415611100</v>
      </c>
    </row>
    <row r="674" spans="1:12" ht="18" customHeight="1" x14ac:dyDescent="0.45">
      <c r="A674" s="8">
        <v>668</v>
      </c>
      <c r="B674" s="35" t="str">
        <f t="shared" si="277"/>
        <v>神奈川静岡本部</v>
      </c>
      <c r="C674" s="35" t="str">
        <f t="shared" si="277"/>
        <v>ラヴィーレ鎌倉常盤</v>
      </c>
      <c r="D674" s="9" t="s">
        <v>5</v>
      </c>
      <c r="E674" s="10">
        <v>3</v>
      </c>
      <c r="F674" s="12">
        <v>4</v>
      </c>
      <c r="G674" s="12">
        <v>1.3</v>
      </c>
      <c r="H674" s="10">
        <f t="shared" si="267"/>
        <v>4</v>
      </c>
      <c r="I674" s="38"/>
      <c r="J674" s="19" cm="1">
        <f t="array" ref="J674">IFERROR(IF(_xlfn.XLOOKUP(L674,NC導入施設!B:B,NC導入施設!E:E)=0,_xlfn.IFS(H674&lt;=5,0,H674&lt;=10,1,H674&lt;=15,2,H674&gt;=16,3),"Null"),"-")</f>
        <v>0</v>
      </c>
      <c r="K674" s="61"/>
      <c r="L674" s="1">
        <v>2415611100</v>
      </c>
    </row>
    <row r="675" spans="1:12" ht="18" customHeight="1" x14ac:dyDescent="0.45">
      <c r="A675" s="8">
        <v>669</v>
      </c>
      <c r="B675" s="35" t="str">
        <f t="shared" si="277"/>
        <v>神奈川静岡本部</v>
      </c>
      <c r="C675" s="35" t="str">
        <f t="shared" si="277"/>
        <v>ラヴィーレ鎌倉常盤</v>
      </c>
      <c r="D675" s="9" t="s">
        <v>6</v>
      </c>
      <c r="E675" s="10">
        <v>6</v>
      </c>
      <c r="F675" s="12">
        <v>2</v>
      </c>
      <c r="G675" s="12">
        <v>0.3</v>
      </c>
      <c r="H675" s="10">
        <f t="shared" si="267"/>
        <v>2</v>
      </c>
      <c r="I675" s="38"/>
      <c r="J675" s="19" cm="1">
        <f t="array" ref="J675">IFERROR(IF(_xlfn.XLOOKUP(L675,NC導入施設!B:B,NC導入施設!E:E)=0,_xlfn.IFS(H675&lt;=5,0,H675&lt;=10,1,H675&lt;=15,2,H675&gt;=16,3),"Null"),"-")</f>
        <v>0</v>
      </c>
      <c r="K675" s="61"/>
      <c r="L675" s="1">
        <v>2415611100</v>
      </c>
    </row>
    <row r="676" spans="1:12" ht="18" customHeight="1" x14ac:dyDescent="0.45">
      <c r="A676" s="8">
        <v>670</v>
      </c>
      <c r="B676" s="36" t="str">
        <f t="shared" si="277"/>
        <v>神奈川静岡本部</v>
      </c>
      <c r="C676" s="36" t="str">
        <f t="shared" si="277"/>
        <v>ラヴィーレ鎌倉常盤</v>
      </c>
      <c r="D676" s="9" t="s">
        <v>2</v>
      </c>
      <c r="E676" s="10">
        <v>2</v>
      </c>
      <c r="F676" s="12">
        <v>1</v>
      </c>
      <c r="G676" s="12">
        <v>0.5</v>
      </c>
      <c r="H676" s="10">
        <f t="shared" si="267"/>
        <v>1</v>
      </c>
      <c r="I676" s="39"/>
      <c r="J676" s="19" cm="1">
        <f t="array" ref="J676">IFERROR(IF(_xlfn.XLOOKUP(L676,NC導入施設!B:B,NC導入施設!E:E)=0,_xlfn.IFS(H676&lt;=5,0,H676&lt;=10,1,H676&lt;=15,2,H676&gt;=16,3),"Null"),"-")</f>
        <v>0</v>
      </c>
      <c r="K676" s="62"/>
      <c r="L676" s="1">
        <v>2415611100</v>
      </c>
    </row>
    <row r="677" spans="1:12" ht="18" customHeight="1" x14ac:dyDescent="0.45">
      <c r="A677" s="13">
        <v>671</v>
      </c>
      <c r="B677" s="40" t="s">
        <v>48</v>
      </c>
      <c r="C677" s="40" t="s">
        <v>263</v>
      </c>
      <c r="D677" s="14" t="s">
        <v>3</v>
      </c>
      <c r="E677" s="15">
        <v>1</v>
      </c>
      <c r="F677" s="17">
        <v>2</v>
      </c>
      <c r="G677" s="17">
        <v>2</v>
      </c>
      <c r="H677" s="15">
        <f t="shared" si="267"/>
        <v>2</v>
      </c>
      <c r="I677" s="43" t="str" cm="1">
        <f t="array" ref="I677">IF(J677="-","-",_xlfn.IFS(K677&lt;=5,0,K677&lt;=10,1,K677&lt;=15,2,K677&gt;=16,3))</f>
        <v>-</v>
      </c>
      <c r="J677" s="19" t="str" cm="1">
        <f t="array" ref="J677">IFERROR(IF(_xlfn.XLOOKUP(L677,NC導入施設!B:B,NC導入施設!E:E)=0,_xlfn.IFS(H677&lt;=5,0,H677&lt;=10,1,H677&lt;=15,2,H677&gt;=16,3),"Null"),"-")</f>
        <v>-</v>
      </c>
      <c r="K677" s="60">
        <f t="shared" ref="K677" si="278">IFERROR(SUM(H677:H681),"-")</f>
        <v>8</v>
      </c>
      <c r="L677" s="1">
        <v>2415621100</v>
      </c>
    </row>
    <row r="678" spans="1:12" ht="18" customHeight="1" x14ac:dyDescent="0.45">
      <c r="A678" s="13">
        <v>672</v>
      </c>
      <c r="B678" s="41" t="str">
        <f t="shared" ref="B678:C681" si="279">B677</f>
        <v>神奈川静岡本部</v>
      </c>
      <c r="C678" s="41" t="str">
        <f t="shared" si="279"/>
        <v>ラヴィーレ東逗子</v>
      </c>
      <c r="D678" s="14" t="s">
        <v>4</v>
      </c>
      <c r="E678" s="15">
        <v>1</v>
      </c>
      <c r="F678" s="17">
        <v>1</v>
      </c>
      <c r="G678" s="17">
        <v>1</v>
      </c>
      <c r="H678" s="15">
        <f t="shared" si="267"/>
        <v>1</v>
      </c>
      <c r="I678" s="44"/>
      <c r="J678" s="19" t="str" cm="1">
        <f t="array" ref="J678">IFERROR(IF(_xlfn.XLOOKUP(L678,NC導入施設!B:B,NC導入施設!E:E)=0,_xlfn.IFS(H678&lt;=5,0,H678&lt;=10,1,H678&lt;=15,2,H678&gt;=16,3),"Null"),"-")</f>
        <v>-</v>
      </c>
      <c r="K678" s="61"/>
      <c r="L678" s="1">
        <v>2415621100</v>
      </c>
    </row>
    <row r="679" spans="1:12" ht="18" customHeight="1" x14ac:dyDescent="0.45">
      <c r="A679" s="13">
        <v>673</v>
      </c>
      <c r="B679" s="41" t="str">
        <f t="shared" si="279"/>
        <v>神奈川静岡本部</v>
      </c>
      <c r="C679" s="41" t="str">
        <f t="shared" si="279"/>
        <v>ラヴィーレ東逗子</v>
      </c>
      <c r="D679" s="14" t="s">
        <v>5</v>
      </c>
      <c r="E679" s="15">
        <v>1</v>
      </c>
      <c r="F679" s="17">
        <v>4</v>
      </c>
      <c r="G679" s="17">
        <v>4</v>
      </c>
      <c r="H679" s="15">
        <f t="shared" si="267"/>
        <v>4</v>
      </c>
      <c r="I679" s="44"/>
      <c r="J679" s="19" t="str" cm="1">
        <f t="array" ref="J679">IFERROR(IF(_xlfn.XLOOKUP(L679,NC導入施設!B:B,NC導入施設!E:E)=0,_xlfn.IFS(H679&lt;=5,0,H679&lt;=10,1,H679&lt;=15,2,H679&gt;=16,3),"Null"),"-")</f>
        <v>-</v>
      </c>
      <c r="K679" s="61"/>
      <c r="L679" s="1">
        <v>2415621100</v>
      </c>
    </row>
    <row r="680" spans="1:12" ht="18" customHeight="1" x14ac:dyDescent="0.45">
      <c r="A680" s="13">
        <v>674</v>
      </c>
      <c r="B680" s="41" t="str">
        <f t="shared" si="279"/>
        <v>神奈川静岡本部</v>
      </c>
      <c r="C680" s="41" t="str">
        <f t="shared" si="279"/>
        <v>ラヴィーレ東逗子</v>
      </c>
      <c r="D680" s="14" t="s">
        <v>6</v>
      </c>
      <c r="E680" s="15">
        <v>4</v>
      </c>
      <c r="F680" s="17">
        <v>0</v>
      </c>
      <c r="G680" s="17">
        <v>0</v>
      </c>
      <c r="H680" s="15">
        <f t="shared" si="267"/>
        <v>0</v>
      </c>
      <c r="I680" s="44"/>
      <c r="J680" s="19" t="str" cm="1">
        <f t="array" ref="J680">IFERROR(IF(_xlfn.XLOOKUP(L680,NC導入施設!B:B,NC導入施設!E:E)=0,_xlfn.IFS(H680&lt;=5,0,H680&lt;=10,1,H680&lt;=15,2,H680&gt;=16,3),"Null"),"-")</f>
        <v>-</v>
      </c>
      <c r="K680" s="61"/>
      <c r="L680" s="1">
        <v>2415621100</v>
      </c>
    </row>
    <row r="681" spans="1:12" ht="18" customHeight="1" x14ac:dyDescent="0.45">
      <c r="A681" s="13">
        <v>675</v>
      </c>
      <c r="B681" s="42" t="str">
        <f t="shared" si="279"/>
        <v>神奈川静岡本部</v>
      </c>
      <c r="C681" s="42" t="str">
        <f t="shared" si="279"/>
        <v>ラヴィーレ東逗子</v>
      </c>
      <c r="D681" s="14" t="s">
        <v>2</v>
      </c>
      <c r="E681" s="15">
        <v>2</v>
      </c>
      <c r="F681" s="17">
        <v>1</v>
      </c>
      <c r="G681" s="17">
        <v>0.5</v>
      </c>
      <c r="H681" s="15">
        <f t="shared" si="267"/>
        <v>1</v>
      </c>
      <c r="I681" s="45"/>
      <c r="J681" s="19" t="str" cm="1">
        <f t="array" ref="J681">IFERROR(IF(_xlfn.XLOOKUP(L681,NC導入施設!B:B,NC導入施設!E:E)=0,_xlfn.IFS(H681&lt;=5,0,H681&lt;=10,1,H681&lt;=15,2,H681&gt;=16,3),"Null"),"-")</f>
        <v>-</v>
      </c>
      <c r="K681" s="62"/>
      <c r="L681" s="1">
        <v>2415621100</v>
      </c>
    </row>
    <row r="682" spans="1:12" ht="18" customHeight="1" x14ac:dyDescent="0.45">
      <c r="A682" s="8">
        <v>676</v>
      </c>
      <c r="B682" s="34" t="s">
        <v>48</v>
      </c>
      <c r="C682" s="34" t="s">
        <v>264</v>
      </c>
      <c r="D682" s="9" t="s">
        <v>3</v>
      </c>
      <c r="E682" s="10">
        <v>1</v>
      </c>
      <c r="F682" s="12">
        <v>2</v>
      </c>
      <c r="G682" s="12">
        <v>2</v>
      </c>
      <c r="H682" s="10">
        <f t="shared" si="267"/>
        <v>2</v>
      </c>
      <c r="I682" s="37" cm="1">
        <f t="array" ref="I682">IF(J682="-","-",_xlfn.IFS(K682&lt;=5,0,K682&lt;=10,1,K682&lt;=15,2,K682&gt;=16,3))</f>
        <v>3</v>
      </c>
      <c r="J682" s="19" cm="1">
        <f t="array" ref="J682">IFERROR(IF(_xlfn.XLOOKUP(L682,NC導入施設!B:B,NC導入施設!E:E)=0,_xlfn.IFS(H682&lt;=5,0,H682&lt;=10,1,H682&lt;=15,2,H682&gt;=16,3),"Null"),"-")</f>
        <v>0</v>
      </c>
      <c r="K682" s="60">
        <f t="shared" ref="K682" si="280">IFERROR(SUM(H682:H686),"-")</f>
        <v>21</v>
      </c>
      <c r="L682" s="1">
        <v>2415631100</v>
      </c>
    </row>
    <row r="683" spans="1:12" ht="18" customHeight="1" x14ac:dyDescent="0.45">
      <c r="A683" s="8">
        <v>677</v>
      </c>
      <c r="B683" s="35" t="str">
        <f t="shared" ref="B683:C686" si="281">B682</f>
        <v>神奈川静岡本部</v>
      </c>
      <c r="C683" s="35" t="str">
        <f t="shared" si="281"/>
        <v>ラヴィーレ本厚木</v>
      </c>
      <c r="D683" s="9" t="s">
        <v>4</v>
      </c>
      <c r="E683" s="10">
        <v>1</v>
      </c>
      <c r="F683" s="12">
        <v>4</v>
      </c>
      <c r="G683" s="12">
        <v>4</v>
      </c>
      <c r="H683" s="10">
        <f t="shared" si="267"/>
        <v>4</v>
      </c>
      <c r="I683" s="38"/>
      <c r="J683" s="19" cm="1">
        <f t="array" ref="J683">IFERROR(IF(_xlfn.XLOOKUP(L683,NC導入施設!B:B,NC導入施設!E:E)=0,_xlfn.IFS(H683&lt;=5,0,H683&lt;=10,1,H683&lt;=15,2,H683&gt;=16,3),"Null"),"-")</f>
        <v>0</v>
      </c>
      <c r="K683" s="61"/>
      <c r="L683" s="1">
        <v>2415631100</v>
      </c>
    </row>
    <row r="684" spans="1:12" ht="18" customHeight="1" x14ac:dyDescent="0.45">
      <c r="A684" s="8">
        <v>678</v>
      </c>
      <c r="B684" s="35" t="str">
        <f t="shared" si="281"/>
        <v>神奈川静岡本部</v>
      </c>
      <c r="C684" s="35" t="str">
        <f t="shared" si="281"/>
        <v>ラヴィーレ本厚木</v>
      </c>
      <c r="D684" s="9" t="s">
        <v>5</v>
      </c>
      <c r="E684" s="10">
        <v>1</v>
      </c>
      <c r="F684" s="12">
        <v>0</v>
      </c>
      <c r="G684" s="12">
        <v>0</v>
      </c>
      <c r="H684" s="10">
        <f t="shared" si="267"/>
        <v>0</v>
      </c>
      <c r="I684" s="38"/>
      <c r="J684" s="19" cm="1">
        <f t="array" ref="J684">IFERROR(IF(_xlfn.XLOOKUP(L684,NC導入施設!B:B,NC導入施設!E:E)=0,_xlfn.IFS(H684&lt;=5,0,H684&lt;=10,1,H684&lt;=15,2,H684&gt;=16,3),"Null"),"-")</f>
        <v>0</v>
      </c>
      <c r="K684" s="61"/>
      <c r="L684" s="1">
        <v>2415631100</v>
      </c>
    </row>
    <row r="685" spans="1:12" ht="18" customHeight="1" x14ac:dyDescent="0.45">
      <c r="A685" s="8">
        <v>679</v>
      </c>
      <c r="B685" s="35" t="str">
        <f t="shared" si="281"/>
        <v>神奈川静岡本部</v>
      </c>
      <c r="C685" s="35" t="str">
        <f t="shared" si="281"/>
        <v>ラヴィーレ本厚木</v>
      </c>
      <c r="D685" s="9" t="s">
        <v>6</v>
      </c>
      <c r="E685" s="10">
        <v>4</v>
      </c>
      <c r="F685" s="12">
        <v>15</v>
      </c>
      <c r="G685" s="12">
        <v>3.8</v>
      </c>
      <c r="H685" s="10">
        <f t="shared" si="267"/>
        <v>15</v>
      </c>
      <c r="I685" s="38"/>
      <c r="J685" s="19" cm="1">
        <f t="array" ref="J685">IFERROR(IF(_xlfn.XLOOKUP(L685,NC導入施設!B:B,NC導入施設!E:E)=0,_xlfn.IFS(H685&lt;=5,0,H685&lt;=10,1,H685&lt;=15,2,H685&gt;=16,3),"Null"),"-")</f>
        <v>2</v>
      </c>
      <c r="K685" s="61"/>
      <c r="L685" s="1">
        <v>2415631100</v>
      </c>
    </row>
    <row r="686" spans="1:12" ht="18" customHeight="1" x14ac:dyDescent="0.45">
      <c r="A686" s="8">
        <v>680</v>
      </c>
      <c r="B686" s="36" t="str">
        <f t="shared" si="281"/>
        <v>神奈川静岡本部</v>
      </c>
      <c r="C686" s="36" t="str">
        <f t="shared" si="281"/>
        <v>ラヴィーレ本厚木</v>
      </c>
      <c r="D686" s="9" t="s">
        <v>2</v>
      </c>
      <c r="E686" s="10">
        <v>1</v>
      </c>
      <c r="F686" s="12">
        <v>0</v>
      </c>
      <c r="G686" s="12">
        <v>0</v>
      </c>
      <c r="H686" s="10">
        <f t="shared" si="267"/>
        <v>0</v>
      </c>
      <c r="I686" s="39"/>
      <c r="J686" s="19" cm="1">
        <f t="array" ref="J686">IFERROR(IF(_xlfn.XLOOKUP(L686,NC導入施設!B:B,NC導入施設!E:E)=0,_xlfn.IFS(H686&lt;=5,0,H686&lt;=10,1,H686&lt;=15,2,H686&gt;=16,3),"Null"),"-")</f>
        <v>0</v>
      </c>
      <c r="K686" s="62"/>
      <c r="L686" s="1">
        <v>2415631100</v>
      </c>
    </row>
    <row r="687" spans="1:12" ht="18" customHeight="1" x14ac:dyDescent="0.45">
      <c r="A687" s="13">
        <v>681</v>
      </c>
      <c r="B687" s="40" t="s">
        <v>48</v>
      </c>
      <c r="C687" s="40" t="s">
        <v>265</v>
      </c>
      <c r="D687" s="14" t="s">
        <v>3</v>
      </c>
      <c r="E687" s="15">
        <v>1</v>
      </c>
      <c r="F687" s="17">
        <v>2</v>
      </c>
      <c r="G687" s="17">
        <v>2</v>
      </c>
      <c r="H687" s="15">
        <f t="shared" si="267"/>
        <v>2</v>
      </c>
      <c r="I687" s="43" cm="1">
        <f t="array" ref="I687">IF(J687="-","-",_xlfn.IFS(K687&lt;=5,0,K687&lt;=10,1,K687&lt;=15,2,K687&gt;=16,3))</f>
        <v>0</v>
      </c>
      <c r="J687" s="19" cm="1">
        <f t="array" ref="J687">IFERROR(IF(_xlfn.XLOOKUP(L687,NC導入施設!B:B,NC導入施設!E:E)=0,_xlfn.IFS(H687&lt;=5,0,H687&lt;=10,1,H687&lt;=15,2,H687&gt;=16,3),"Null"),"-")</f>
        <v>0</v>
      </c>
      <c r="K687" s="60">
        <f t="shared" ref="K687" si="282">IFERROR(SUM(H687:H691),"-")</f>
        <v>3</v>
      </c>
      <c r="L687" s="1">
        <v>2415651100</v>
      </c>
    </row>
    <row r="688" spans="1:12" ht="18" customHeight="1" x14ac:dyDescent="0.45">
      <c r="A688" s="13">
        <v>682</v>
      </c>
      <c r="B688" s="41" t="str">
        <f t="shared" ref="B688:C691" si="283">B687</f>
        <v>神奈川静岡本部</v>
      </c>
      <c r="C688" s="41" t="str">
        <f t="shared" si="283"/>
        <v>ラヴィーレ厚木</v>
      </c>
      <c r="D688" s="14" t="s">
        <v>4</v>
      </c>
      <c r="E688" s="15">
        <v>1</v>
      </c>
      <c r="F688" s="17">
        <v>1</v>
      </c>
      <c r="G688" s="17">
        <v>1</v>
      </c>
      <c r="H688" s="15">
        <f t="shared" si="267"/>
        <v>1</v>
      </c>
      <c r="I688" s="44"/>
      <c r="J688" s="19" cm="1">
        <f t="array" ref="J688">IFERROR(IF(_xlfn.XLOOKUP(L688,NC導入施設!B:B,NC導入施設!E:E)=0,_xlfn.IFS(H688&lt;=5,0,H688&lt;=10,1,H688&lt;=15,2,H688&gt;=16,3),"Null"),"-")</f>
        <v>0</v>
      </c>
      <c r="K688" s="61"/>
      <c r="L688" s="1">
        <v>2415651100</v>
      </c>
    </row>
    <row r="689" spans="1:12" ht="18" customHeight="1" x14ac:dyDescent="0.45">
      <c r="A689" s="13">
        <v>683</v>
      </c>
      <c r="B689" s="41" t="str">
        <f t="shared" si="283"/>
        <v>神奈川静岡本部</v>
      </c>
      <c r="C689" s="41" t="str">
        <f t="shared" si="283"/>
        <v>ラヴィーレ厚木</v>
      </c>
      <c r="D689" s="14" t="s">
        <v>5</v>
      </c>
      <c r="E689" s="15">
        <v>2</v>
      </c>
      <c r="F689" s="17">
        <v>0</v>
      </c>
      <c r="G689" s="17">
        <v>0</v>
      </c>
      <c r="H689" s="15">
        <f t="shared" si="267"/>
        <v>0</v>
      </c>
      <c r="I689" s="44"/>
      <c r="J689" s="19" cm="1">
        <f t="array" ref="J689">IFERROR(IF(_xlfn.XLOOKUP(L689,NC導入施設!B:B,NC導入施設!E:E)=0,_xlfn.IFS(H689&lt;=5,0,H689&lt;=10,1,H689&lt;=15,2,H689&gt;=16,3),"Null"),"-")</f>
        <v>0</v>
      </c>
      <c r="K689" s="61"/>
      <c r="L689" s="1">
        <v>2415651100</v>
      </c>
    </row>
    <row r="690" spans="1:12" ht="18" customHeight="1" x14ac:dyDescent="0.45">
      <c r="A690" s="13">
        <v>684</v>
      </c>
      <c r="B690" s="41" t="str">
        <f t="shared" si="283"/>
        <v>神奈川静岡本部</v>
      </c>
      <c r="C690" s="41" t="str">
        <f t="shared" si="283"/>
        <v>ラヴィーレ厚木</v>
      </c>
      <c r="D690" s="14" t="s">
        <v>6</v>
      </c>
      <c r="E690" s="15">
        <v>4</v>
      </c>
      <c r="F690" s="17">
        <v>0</v>
      </c>
      <c r="G690" s="17">
        <v>0</v>
      </c>
      <c r="H690" s="15">
        <f t="shared" si="267"/>
        <v>0</v>
      </c>
      <c r="I690" s="44"/>
      <c r="J690" s="19" cm="1">
        <f t="array" ref="J690">IFERROR(IF(_xlfn.XLOOKUP(L690,NC導入施設!B:B,NC導入施設!E:E)=0,_xlfn.IFS(H690&lt;=5,0,H690&lt;=10,1,H690&lt;=15,2,H690&gt;=16,3),"Null"),"-")</f>
        <v>0</v>
      </c>
      <c r="K690" s="61"/>
      <c r="L690" s="1">
        <v>2415651100</v>
      </c>
    </row>
    <row r="691" spans="1:12" ht="18" customHeight="1" x14ac:dyDescent="0.45">
      <c r="A691" s="13">
        <v>685</v>
      </c>
      <c r="B691" s="42" t="str">
        <f t="shared" si="283"/>
        <v>神奈川静岡本部</v>
      </c>
      <c r="C691" s="42" t="str">
        <f t="shared" si="283"/>
        <v>ラヴィーレ厚木</v>
      </c>
      <c r="D691" s="14" t="s">
        <v>2</v>
      </c>
      <c r="E691" s="15">
        <v>0</v>
      </c>
      <c r="F691" s="17">
        <v>0</v>
      </c>
      <c r="G691" s="17">
        <v>0</v>
      </c>
      <c r="H691" s="15">
        <f t="shared" si="267"/>
        <v>0</v>
      </c>
      <c r="I691" s="45"/>
      <c r="J691" s="19" cm="1">
        <f t="array" ref="J691">IFERROR(IF(_xlfn.XLOOKUP(L691,NC導入施設!B:B,NC導入施設!E:E)=0,_xlfn.IFS(H691&lt;=5,0,H691&lt;=10,1,H691&lt;=15,2,H691&gt;=16,3),"Null"),"-")</f>
        <v>0</v>
      </c>
      <c r="K691" s="62"/>
      <c r="L691" s="1">
        <v>2415651100</v>
      </c>
    </row>
    <row r="692" spans="1:12" ht="18" customHeight="1" x14ac:dyDescent="0.45">
      <c r="A692" s="8">
        <v>686</v>
      </c>
      <c r="B692" s="34" t="s">
        <v>48</v>
      </c>
      <c r="C692" s="34" t="s">
        <v>266</v>
      </c>
      <c r="D692" s="9" t="s">
        <v>3</v>
      </c>
      <c r="E692" s="10">
        <v>1</v>
      </c>
      <c r="F692" s="12">
        <v>2</v>
      </c>
      <c r="G692" s="12">
        <v>2</v>
      </c>
      <c r="H692" s="10">
        <f t="shared" si="267"/>
        <v>2</v>
      </c>
      <c r="I692" s="37" cm="1">
        <f t="array" ref="I692">IF(J692="-","-",_xlfn.IFS(K692&lt;=5,0,K692&lt;=10,1,K692&lt;=15,2,K692&gt;=16,3))</f>
        <v>1</v>
      </c>
      <c r="J692" s="19" cm="1">
        <f t="array" ref="J692">IFERROR(IF(_xlfn.XLOOKUP(L692,NC導入施設!B:B,NC導入施設!E:E)=0,_xlfn.IFS(H692&lt;=5,0,H692&lt;=10,1,H692&lt;=15,2,H692&gt;=16,3),"Null"),"-")</f>
        <v>0</v>
      </c>
      <c r="K692" s="60">
        <f t="shared" ref="K692" si="284">IFERROR(SUM(H692:H696),"-")</f>
        <v>10</v>
      </c>
      <c r="L692" s="1">
        <v>2415671100</v>
      </c>
    </row>
    <row r="693" spans="1:12" ht="18" customHeight="1" x14ac:dyDescent="0.45">
      <c r="A693" s="8">
        <v>687</v>
      </c>
      <c r="B693" s="35" t="str">
        <f t="shared" ref="B693:C696" si="285">B692</f>
        <v>神奈川静岡本部</v>
      </c>
      <c r="C693" s="35" t="str">
        <f t="shared" si="285"/>
        <v>ラヴィーレ愛甲石田</v>
      </c>
      <c r="D693" s="9" t="s">
        <v>4</v>
      </c>
      <c r="E693" s="10">
        <v>1</v>
      </c>
      <c r="F693" s="12">
        <v>7</v>
      </c>
      <c r="G693" s="12">
        <v>7</v>
      </c>
      <c r="H693" s="10">
        <f t="shared" si="267"/>
        <v>7</v>
      </c>
      <c r="I693" s="38"/>
      <c r="J693" s="19" cm="1">
        <f t="array" ref="J693">IFERROR(IF(_xlfn.XLOOKUP(L693,NC導入施設!B:B,NC導入施設!E:E)=0,_xlfn.IFS(H693&lt;=5,0,H693&lt;=10,1,H693&lt;=15,2,H693&gt;=16,3),"Null"),"-")</f>
        <v>1</v>
      </c>
      <c r="K693" s="61"/>
      <c r="L693" s="1">
        <v>2415671100</v>
      </c>
    </row>
    <row r="694" spans="1:12" ht="18" customHeight="1" x14ac:dyDescent="0.45">
      <c r="A694" s="8">
        <v>688</v>
      </c>
      <c r="B694" s="35" t="str">
        <f t="shared" si="285"/>
        <v>神奈川静岡本部</v>
      </c>
      <c r="C694" s="35" t="str">
        <f t="shared" si="285"/>
        <v>ラヴィーレ愛甲石田</v>
      </c>
      <c r="D694" s="9" t="s">
        <v>5</v>
      </c>
      <c r="E694" s="10">
        <v>1</v>
      </c>
      <c r="F694" s="12">
        <v>1</v>
      </c>
      <c r="G694" s="12">
        <v>1</v>
      </c>
      <c r="H694" s="10">
        <f t="shared" si="267"/>
        <v>1</v>
      </c>
      <c r="I694" s="38"/>
      <c r="J694" s="19" cm="1">
        <f t="array" ref="J694">IFERROR(IF(_xlfn.XLOOKUP(L694,NC導入施設!B:B,NC導入施設!E:E)=0,_xlfn.IFS(H694&lt;=5,0,H694&lt;=10,1,H694&lt;=15,2,H694&gt;=16,3),"Null"),"-")</f>
        <v>0</v>
      </c>
      <c r="K694" s="61"/>
      <c r="L694" s="1">
        <v>2415671100</v>
      </c>
    </row>
    <row r="695" spans="1:12" ht="18" customHeight="1" x14ac:dyDescent="0.45">
      <c r="A695" s="8">
        <v>689</v>
      </c>
      <c r="B695" s="35" t="str">
        <f t="shared" si="285"/>
        <v>神奈川静岡本部</v>
      </c>
      <c r="C695" s="35" t="str">
        <f t="shared" si="285"/>
        <v>ラヴィーレ愛甲石田</v>
      </c>
      <c r="D695" s="9" t="s">
        <v>6</v>
      </c>
      <c r="E695" s="10">
        <v>4</v>
      </c>
      <c r="F695" s="12">
        <v>0</v>
      </c>
      <c r="G695" s="12">
        <v>0</v>
      </c>
      <c r="H695" s="10">
        <f t="shared" si="267"/>
        <v>0</v>
      </c>
      <c r="I695" s="38"/>
      <c r="J695" s="19" cm="1">
        <f t="array" ref="J695">IFERROR(IF(_xlfn.XLOOKUP(L695,NC導入施設!B:B,NC導入施設!E:E)=0,_xlfn.IFS(H695&lt;=5,0,H695&lt;=10,1,H695&lt;=15,2,H695&gt;=16,3),"Null"),"-")</f>
        <v>0</v>
      </c>
      <c r="K695" s="61"/>
      <c r="L695" s="1">
        <v>2415671100</v>
      </c>
    </row>
    <row r="696" spans="1:12" ht="18" customHeight="1" x14ac:dyDescent="0.45">
      <c r="A696" s="8">
        <v>690</v>
      </c>
      <c r="B696" s="36" t="str">
        <f t="shared" si="285"/>
        <v>神奈川静岡本部</v>
      </c>
      <c r="C696" s="36" t="str">
        <f t="shared" si="285"/>
        <v>ラヴィーレ愛甲石田</v>
      </c>
      <c r="D696" s="9" t="s">
        <v>2</v>
      </c>
      <c r="E696" s="10">
        <v>1</v>
      </c>
      <c r="F696" s="12">
        <v>0</v>
      </c>
      <c r="G696" s="12">
        <v>0</v>
      </c>
      <c r="H696" s="10">
        <f t="shared" si="267"/>
        <v>0</v>
      </c>
      <c r="I696" s="39"/>
      <c r="J696" s="19" cm="1">
        <f t="array" ref="J696">IFERROR(IF(_xlfn.XLOOKUP(L696,NC導入施設!B:B,NC導入施設!E:E)=0,_xlfn.IFS(H696&lt;=5,0,H696&lt;=10,1,H696&lt;=15,2,H696&gt;=16,3),"Null"),"-")</f>
        <v>0</v>
      </c>
      <c r="K696" s="62"/>
      <c r="L696" s="1">
        <v>2415671100</v>
      </c>
    </row>
    <row r="697" spans="1:12" ht="18" customHeight="1" x14ac:dyDescent="0.45">
      <c r="A697" s="13">
        <v>691</v>
      </c>
      <c r="B697" s="40" t="s">
        <v>48</v>
      </c>
      <c r="C697" s="40" t="s">
        <v>267</v>
      </c>
      <c r="D697" s="14" t="s">
        <v>3</v>
      </c>
      <c r="E697" s="15">
        <v>1</v>
      </c>
      <c r="F697" s="17">
        <v>0</v>
      </c>
      <c r="G697" s="17">
        <v>0</v>
      </c>
      <c r="H697" s="15">
        <f t="shared" si="267"/>
        <v>0</v>
      </c>
      <c r="I697" s="43" t="str" cm="1">
        <f t="array" ref="I697">IF(J697="-","-",_xlfn.IFS(K697&lt;=5,0,K697&lt;=10,1,K697&lt;=15,2,K697&gt;=16,3))</f>
        <v>-</v>
      </c>
      <c r="J697" s="19" t="str" cm="1">
        <f t="array" ref="J697">IFERROR(IF(_xlfn.XLOOKUP(L697,NC導入施設!B:B,NC導入施設!E:E)=0,_xlfn.IFS(H697&lt;=5,0,H697&lt;=10,1,H697&lt;=15,2,H697&gt;=16,3),"Null"),"-")</f>
        <v>-</v>
      </c>
      <c r="K697" s="60">
        <f t="shared" ref="K697" si="286">IFERROR(SUM(H697:H701),"-")</f>
        <v>0</v>
      </c>
      <c r="L697" s="1">
        <v>2415681100</v>
      </c>
    </row>
    <row r="698" spans="1:12" ht="18" customHeight="1" x14ac:dyDescent="0.45">
      <c r="A698" s="13">
        <v>692</v>
      </c>
      <c r="B698" s="41" t="str">
        <f t="shared" ref="B698:C701" si="287">B697</f>
        <v>神奈川静岡本部</v>
      </c>
      <c r="C698" s="41" t="str">
        <f t="shared" si="287"/>
        <v>ラヴィーレ伊勢原</v>
      </c>
      <c r="D698" s="14" t="s">
        <v>4</v>
      </c>
      <c r="E698" s="15">
        <v>1</v>
      </c>
      <c r="F698" s="17">
        <v>0</v>
      </c>
      <c r="G698" s="17">
        <v>0</v>
      </c>
      <c r="H698" s="15">
        <f t="shared" si="267"/>
        <v>0</v>
      </c>
      <c r="I698" s="44"/>
      <c r="J698" s="19" t="str" cm="1">
        <f t="array" ref="J698">IFERROR(IF(_xlfn.XLOOKUP(L698,NC導入施設!B:B,NC導入施設!E:E)=0,_xlfn.IFS(H698&lt;=5,0,H698&lt;=10,1,H698&lt;=15,2,H698&gt;=16,3),"Null"),"-")</f>
        <v>-</v>
      </c>
      <c r="K698" s="61"/>
      <c r="L698" s="1">
        <v>2415681100</v>
      </c>
    </row>
    <row r="699" spans="1:12" ht="18" customHeight="1" x14ac:dyDescent="0.45">
      <c r="A699" s="13">
        <v>693</v>
      </c>
      <c r="B699" s="41" t="str">
        <f t="shared" si="287"/>
        <v>神奈川静岡本部</v>
      </c>
      <c r="C699" s="41" t="str">
        <f t="shared" si="287"/>
        <v>ラヴィーレ伊勢原</v>
      </c>
      <c r="D699" s="14" t="s">
        <v>5</v>
      </c>
      <c r="E699" s="15">
        <v>2</v>
      </c>
      <c r="F699" s="17">
        <v>0</v>
      </c>
      <c r="G699" s="17">
        <v>0</v>
      </c>
      <c r="H699" s="15">
        <f t="shared" si="267"/>
        <v>0</v>
      </c>
      <c r="I699" s="44"/>
      <c r="J699" s="19" t="str" cm="1">
        <f t="array" ref="J699">IFERROR(IF(_xlfn.XLOOKUP(L699,NC導入施設!B:B,NC導入施設!E:E)=0,_xlfn.IFS(H699&lt;=5,0,H699&lt;=10,1,H699&lt;=15,2,H699&gt;=16,3),"Null"),"-")</f>
        <v>-</v>
      </c>
      <c r="K699" s="61"/>
      <c r="L699" s="1">
        <v>2415681100</v>
      </c>
    </row>
    <row r="700" spans="1:12" ht="18" customHeight="1" x14ac:dyDescent="0.45">
      <c r="A700" s="13">
        <v>694</v>
      </c>
      <c r="B700" s="41" t="str">
        <f t="shared" si="287"/>
        <v>神奈川静岡本部</v>
      </c>
      <c r="C700" s="41" t="str">
        <f t="shared" si="287"/>
        <v>ラヴィーレ伊勢原</v>
      </c>
      <c r="D700" s="14" t="s">
        <v>6</v>
      </c>
      <c r="E700" s="15">
        <v>7</v>
      </c>
      <c r="F700" s="17">
        <v>0</v>
      </c>
      <c r="G700" s="17">
        <v>0</v>
      </c>
      <c r="H700" s="15">
        <f t="shared" si="267"/>
        <v>0</v>
      </c>
      <c r="I700" s="44"/>
      <c r="J700" s="19" t="str" cm="1">
        <f t="array" ref="J700">IFERROR(IF(_xlfn.XLOOKUP(L700,NC導入施設!B:B,NC導入施設!E:E)=0,_xlfn.IFS(H700&lt;=5,0,H700&lt;=10,1,H700&lt;=15,2,H700&gt;=16,3),"Null"),"-")</f>
        <v>-</v>
      </c>
      <c r="K700" s="61"/>
      <c r="L700" s="1">
        <v>2415681100</v>
      </c>
    </row>
    <row r="701" spans="1:12" ht="18" customHeight="1" x14ac:dyDescent="0.45">
      <c r="A701" s="13">
        <v>695</v>
      </c>
      <c r="B701" s="42" t="str">
        <f t="shared" si="287"/>
        <v>神奈川静岡本部</v>
      </c>
      <c r="C701" s="42" t="str">
        <f t="shared" si="287"/>
        <v>ラヴィーレ伊勢原</v>
      </c>
      <c r="D701" s="14" t="s">
        <v>2</v>
      </c>
      <c r="E701" s="15">
        <v>1</v>
      </c>
      <c r="F701" s="17">
        <v>0</v>
      </c>
      <c r="G701" s="17">
        <v>0</v>
      </c>
      <c r="H701" s="15">
        <f t="shared" si="267"/>
        <v>0</v>
      </c>
      <c r="I701" s="45"/>
      <c r="J701" s="19" t="str" cm="1">
        <f t="array" ref="J701">IFERROR(IF(_xlfn.XLOOKUP(L701,NC導入施設!B:B,NC導入施設!E:E)=0,_xlfn.IFS(H701&lt;=5,0,H701&lt;=10,1,H701&lt;=15,2,H701&gt;=16,3),"Null"),"-")</f>
        <v>-</v>
      </c>
      <c r="K701" s="62"/>
      <c r="L701" s="1">
        <v>2415681100</v>
      </c>
    </row>
    <row r="702" spans="1:12" ht="18" customHeight="1" x14ac:dyDescent="0.45">
      <c r="A702" s="8">
        <v>696</v>
      </c>
      <c r="B702" s="34" t="s">
        <v>48</v>
      </c>
      <c r="C702" s="34" t="s">
        <v>67</v>
      </c>
      <c r="D702" s="9" t="s">
        <v>3</v>
      </c>
      <c r="E702" s="10">
        <v>1</v>
      </c>
      <c r="F702" s="12">
        <v>13</v>
      </c>
      <c r="G702" s="12">
        <v>13</v>
      </c>
      <c r="H702" s="10">
        <f t="shared" si="267"/>
        <v>13</v>
      </c>
      <c r="I702" s="37" cm="1">
        <f t="array" ref="I702">IF(J702="-","-",_xlfn.IFS(K702&lt;=5,0,K702&lt;=10,1,K702&lt;=15,2,K702&gt;=16,3))</f>
        <v>3</v>
      </c>
      <c r="J702" s="19" cm="1">
        <f t="array" ref="J702">IFERROR(IF(_xlfn.XLOOKUP(L702,NC導入施設!B:B,NC導入施設!E:E)=0,_xlfn.IFS(H702&lt;=5,0,H702&lt;=10,1,H702&lt;=15,2,H702&gt;=16,3),"Null"),"-")</f>
        <v>2</v>
      </c>
      <c r="K702" s="60">
        <f t="shared" ref="K702" si="288">IFERROR(SUM(H702:H706),"-")</f>
        <v>16</v>
      </c>
      <c r="L702" s="1">
        <v>2415691200</v>
      </c>
    </row>
    <row r="703" spans="1:12" ht="18" customHeight="1" x14ac:dyDescent="0.45">
      <c r="A703" s="8">
        <v>697</v>
      </c>
      <c r="B703" s="35" t="str">
        <f t="shared" ref="B703:C706" si="289">B702</f>
        <v>神奈川静岡本部</v>
      </c>
      <c r="C703" s="35" t="str">
        <f t="shared" si="289"/>
        <v>そんぽの家　伊勢原</v>
      </c>
      <c r="D703" s="9" t="s">
        <v>4</v>
      </c>
      <c r="E703" s="10">
        <v>1</v>
      </c>
      <c r="F703" s="12">
        <v>3</v>
      </c>
      <c r="G703" s="12">
        <v>3</v>
      </c>
      <c r="H703" s="10">
        <f t="shared" si="267"/>
        <v>3</v>
      </c>
      <c r="I703" s="38"/>
      <c r="J703" s="19" cm="1">
        <f t="array" ref="J703">IFERROR(IF(_xlfn.XLOOKUP(L703,NC導入施設!B:B,NC導入施設!E:E)=0,_xlfn.IFS(H703&lt;=5,0,H703&lt;=10,1,H703&lt;=15,2,H703&gt;=16,3),"Null"),"-")</f>
        <v>0</v>
      </c>
      <c r="K703" s="61"/>
      <c r="L703" s="1">
        <v>2415691200</v>
      </c>
    </row>
    <row r="704" spans="1:12" ht="18" customHeight="1" x14ac:dyDescent="0.45">
      <c r="A704" s="8">
        <v>698</v>
      </c>
      <c r="B704" s="35" t="str">
        <f t="shared" si="289"/>
        <v>神奈川静岡本部</v>
      </c>
      <c r="C704" s="35" t="str">
        <f t="shared" si="289"/>
        <v>そんぽの家　伊勢原</v>
      </c>
      <c r="D704" s="9" t="s">
        <v>5</v>
      </c>
      <c r="E704" s="10">
        <v>1</v>
      </c>
      <c r="F704" s="12">
        <v>0</v>
      </c>
      <c r="G704" s="12">
        <v>0</v>
      </c>
      <c r="H704" s="10">
        <f t="shared" si="267"/>
        <v>0</v>
      </c>
      <c r="I704" s="38"/>
      <c r="J704" s="19" cm="1">
        <f t="array" ref="J704">IFERROR(IF(_xlfn.XLOOKUP(L704,NC導入施設!B:B,NC導入施設!E:E)=0,_xlfn.IFS(H704&lt;=5,0,H704&lt;=10,1,H704&lt;=15,2,H704&gt;=16,3),"Null"),"-")</f>
        <v>0</v>
      </c>
      <c r="K704" s="61"/>
      <c r="L704" s="1">
        <v>2415691200</v>
      </c>
    </row>
    <row r="705" spans="1:12" ht="18" customHeight="1" x14ac:dyDescent="0.45">
      <c r="A705" s="8">
        <v>699</v>
      </c>
      <c r="B705" s="35" t="str">
        <f t="shared" si="289"/>
        <v>神奈川静岡本部</v>
      </c>
      <c r="C705" s="35" t="str">
        <f t="shared" si="289"/>
        <v>そんぽの家　伊勢原</v>
      </c>
      <c r="D705" s="9" t="s">
        <v>6</v>
      </c>
      <c r="E705" s="10">
        <v>4</v>
      </c>
      <c r="F705" s="12">
        <v>0</v>
      </c>
      <c r="G705" s="12">
        <v>0</v>
      </c>
      <c r="H705" s="10">
        <f t="shared" si="267"/>
        <v>0</v>
      </c>
      <c r="I705" s="38"/>
      <c r="J705" s="19" cm="1">
        <f t="array" ref="J705">IFERROR(IF(_xlfn.XLOOKUP(L705,NC導入施設!B:B,NC導入施設!E:E)=0,_xlfn.IFS(H705&lt;=5,0,H705&lt;=10,1,H705&lt;=15,2,H705&gt;=16,3),"Null"),"-")</f>
        <v>0</v>
      </c>
      <c r="K705" s="61"/>
      <c r="L705" s="1">
        <v>2415691200</v>
      </c>
    </row>
    <row r="706" spans="1:12" ht="18" customHeight="1" x14ac:dyDescent="0.45">
      <c r="A706" s="8">
        <v>700</v>
      </c>
      <c r="B706" s="36" t="str">
        <f t="shared" si="289"/>
        <v>神奈川静岡本部</v>
      </c>
      <c r="C706" s="36" t="str">
        <f t="shared" si="289"/>
        <v>そんぽの家　伊勢原</v>
      </c>
      <c r="D706" s="9" t="s">
        <v>2</v>
      </c>
      <c r="E706" s="10">
        <v>2</v>
      </c>
      <c r="F706" s="12">
        <v>0</v>
      </c>
      <c r="G706" s="12">
        <v>0</v>
      </c>
      <c r="H706" s="10">
        <f t="shared" si="267"/>
        <v>0</v>
      </c>
      <c r="I706" s="39"/>
      <c r="J706" s="19" cm="1">
        <f t="array" ref="J706">IFERROR(IF(_xlfn.XLOOKUP(L706,NC導入施設!B:B,NC導入施設!E:E)=0,_xlfn.IFS(H706&lt;=5,0,H706&lt;=10,1,H706&lt;=15,2,H706&gt;=16,3),"Null"),"-")</f>
        <v>0</v>
      </c>
      <c r="K706" s="62"/>
      <c r="L706" s="1">
        <v>2415691200</v>
      </c>
    </row>
    <row r="707" spans="1:12" ht="18" customHeight="1" x14ac:dyDescent="0.45">
      <c r="A707" s="13">
        <v>701</v>
      </c>
      <c r="B707" s="40" t="s">
        <v>48</v>
      </c>
      <c r="C707" s="40" t="s">
        <v>268</v>
      </c>
      <c r="D707" s="14" t="s">
        <v>3</v>
      </c>
      <c r="E707" s="15">
        <v>1</v>
      </c>
      <c r="F707" s="17">
        <v>8</v>
      </c>
      <c r="G707" s="17">
        <v>8</v>
      </c>
      <c r="H707" s="15">
        <f t="shared" si="267"/>
        <v>8</v>
      </c>
      <c r="I707" s="43" cm="1">
        <f t="array" ref="I707">IF(J707="-","-",_xlfn.IFS(K707&lt;=5,0,K707&lt;=10,1,K707&lt;=15,2,K707&gt;=16,3))</f>
        <v>2</v>
      </c>
      <c r="J707" s="19" cm="1">
        <f t="array" ref="J707">IFERROR(IF(_xlfn.XLOOKUP(L707,NC導入施設!B:B,NC導入施設!E:E)=0,_xlfn.IFS(H707&lt;=5,0,H707&lt;=10,1,H707&lt;=15,2,H707&gt;=16,3),"Null"),"-")</f>
        <v>1</v>
      </c>
      <c r="K707" s="60">
        <f t="shared" ref="K707" si="290">IFERROR(SUM(H707:H711),"-")</f>
        <v>13</v>
      </c>
      <c r="L707" s="1">
        <v>2415741100</v>
      </c>
    </row>
    <row r="708" spans="1:12" ht="18" customHeight="1" x14ac:dyDescent="0.45">
      <c r="A708" s="13">
        <v>702</v>
      </c>
      <c r="B708" s="41" t="str">
        <f t="shared" ref="B708:C711" si="291">B707</f>
        <v>神奈川静岡本部</v>
      </c>
      <c r="C708" s="41" t="str">
        <f t="shared" si="291"/>
        <v>ラヴィーレ湘南平塚</v>
      </c>
      <c r="D708" s="14" t="s">
        <v>4</v>
      </c>
      <c r="E708" s="15">
        <v>2</v>
      </c>
      <c r="F708" s="17">
        <v>4</v>
      </c>
      <c r="G708" s="17">
        <v>2</v>
      </c>
      <c r="H708" s="15">
        <f t="shared" si="267"/>
        <v>4</v>
      </c>
      <c r="I708" s="44"/>
      <c r="J708" s="19" cm="1">
        <f t="array" ref="J708">IFERROR(IF(_xlfn.XLOOKUP(L708,NC導入施設!B:B,NC導入施設!E:E)=0,_xlfn.IFS(H708&lt;=5,0,H708&lt;=10,1,H708&lt;=15,2,H708&gt;=16,3),"Null"),"-")</f>
        <v>0</v>
      </c>
      <c r="K708" s="61"/>
      <c r="L708" s="1">
        <v>2415741100</v>
      </c>
    </row>
    <row r="709" spans="1:12" ht="18" customHeight="1" x14ac:dyDescent="0.45">
      <c r="A709" s="13">
        <v>703</v>
      </c>
      <c r="B709" s="41" t="str">
        <f t="shared" si="291"/>
        <v>神奈川静岡本部</v>
      </c>
      <c r="C709" s="41" t="str">
        <f t="shared" si="291"/>
        <v>ラヴィーレ湘南平塚</v>
      </c>
      <c r="D709" s="14" t="s">
        <v>5</v>
      </c>
      <c r="E709" s="15">
        <v>2</v>
      </c>
      <c r="F709" s="17">
        <v>1</v>
      </c>
      <c r="G709" s="17">
        <v>0.5</v>
      </c>
      <c r="H709" s="15">
        <f t="shared" si="267"/>
        <v>1</v>
      </c>
      <c r="I709" s="44"/>
      <c r="J709" s="19" cm="1">
        <f t="array" ref="J709">IFERROR(IF(_xlfn.XLOOKUP(L709,NC導入施設!B:B,NC導入施設!E:E)=0,_xlfn.IFS(H709&lt;=5,0,H709&lt;=10,1,H709&lt;=15,2,H709&gt;=16,3),"Null"),"-")</f>
        <v>0</v>
      </c>
      <c r="K709" s="61"/>
      <c r="L709" s="1">
        <v>2415741100</v>
      </c>
    </row>
    <row r="710" spans="1:12" ht="18" customHeight="1" x14ac:dyDescent="0.45">
      <c r="A710" s="13">
        <v>704</v>
      </c>
      <c r="B710" s="41" t="str">
        <f t="shared" si="291"/>
        <v>神奈川静岡本部</v>
      </c>
      <c r="C710" s="41" t="str">
        <f t="shared" si="291"/>
        <v>ラヴィーレ湘南平塚</v>
      </c>
      <c r="D710" s="14" t="s">
        <v>6</v>
      </c>
      <c r="E710" s="15">
        <v>9</v>
      </c>
      <c r="F710" s="17">
        <v>0</v>
      </c>
      <c r="G710" s="17">
        <v>0</v>
      </c>
      <c r="H710" s="15">
        <f t="shared" si="267"/>
        <v>0</v>
      </c>
      <c r="I710" s="44"/>
      <c r="J710" s="19" cm="1">
        <f t="array" ref="J710">IFERROR(IF(_xlfn.XLOOKUP(L710,NC導入施設!B:B,NC導入施設!E:E)=0,_xlfn.IFS(H710&lt;=5,0,H710&lt;=10,1,H710&lt;=15,2,H710&gt;=16,3),"Null"),"-")</f>
        <v>0</v>
      </c>
      <c r="K710" s="61"/>
      <c r="L710" s="1">
        <v>2415741100</v>
      </c>
    </row>
    <row r="711" spans="1:12" ht="18" customHeight="1" x14ac:dyDescent="0.45">
      <c r="A711" s="13">
        <v>705</v>
      </c>
      <c r="B711" s="42" t="str">
        <f t="shared" si="291"/>
        <v>神奈川静岡本部</v>
      </c>
      <c r="C711" s="42" t="str">
        <f t="shared" si="291"/>
        <v>ラヴィーレ湘南平塚</v>
      </c>
      <c r="D711" s="14" t="s">
        <v>2</v>
      </c>
      <c r="E711" s="15">
        <v>0</v>
      </c>
      <c r="F711" s="17">
        <v>0</v>
      </c>
      <c r="G711" s="17">
        <v>0</v>
      </c>
      <c r="H711" s="15">
        <f t="shared" si="267"/>
        <v>0</v>
      </c>
      <c r="I711" s="45"/>
      <c r="J711" s="19" cm="1">
        <f t="array" ref="J711">IFERROR(IF(_xlfn.XLOOKUP(L711,NC導入施設!B:B,NC導入施設!E:E)=0,_xlfn.IFS(H711&lt;=5,0,H711&lt;=10,1,H711&lt;=15,2,H711&gt;=16,3),"Null"),"-")</f>
        <v>0</v>
      </c>
      <c r="K711" s="62"/>
      <c r="L711" s="1">
        <v>2415741100</v>
      </c>
    </row>
    <row r="712" spans="1:12" ht="18" customHeight="1" x14ac:dyDescent="0.45">
      <c r="A712" s="8">
        <v>706</v>
      </c>
      <c r="B712" s="34" t="s">
        <v>48</v>
      </c>
      <c r="C712" s="34" t="s">
        <v>269</v>
      </c>
      <c r="D712" s="9" t="s">
        <v>3</v>
      </c>
      <c r="E712" s="10">
        <v>1</v>
      </c>
      <c r="F712" s="12">
        <v>20</v>
      </c>
      <c r="G712" s="12">
        <v>20</v>
      </c>
      <c r="H712" s="10">
        <f t="shared" ref="H712:H775" si="292">F712</f>
        <v>20</v>
      </c>
      <c r="I712" s="37" cm="1">
        <f t="array" ref="I712">IF(J712="-","-",_xlfn.IFS(K712&lt;=5,0,K712&lt;=10,1,K712&lt;=15,2,K712&gt;=16,3))</f>
        <v>3</v>
      </c>
      <c r="J712" s="19" cm="1">
        <f t="array" ref="J712">IFERROR(IF(_xlfn.XLOOKUP(L712,NC導入施設!B:B,NC導入施設!E:E)=0,_xlfn.IFS(H712&lt;=5,0,H712&lt;=10,1,H712&lt;=15,2,H712&gt;=16,3),"Null"),"-")</f>
        <v>3</v>
      </c>
      <c r="K712" s="60">
        <f t="shared" ref="K712" si="293">IFERROR(SUM(H712:H716),"-")</f>
        <v>38</v>
      </c>
      <c r="L712" s="1">
        <v>2415751100</v>
      </c>
    </row>
    <row r="713" spans="1:12" ht="18" customHeight="1" x14ac:dyDescent="0.45">
      <c r="A713" s="8">
        <v>707</v>
      </c>
      <c r="B713" s="35" t="str">
        <f t="shared" ref="B713:C716" si="294">B712</f>
        <v>神奈川静岡本部</v>
      </c>
      <c r="C713" s="35" t="str">
        <f t="shared" si="294"/>
        <v>ラヴィーレ湘南平塚弐番館</v>
      </c>
      <c r="D713" s="9" t="s">
        <v>4</v>
      </c>
      <c r="E713" s="10">
        <v>1</v>
      </c>
      <c r="F713" s="12">
        <v>1</v>
      </c>
      <c r="G713" s="12">
        <v>1</v>
      </c>
      <c r="H713" s="10">
        <f t="shared" si="292"/>
        <v>1</v>
      </c>
      <c r="I713" s="38"/>
      <c r="J713" s="19" cm="1">
        <f t="array" ref="J713">IFERROR(IF(_xlfn.XLOOKUP(L713,NC導入施設!B:B,NC導入施設!E:E)=0,_xlfn.IFS(H713&lt;=5,0,H713&lt;=10,1,H713&lt;=15,2,H713&gt;=16,3),"Null"),"-")</f>
        <v>0</v>
      </c>
      <c r="K713" s="61"/>
      <c r="L713" s="1">
        <v>2415751100</v>
      </c>
    </row>
    <row r="714" spans="1:12" ht="18" customHeight="1" x14ac:dyDescent="0.45">
      <c r="A714" s="8">
        <v>708</v>
      </c>
      <c r="B714" s="35" t="str">
        <f t="shared" si="294"/>
        <v>神奈川静岡本部</v>
      </c>
      <c r="C714" s="35" t="str">
        <f t="shared" si="294"/>
        <v>ラヴィーレ湘南平塚弐番館</v>
      </c>
      <c r="D714" s="9" t="s">
        <v>5</v>
      </c>
      <c r="E714" s="10">
        <v>2</v>
      </c>
      <c r="F714" s="12">
        <v>2</v>
      </c>
      <c r="G714" s="12">
        <v>1</v>
      </c>
      <c r="H714" s="10">
        <f t="shared" si="292"/>
        <v>2</v>
      </c>
      <c r="I714" s="38"/>
      <c r="J714" s="19" cm="1">
        <f t="array" ref="J714">IFERROR(IF(_xlfn.XLOOKUP(L714,NC導入施設!B:B,NC導入施設!E:E)=0,_xlfn.IFS(H714&lt;=5,0,H714&lt;=10,1,H714&lt;=15,2,H714&gt;=16,3),"Null"),"-")</f>
        <v>0</v>
      </c>
      <c r="K714" s="61"/>
      <c r="L714" s="1">
        <v>2415751100</v>
      </c>
    </row>
    <row r="715" spans="1:12" ht="18" customHeight="1" x14ac:dyDescent="0.45">
      <c r="A715" s="8">
        <v>709</v>
      </c>
      <c r="B715" s="35" t="str">
        <f t="shared" si="294"/>
        <v>神奈川静岡本部</v>
      </c>
      <c r="C715" s="35" t="str">
        <f t="shared" si="294"/>
        <v>ラヴィーレ湘南平塚弐番館</v>
      </c>
      <c r="D715" s="9" t="s">
        <v>6</v>
      </c>
      <c r="E715" s="10">
        <v>3</v>
      </c>
      <c r="F715" s="12">
        <v>13</v>
      </c>
      <c r="G715" s="12">
        <v>4.3</v>
      </c>
      <c r="H715" s="10">
        <f t="shared" si="292"/>
        <v>13</v>
      </c>
      <c r="I715" s="38"/>
      <c r="J715" s="19" cm="1">
        <f t="array" ref="J715">IFERROR(IF(_xlfn.XLOOKUP(L715,NC導入施設!B:B,NC導入施設!E:E)=0,_xlfn.IFS(H715&lt;=5,0,H715&lt;=10,1,H715&lt;=15,2,H715&gt;=16,3),"Null"),"-")</f>
        <v>2</v>
      </c>
      <c r="K715" s="61"/>
      <c r="L715" s="1">
        <v>2415751100</v>
      </c>
    </row>
    <row r="716" spans="1:12" ht="18" customHeight="1" x14ac:dyDescent="0.45">
      <c r="A716" s="8">
        <v>710</v>
      </c>
      <c r="B716" s="36" t="str">
        <f t="shared" si="294"/>
        <v>神奈川静岡本部</v>
      </c>
      <c r="C716" s="36" t="str">
        <f t="shared" si="294"/>
        <v>ラヴィーレ湘南平塚弐番館</v>
      </c>
      <c r="D716" s="9" t="s">
        <v>2</v>
      </c>
      <c r="E716" s="10">
        <v>3</v>
      </c>
      <c r="F716" s="12">
        <v>2</v>
      </c>
      <c r="G716" s="12">
        <v>0.7</v>
      </c>
      <c r="H716" s="10">
        <f t="shared" si="292"/>
        <v>2</v>
      </c>
      <c r="I716" s="39"/>
      <c r="J716" s="19" cm="1">
        <f t="array" ref="J716">IFERROR(IF(_xlfn.XLOOKUP(L716,NC導入施設!B:B,NC導入施設!E:E)=0,_xlfn.IFS(H716&lt;=5,0,H716&lt;=10,1,H716&lt;=15,2,H716&gt;=16,3),"Null"),"-")</f>
        <v>0</v>
      </c>
      <c r="K716" s="62"/>
      <c r="L716" s="1">
        <v>2415751100</v>
      </c>
    </row>
    <row r="717" spans="1:12" ht="18" customHeight="1" x14ac:dyDescent="0.45">
      <c r="A717" s="13">
        <v>711</v>
      </c>
      <c r="B717" s="40" t="s">
        <v>48</v>
      </c>
      <c r="C717" s="40" t="s">
        <v>68</v>
      </c>
      <c r="D717" s="14" t="s">
        <v>3</v>
      </c>
      <c r="E717" s="15">
        <v>1</v>
      </c>
      <c r="F717" s="17">
        <v>1</v>
      </c>
      <c r="G717" s="17">
        <v>1</v>
      </c>
      <c r="H717" s="15">
        <f t="shared" si="292"/>
        <v>1</v>
      </c>
      <c r="I717" s="43" cm="1">
        <f t="array" ref="I717">IF(J717="-","-",_xlfn.IFS(K717&lt;=5,0,K717&lt;=10,1,K717&lt;=15,2,K717&gt;=16,3))</f>
        <v>3</v>
      </c>
      <c r="J717" s="19" cm="1">
        <f t="array" ref="J717">IFERROR(IF(_xlfn.XLOOKUP(L717,NC導入施設!B:B,NC導入施設!E:E)=0,_xlfn.IFS(H717&lt;=5,0,H717&lt;=10,1,H717&lt;=15,2,H717&gt;=16,3),"Null"),"-")</f>
        <v>0</v>
      </c>
      <c r="K717" s="60">
        <f t="shared" ref="K717" si="295">IFERROR(SUM(H717:H721),"-")</f>
        <v>33</v>
      </c>
      <c r="L717" s="1">
        <v>2415771200</v>
      </c>
    </row>
    <row r="718" spans="1:12" ht="18" customHeight="1" x14ac:dyDescent="0.45">
      <c r="A718" s="13">
        <v>712</v>
      </c>
      <c r="B718" s="41" t="str">
        <f t="shared" ref="B718:C721" si="296">B717</f>
        <v>神奈川静岡本部</v>
      </c>
      <c r="C718" s="41" t="str">
        <f t="shared" si="296"/>
        <v>そんぽの家　鴨宮</v>
      </c>
      <c r="D718" s="14" t="s">
        <v>4</v>
      </c>
      <c r="E718" s="15">
        <v>1</v>
      </c>
      <c r="F718" s="17">
        <v>3</v>
      </c>
      <c r="G718" s="17">
        <v>3</v>
      </c>
      <c r="H718" s="15">
        <f t="shared" si="292"/>
        <v>3</v>
      </c>
      <c r="I718" s="44"/>
      <c r="J718" s="19" cm="1">
        <f t="array" ref="J718">IFERROR(IF(_xlfn.XLOOKUP(L718,NC導入施設!B:B,NC導入施設!E:E)=0,_xlfn.IFS(H718&lt;=5,0,H718&lt;=10,1,H718&lt;=15,2,H718&gt;=16,3),"Null"),"-")</f>
        <v>0</v>
      </c>
      <c r="K718" s="61"/>
      <c r="L718" s="1">
        <v>2415771200</v>
      </c>
    </row>
    <row r="719" spans="1:12" ht="18" customHeight="1" x14ac:dyDescent="0.45">
      <c r="A719" s="13">
        <v>713</v>
      </c>
      <c r="B719" s="41" t="str">
        <f t="shared" si="296"/>
        <v>神奈川静岡本部</v>
      </c>
      <c r="C719" s="41" t="str">
        <f t="shared" si="296"/>
        <v>そんぽの家　鴨宮</v>
      </c>
      <c r="D719" s="14" t="s">
        <v>5</v>
      </c>
      <c r="E719" s="15">
        <v>2</v>
      </c>
      <c r="F719" s="17">
        <v>27</v>
      </c>
      <c r="G719" s="17">
        <v>13.5</v>
      </c>
      <c r="H719" s="15">
        <f t="shared" si="292"/>
        <v>27</v>
      </c>
      <c r="I719" s="44"/>
      <c r="J719" s="19" cm="1">
        <f t="array" ref="J719">IFERROR(IF(_xlfn.XLOOKUP(L719,NC導入施設!B:B,NC導入施設!E:E)=0,_xlfn.IFS(H719&lt;=5,0,H719&lt;=10,1,H719&lt;=15,2,H719&gt;=16,3),"Null"),"-")</f>
        <v>3</v>
      </c>
      <c r="K719" s="61"/>
      <c r="L719" s="1">
        <v>2415771200</v>
      </c>
    </row>
    <row r="720" spans="1:12" ht="18" customHeight="1" x14ac:dyDescent="0.45">
      <c r="A720" s="13">
        <v>714</v>
      </c>
      <c r="B720" s="41" t="str">
        <f t="shared" si="296"/>
        <v>神奈川静岡本部</v>
      </c>
      <c r="C720" s="41" t="str">
        <f t="shared" si="296"/>
        <v>そんぽの家　鴨宮</v>
      </c>
      <c r="D720" s="14" t="s">
        <v>6</v>
      </c>
      <c r="E720" s="15">
        <v>3</v>
      </c>
      <c r="F720" s="17">
        <v>0</v>
      </c>
      <c r="G720" s="17">
        <v>0</v>
      </c>
      <c r="H720" s="15">
        <f t="shared" si="292"/>
        <v>0</v>
      </c>
      <c r="I720" s="44"/>
      <c r="J720" s="19" cm="1">
        <f t="array" ref="J720">IFERROR(IF(_xlfn.XLOOKUP(L720,NC導入施設!B:B,NC導入施設!E:E)=0,_xlfn.IFS(H720&lt;=5,0,H720&lt;=10,1,H720&lt;=15,2,H720&gt;=16,3),"Null"),"-")</f>
        <v>0</v>
      </c>
      <c r="K720" s="61"/>
      <c r="L720" s="1">
        <v>2415771200</v>
      </c>
    </row>
    <row r="721" spans="1:12" ht="18" customHeight="1" x14ac:dyDescent="0.45">
      <c r="A721" s="13">
        <v>715</v>
      </c>
      <c r="B721" s="42" t="str">
        <f t="shared" si="296"/>
        <v>神奈川静岡本部</v>
      </c>
      <c r="C721" s="42" t="str">
        <f t="shared" si="296"/>
        <v>そんぽの家　鴨宮</v>
      </c>
      <c r="D721" s="14" t="s">
        <v>2</v>
      </c>
      <c r="E721" s="15">
        <v>1</v>
      </c>
      <c r="F721" s="17">
        <v>2</v>
      </c>
      <c r="G721" s="17">
        <v>2</v>
      </c>
      <c r="H721" s="15">
        <f t="shared" si="292"/>
        <v>2</v>
      </c>
      <c r="I721" s="45"/>
      <c r="J721" s="19" cm="1">
        <f t="array" ref="J721">IFERROR(IF(_xlfn.XLOOKUP(L721,NC導入施設!B:B,NC導入施設!E:E)=0,_xlfn.IFS(H721&lt;=5,0,H721&lt;=10,1,H721&lt;=15,2,H721&gt;=16,3),"Null"),"-")</f>
        <v>0</v>
      </c>
      <c r="K721" s="62"/>
      <c r="L721" s="1">
        <v>2415771200</v>
      </c>
    </row>
    <row r="722" spans="1:12" ht="18" customHeight="1" x14ac:dyDescent="0.45">
      <c r="A722" s="8">
        <v>716</v>
      </c>
      <c r="B722" s="34" t="s">
        <v>48</v>
      </c>
      <c r="C722" s="34" t="s">
        <v>270</v>
      </c>
      <c r="D722" s="9" t="s">
        <v>3</v>
      </c>
      <c r="E722" s="10">
        <v>1</v>
      </c>
      <c r="F722" s="12">
        <v>0</v>
      </c>
      <c r="G722" s="12">
        <v>0</v>
      </c>
      <c r="H722" s="10">
        <f t="shared" si="292"/>
        <v>0</v>
      </c>
      <c r="I722" s="37" cm="1">
        <f t="array" ref="I722">IF(J722="-","-",_xlfn.IFS(K722&lt;=5,0,K722&lt;=10,1,K722&lt;=15,2,K722&gt;=16,3))</f>
        <v>2</v>
      </c>
      <c r="J722" s="19" cm="1">
        <f t="array" ref="J722">IFERROR(IF(_xlfn.XLOOKUP(L722,NC導入施設!B:B,NC導入施設!E:E)=0,_xlfn.IFS(H722&lt;=5,0,H722&lt;=10,1,H722&lt;=15,2,H722&gt;=16,3),"Null"),"-")</f>
        <v>0</v>
      </c>
      <c r="K722" s="60">
        <f t="shared" ref="K722" si="297">IFERROR(SUM(H722:H726),"-")</f>
        <v>11</v>
      </c>
      <c r="L722" s="1">
        <v>2415781100</v>
      </c>
    </row>
    <row r="723" spans="1:12" ht="18" customHeight="1" x14ac:dyDescent="0.45">
      <c r="A723" s="8">
        <v>717</v>
      </c>
      <c r="B723" s="35" t="str">
        <f t="shared" ref="B723:C726" si="298">B722</f>
        <v>神奈川静岡本部</v>
      </c>
      <c r="C723" s="35" t="str">
        <f t="shared" si="298"/>
        <v>ラヴィーレ小田原</v>
      </c>
      <c r="D723" s="9" t="s">
        <v>4</v>
      </c>
      <c r="E723" s="10">
        <v>1</v>
      </c>
      <c r="F723" s="12">
        <v>1</v>
      </c>
      <c r="G723" s="12">
        <v>1</v>
      </c>
      <c r="H723" s="10">
        <f t="shared" si="292"/>
        <v>1</v>
      </c>
      <c r="I723" s="38"/>
      <c r="J723" s="19" cm="1">
        <f t="array" ref="J723">IFERROR(IF(_xlfn.XLOOKUP(L723,NC導入施設!B:B,NC導入施設!E:E)=0,_xlfn.IFS(H723&lt;=5,0,H723&lt;=10,1,H723&lt;=15,2,H723&gt;=16,3),"Null"),"-")</f>
        <v>0</v>
      </c>
      <c r="K723" s="61"/>
      <c r="L723" s="1">
        <v>2415781100</v>
      </c>
    </row>
    <row r="724" spans="1:12" ht="18" customHeight="1" x14ac:dyDescent="0.45">
      <c r="A724" s="8">
        <v>718</v>
      </c>
      <c r="B724" s="35" t="str">
        <f t="shared" si="298"/>
        <v>神奈川静岡本部</v>
      </c>
      <c r="C724" s="35" t="str">
        <f t="shared" si="298"/>
        <v>ラヴィーレ小田原</v>
      </c>
      <c r="D724" s="9" t="s">
        <v>5</v>
      </c>
      <c r="E724" s="10">
        <v>2</v>
      </c>
      <c r="F724" s="12">
        <v>9</v>
      </c>
      <c r="G724" s="12">
        <v>4.5</v>
      </c>
      <c r="H724" s="10">
        <f t="shared" si="292"/>
        <v>9</v>
      </c>
      <c r="I724" s="38"/>
      <c r="J724" s="19" cm="1">
        <f t="array" ref="J724">IFERROR(IF(_xlfn.XLOOKUP(L724,NC導入施設!B:B,NC導入施設!E:E)=0,_xlfn.IFS(H724&lt;=5,0,H724&lt;=10,1,H724&lt;=15,2,H724&gt;=16,3),"Null"),"-")</f>
        <v>1</v>
      </c>
      <c r="K724" s="61"/>
      <c r="L724" s="1">
        <v>2415781100</v>
      </c>
    </row>
    <row r="725" spans="1:12" ht="18" customHeight="1" x14ac:dyDescent="0.45">
      <c r="A725" s="8">
        <v>719</v>
      </c>
      <c r="B725" s="35" t="str">
        <f t="shared" si="298"/>
        <v>神奈川静岡本部</v>
      </c>
      <c r="C725" s="35" t="str">
        <f t="shared" si="298"/>
        <v>ラヴィーレ小田原</v>
      </c>
      <c r="D725" s="9" t="s">
        <v>6</v>
      </c>
      <c r="E725" s="10">
        <v>5</v>
      </c>
      <c r="F725" s="12">
        <v>0</v>
      </c>
      <c r="G725" s="12">
        <v>0</v>
      </c>
      <c r="H725" s="10">
        <f t="shared" si="292"/>
        <v>0</v>
      </c>
      <c r="I725" s="38"/>
      <c r="J725" s="19" cm="1">
        <f t="array" ref="J725">IFERROR(IF(_xlfn.XLOOKUP(L725,NC導入施設!B:B,NC導入施設!E:E)=0,_xlfn.IFS(H725&lt;=5,0,H725&lt;=10,1,H725&lt;=15,2,H725&gt;=16,3),"Null"),"-")</f>
        <v>0</v>
      </c>
      <c r="K725" s="61"/>
      <c r="L725" s="1">
        <v>2415781100</v>
      </c>
    </row>
    <row r="726" spans="1:12" ht="18" customHeight="1" x14ac:dyDescent="0.45">
      <c r="A726" s="8">
        <v>720</v>
      </c>
      <c r="B726" s="36" t="str">
        <f t="shared" si="298"/>
        <v>神奈川静岡本部</v>
      </c>
      <c r="C726" s="36" t="str">
        <f t="shared" si="298"/>
        <v>ラヴィーレ小田原</v>
      </c>
      <c r="D726" s="9" t="s">
        <v>2</v>
      </c>
      <c r="E726" s="10">
        <v>2</v>
      </c>
      <c r="F726" s="12">
        <v>1</v>
      </c>
      <c r="G726" s="12">
        <v>0.5</v>
      </c>
      <c r="H726" s="10">
        <f t="shared" si="292"/>
        <v>1</v>
      </c>
      <c r="I726" s="39"/>
      <c r="J726" s="19" cm="1">
        <f t="array" ref="J726">IFERROR(IF(_xlfn.XLOOKUP(L726,NC導入施設!B:B,NC導入施設!E:E)=0,_xlfn.IFS(H726&lt;=5,0,H726&lt;=10,1,H726&lt;=15,2,H726&gt;=16,3),"Null"),"-")</f>
        <v>0</v>
      </c>
      <c r="K726" s="62"/>
      <c r="L726" s="1">
        <v>2415781100</v>
      </c>
    </row>
    <row r="727" spans="1:12" ht="18" customHeight="1" x14ac:dyDescent="0.45">
      <c r="A727" s="13">
        <v>721</v>
      </c>
      <c r="B727" s="40" t="s">
        <v>48</v>
      </c>
      <c r="C727" s="40" t="s">
        <v>271</v>
      </c>
      <c r="D727" s="14" t="s">
        <v>3</v>
      </c>
      <c r="E727" s="15">
        <v>1</v>
      </c>
      <c r="F727" s="17">
        <v>12</v>
      </c>
      <c r="G727" s="17">
        <v>12</v>
      </c>
      <c r="H727" s="15">
        <f t="shared" si="292"/>
        <v>12</v>
      </c>
      <c r="I727" s="43" cm="1">
        <f t="array" ref="I727">IF(J727="-","-",_xlfn.IFS(K727&lt;=5,0,K727&lt;=10,1,K727&lt;=15,2,K727&gt;=16,3))</f>
        <v>3</v>
      </c>
      <c r="J727" s="19" cm="1">
        <f t="array" ref="J727">IFERROR(IF(_xlfn.XLOOKUP(L727,NC導入施設!B:B,NC導入施設!E:E)=0,_xlfn.IFS(H727&lt;=5,0,H727&lt;=10,1,H727&lt;=15,2,H727&gt;=16,3),"Null"),"-")</f>
        <v>2</v>
      </c>
      <c r="K727" s="60">
        <f t="shared" ref="K727" si="299">IFERROR(SUM(H727:H731),"-")</f>
        <v>35</v>
      </c>
      <c r="L727" s="1">
        <v>2415791100</v>
      </c>
    </row>
    <row r="728" spans="1:12" ht="18" customHeight="1" x14ac:dyDescent="0.45">
      <c r="A728" s="13">
        <v>722</v>
      </c>
      <c r="B728" s="41" t="str">
        <f t="shared" ref="B728:C731" si="300">B727</f>
        <v>神奈川静岡本部</v>
      </c>
      <c r="C728" s="41" t="str">
        <f t="shared" si="300"/>
        <v>ラヴィーレ小田原弐番館</v>
      </c>
      <c r="D728" s="14" t="s">
        <v>4</v>
      </c>
      <c r="E728" s="15">
        <v>2</v>
      </c>
      <c r="F728" s="17">
        <v>0</v>
      </c>
      <c r="G728" s="17">
        <v>0</v>
      </c>
      <c r="H728" s="15">
        <f t="shared" si="292"/>
        <v>0</v>
      </c>
      <c r="I728" s="44"/>
      <c r="J728" s="19" cm="1">
        <f t="array" ref="J728">IFERROR(IF(_xlfn.XLOOKUP(L728,NC導入施設!B:B,NC導入施設!E:E)=0,_xlfn.IFS(H728&lt;=5,0,H728&lt;=10,1,H728&lt;=15,2,H728&gt;=16,3),"Null"),"-")</f>
        <v>0</v>
      </c>
      <c r="K728" s="61"/>
      <c r="L728" s="1">
        <v>2415791100</v>
      </c>
    </row>
    <row r="729" spans="1:12" ht="18" customHeight="1" x14ac:dyDescent="0.45">
      <c r="A729" s="13">
        <v>723</v>
      </c>
      <c r="B729" s="41" t="str">
        <f t="shared" si="300"/>
        <v>神奈川静岡本部</v>
      </c>
      <c r="C729" s="41" t="str">
        <f t="shared" si="300"/>
        <v>ラヴィーレ小田原弐番館</v>
      </c>
      <c r="D729" s="14" t="s">
        <v>5</v>
      </c>
      <c r="E729" s="15">
        <v>3</v>
      </c>
      <c r="F729" s="17">
        <v>19</v>
      </c>
      <c r="G729" s="17">
        <v>6.3</v>
      </c>
      <c r="H729" s="15">
        <f t="shared" si="292"/>
        <v>19</v>
      </c>
      <c r="I729" s="44"/>
      <c r="J729" s="19" cm="1">
        <f t="array" ref="J729">IFERROR(IF(_xlfn.XLOOKUP(L729,NC導入施設!B:B,NC導入施設!E:E)=0,_xlfn.IFS(H729&lt;=5,0,H729&lt;=10,1,H729&lt;=15,2,H729&gt;=16,3),"Null"),"-")</f>
        <v>3</v>
      </c>
      <c r="K729" s="61"/>
      <c r="L729" s="1">
        <v>2415791100</v>
      </c>
    </row>
    <row r="730" spans="1:12" ht="18" customHeight="1" x14ac:dyDescent="0.45">
      <c r="A730" s="13">
        <v>724</v>
      </c>
      <c r="B730" s="41" t="str">
        <f t="shared" si="300"/>
        <v>神奈川静岡本部</v>
      </c>
      <c r="C730" s="41" t="str">
        <f t="shared" si="300"/>
        <v>ラヴィーレ小田原弐番館</v>
      </c>
      <c r="D730" s="14" t="s">
        <v>6</v>
      </c>
      <c r="E730" s="15">
        <v>5</v>
      </c>
      <c r="F730" s="17">
        <v>4</v>
      </c>
      <c r="G730" s="17">
        <v>0.8</v>
      </c>
      <c r="H730" s="15">
        <f t="shared" si="292"/>
        <v>4</v>
      </c>
      <c r="I730" s="44"/>
      <c r="J730" s="19" cm="1">
        <f t="array" ref="J730">IFERROR(IF(_xlfn.XLOOKUP(L730,NC導入施設!B:B,NC導入施設!E:E)=0,_xlfn.IFS(H730&lt;=5,0,H730&lt;=10,1,H730&lt;=15,2,H730&gt;=16,3),"Null"),"-")</f>
        <v>0</v>
      </c>
      <c r="K730" s="61"/>
      <c r="L730" s="1">
        <v>2415791100</v>
      </c>
    </row>
    <row r="731" spans="1:12" ht="18" customHeight="1" x14ac:dyDescent="0.45">
      <c r="A731" s="13">
        <v>725</v>
      </c>
      <c r="B731" s="42" t="str">
        <f t="shared" si="300"/>
        <v>神奈川静岡本部</v>
      </c>
      <c r="C731" s="42" t="str">
        <f t="shared" si="300"/>
        <v>ラヴィーレ小田原弐番館</v>
      </c>
      <c r="D731" s="14" t="s">
        <v>2</v>
      </c>
      <c r="E731" s="15">
        <v>2</v>
      </c>
      <c r="F731" s="17">
        <v>0</v>
      </c>
      <c r="G731" s="17">
        <v>0</v>
      </c>
      <c r="H731" s="15">
        <f t="shared" si="292"/>
        <v>0</v>
      </c>
      <c r="I731" s="45"/>
      <c r="J731" s="19" cm="1">
        <f t="array" ref="J731">IFERROR(IF(_xlfn.XLOOKUP(L731,NC導入施設!B:B,NC導入施設!E:E)=0,_xlfn.IFS(H731&lt;=5,0,H731&lt;=10,1,H731&lt;=15,2,H731&gt;=16,3),"Null"),"-")</f>
        <v>0</v>
      </c>
      <c r="K731" s="62"/>
      <c r="L731" s="1">
        <v>2415791100</v>
      </c>
    </row>
    <row r="732" spans="1:12" ht="18" customHeight="1" x14ac:dyDescent="0.45">
      <c r="A732" s="8">
        <v>726</v>
      </c>
      <c r="B732" s="34" t="s">
        <v>48</v>
      </c>
      <c r="C732" s="34" t="s">
        <v>272</v>
      </c>
      <c r="D732" s="9" t="s">
        <v>3</v>
      </c>
      <c r="E732" s="10">
        <v>1</v>
      </c>
      <c r="F732" s="12">
        <v>0</v>
      </c>
      <c r="G732" s="12">
        <v>0</v>
      </c>
      <c r="H732" s="10">
        <f t="shared" si="292"/>
        <v>0</v>
      </c>
      <c r="I732" s="37" cm="1">
        <f t="array" ref="I732">IF(J732="-","-",_xlfn.IFS(K732&lt;=5,0,K732&lt;=10,1,K732&lt;=15,2,K732&gt;=16,3))</f>
        <v>3</v>
      </c>
      <c r="J732" s="19" cm="1">
        <f t="array" ref="J732">IFERROR(IF(_xlfn.XLOOKUP(L732,NC導入施設!B:B,NC導入施設!E:E)=0,_xlfn.IFS(H732&lt;=5,0,H732&lt;=10,1,H732&lt;=15,2,H732&gt;=16,3),"Null"),"-")</f>
        <v>0</v>
      </c>
      <c r="K732" s="60">
        <f t="shared" ref="K732" si="301">IFERROR(SUM(H732:H736),"-")</f>
        <v>47</v>
      </c>
      <c r="L732" s="1">
        <v>2415801100</v>
      </c>
    </row>
    <row r="733" spans="1:12" ht="18" customHeight="1" x14ac:dyDescent="0.45">
      <c r="A733" s="8">
        <v>727</v>
      </c>
      <c r="B733" s="35" t="str">
        <f t="shared" ref="B733:C736" si="302">B732</f>
        <v>神奈川静岡本部</v>
      </c>
      <c r="C733" s="35" t="str">
        <f t="shared" si="302"/>
        <v>ラヴィーレ大磯</v>
      </c>
      <c r="D733" s="9" t="s">
        <v>4</v>
      </c>
      <c r="E733" s="10">
        <v>1</v>
      </c>
      <c r="F733" s="12">
        <v>6</v>
      </c>
      <c r="G733" s="12">
        <v>6</v>
      </c>
      <c r="H733" s="10">
        <f t="shared" si="292"/>
        <v>6</v>
      </c>
      <c r="I733" s="38"/>
      <c r="J733" s="19" cm="1">
        <f t="array" ref="J733">IFERROR(IF(_xlfn.XLOOKUP(L733,NC導入施設!B:B,NC導入施設!E:E)=0,_xlfn.IFS(H733&lt;=5,0,H733&lt;=10,1,H733&lt;=15,2,H733&gt;=16,3),"Null"),"-")</f>
        <v>1</v>
      </c>
      <c r="K733" s="61"/>
      <c r="L733" s="1">
        <v>2415801100</v>
      </c>
    </row>
    <row r="734" spans="1:12" ht="18" customHeight="1" x14ac:dyDescent="0.45">
      <c r="A734" s="8">
        <v>728</v>
      </c>
      <c r="B734" s="35" t="str">
        <f t="shared" si="302"/>
        <v>神奈川静岡本部</v>
      </c>
      <c r="C734" s="35" t="str">
        <f t="shared" si="302"/>
        <v>ラヴィーレ大磯</v>
      </c>
      <c r="D734" s="9" t="s">
        <v>5</v>
      </c>
      <c r="E734" s="10">
        <v>2</v>
      </c>
      <c r="F734" s="12">
        <v>34</v>
      </c>
      <c r="G734" s="12">
        <v>17</v>
      </c>
      <c r="H734" s="10">
        <f t="shared" si="292"/>
        <v>34</v>
      </c>
      <c r="I734" s="38"/>
      <c r="J734" s="19" cm="1">
        <f t="array" ref="J734">IFERROR(IF(_xlfn.XLOOKUP(L734,NC導入施設!B:B,NC導入施設!E:E)=0,_xlfn.IFS(H734&lt;=5,0,H734&lt;=10,1,H734&lt;=15,2,H734&gt;=16,3),"Null"),"-")</f>
        <v>3</v>
      </c>
      <c r="K734" s="61"/>
      <c r="L734" s="1">
        <v>2415801100</v>
      </c>
    </row>
    <row r="735" spans="1:12" ht="18" customHeight="1" x14ac:dyDescent="0.45">
      <c r="A735" s="8">
        <v>729</v>
      </c>
      <c r="B735" s="35" t="str">
        <f t="shared" si="302"/>
        <v>神奈川静岡本部</v>
      </c>
      <c r="C735" s="35" t="str">
        <f t="shared" si="302"/>
        <v>ラヴィーレ大磯</v>
      </c>
      <c r="D735" s="9" t="s">
        <v>6</v>
      </c>
      <c r="E735" s="10">
        <v>4</v>
      </c>
      <c r="F735" s="12">
        <v>0</v>
      </c>
      <c r="G735" s="12">
        <v>0</v>
      </c>
      <c r="H735" s="10">
        <f t="shared" si="292"/>
        <v>0</v>
      </c>
      <c r="I735" s="38"/>
      <c r="J735" s="19" cm="1">
        <f t="array" ref="J735">IFERROR(IF(_xlfn.XLOOKUP(L735,NC導入施設!B:B,NC導入施設!E:E)=0,_xlfn.IFS(H735&lt;=5,0,H735&lt;=10,1,H735&lt;=15,2,H735&gt;=16,3),"Null"),"-")</f>
        <v>0</v>
      </c>
      <c r="K735" s="61"/>
      <c r="L735" s="1">
        <v>2415801100</v>
      </c>
    </row>
    <row r="736" spans="1:12" ht="18" customHeight="1" x14ac:dyDescent="0.45">
      <c r="A736" s="8">
        <v>730</v>
      </c>
      <c r="B736" s="36" t="str">
        <f t="shared" si="302"/>
        <v>神奈川静岡本部</v>
      </c>
      <c r="C736" s="36" t="str">
        <f t="shared" si="302"/>
        <v>ラヴィーレ大磯</v>
      </c>
      <c r="D736" s="9" t="s">
        <v>2</v>
      </c>
      <c r="E736" s="10">
        <v>2</v>
      </c>
      <c r="F736" s="12">
        <v>7</v>
      </c>
      <c r="G736" s="12">
        <v>3.5</v>
      </c>
      <c r="H736" s="10">
        <f t="shared" si="292"/>
        <v>7</v>
      </c>
      <c r="I736" s="39"/>
      <c r="J736" s="19" cm="1">
        <f t="array" ref="J736">IFERROR(IF(_xlfn.XLOOKUP(L736,NC導入施設!B:B,NC導入施設!E:E)=0,_xlfn.IFS(H736&lt;=5,0,H736&lt;=10,1,H736&lt;=15,2,H736&gt;=16,3),"Null"),"-")</f>
        <v>1</v>
      </c>
      <c r="K736" s="62"/>
      <c r="L736" s="1">
        <v>2415801100</v>
      </c>
    </row>
    <row r="737" spans="1:12" ht="18" customHeight="1" x14ac:dyDescent="0.45">
      <c r="A737" s="13">
        <v>731</v>
      </c>
      <c r="B737" s="40" t="s">
        <v>48</v>
      </c>
      <c r="C737" s="40" t="s">
        <v>273</v>
      </c>
      <c r="D737" s="14" t="s">
        <v>3</v>
      </c>
      <c r="E737" s="15">
        <v>1</v>
      </c>
      <c r="F737" s="17">
        <v>1</v>
      </c>
      <c r="G737" s="17">
        <v>1</v>
      </c>
      <c r="H737" s="15">
        <f t="shared" si="292"/>
        <v>1</v>
      </c>
      <c r="I737" s="43" t="str" cm="1">
        <f t="array" ref="I737">IF(J737="-","-",_xlfn.IFS(K737&lt;=5,0,K737&lt;=10,1,K737&lt;=15,2,K737&gt;=16,3))</f>
        <v>-</v>
      </c>
      <c r="J737" s="19" t="str" cm="1">
        <f t="array" ref="J737">IFERROR(IF(_xlfn.XLOOKUP(L737,NC導入施設!B:B,NC導入施設!E:E)=0,_xlfn.IFS(H737&lt;=5,0,H737&lt;=10,1,H737&lt;=15,2,H737&gt;=16,3),"Null"),"-")</f>
        <v>-</v>
      </c>
      <c r="K737" s="60">
        <f t="shared" ref="K737" si="303">IFERROR(SUM(H737:H741),"-")</f>
        <v>1</v>
      </c>
      <c r="L737" s="1">
        <v>2418321100</v>
      </c>
    </row>
    <row r="738" spans="1:12" ht="18" customHeight="1" x14ac:dyDescent="0.45">
      <c r="A738" s="13">
        <v>732</v>
      </c>
      <c r="B738" s="41" t="str">
        <f t="shared" ref="B738:C741" si="304">B737</f>
        <v>神奈川静岡本部</v>
      </c>
      <c r="C738" s="41" t="str">
        <f t="shared" si="304"/>
        <v>ラヴィーレ多摩川桜並木</v>
      </c>
      <c r="D738" s="14" t="s">
        <v>4</v>
      </c>
      <c r="E738" s="15">
        <v>1</v>
      </c>
      <c r="F738" s="17">
        <v>0</v>
      </c>
      <c r="G738" s="17">
        <v>0</v>
      </c>
      <c r="H738" s="15">
        <f t="shared" si="292"/>
        <v>0</v>
      </c>
      <c r="I738" s="44"/>
      <c r="J738" s="19" t="str" cm="1">
        <f t="array" ref="J738">IFERROR(IF(_xlfn.XLOOKUP(L738,NC導入施設!B:B,NC導入施設!E:E)=0,_xlfn.IFS(H738&lt;=5,0,H738&lt;=10,1,H738&lt;=15,2,H738&gt;=16,3),"Null"),"-")</f>
        <v>-</v>
      </c>
      <c r="K738" s="61"/>
      <c r="L738" s="1">
        <v>2418321100</v>
      </c>
    </row>
    <row r="739" spans="1:12" ht="18" customHeight="1" x14ac:dyDescent="0.45">
      <c r="A739" s="13">
        <v>733</v>
      </c>
      <c r="B739" s="41" t="str">
        <f t="shared" si="304"/>
        <v>神奈川静岡本部</v>
      </c>
      <c r="C739" s="41" t="str">
        <f t="shared" si="304"/>
        <v>ラヴィーレ多摩川桜並木</v>
      </c>
      <c r="D739" s="14" t="s">
        <v>5</v>
      </c>
      <c r="E739" s="15">
        <v>2</v>
      </c>
      <c r="F739" s="17">
        <v>0</v>
      </c>
      <c r="G739" s="17">
        <v>0</v>
      </c>
      <c r="H739" s="15">
        <f t="shared" si="292"/>
        <v>0</v>
      </c>
      <c r="I739" s="44"/>
      <c r="J739" s="19" t="str" cm="1">
        <f t="array" ref="J739">IFERROR(IF(_xlfn.XLOOKUP(L739,NC導入施設!B:B,NC導入施設!E:E)=0,_xlfn.IFS(H739&lt;=5,0,H739&lt;=10,1,H739&lt;=15,2,H739&gt;=16,3),"Null"),"-")</f>
        <v>-</v>
      </c>
      <c r="K739" s="61"/>
      <c r="L739" s="1">
        <v>2418321100</v>
      </c>
    </row>
    <row r="740" spans="1:12" ht="18" customHeight="1" x14ac:dyDescent="0.45">
      <c r="A740" s="13">
        <v>734</v>
      </c>
      <c r="B740" s="41" t="str">
        <f t="shared" si="304"/>
        <v>神奈川静岡本部</v>
      </c>
      <c r="C740" s="41" t="str">
        <f t="shared" si="304"/>
        <v>ラヴィーレ多摩川桜並木</v>
      </c>
      <c r="D740" s="14" t="s">
        <v>6</v>
      </c>
      <c r="E740" s="15">
        <v>8</v>
      </c>
      <c r="F740" s="17">
        <v>0</v>
      </c>
      <c r="G740" s="17">
        <v>0</v>
      </c>
      <c r="H740" s="15">
        <f t="shared" si="292"/>
        <v>0</v>
      </c>
      <c r="I740" s="44"/>
      <c r="J740" s="19" t="str" cm="1">
        <f t="array" ref="J740">IFERROR(IF(_xlfn.XLOOKUP(L740,NC導入施設!B:B,NC導入施設!E:E)=0,_xlfn.IFS(H740&lt;=5,0,H740&lt;=10,1,H740&lt;=15,2,H740&gt;=16,3),"Null"),"-")</f>
        <v>-</v>
      </c>
      <c r="K740" s="61"/>
      <c r="L740" s="1">
        <v>2418321100</v>
      </c>
    </row>
    <row r="741" spans="1:12" ht="18" customHeight="1" x14ac:dyDescent="0.45">
      <c r="A741" s="13">
        <v>735</v>
      </c>
      <c r="B741" s="42" t="str">
        <f t="shared" si="304"/>
        <v>神奈川静岡本部</v>
      </c>
      <c r="C741" s="42" t="str">
        <f t="shared" si="304"/>
        <v>ラヴィーレ多摩川桜並木</v>
      </c>
      <c r="D741" s="14" t="s">
        <v>2</v>
      </c>
      <c r="E741" s="15">
        <v>1</v>
      </c>
      <c r="F741" s="17">
        <v>0</v>
      </c>
      <c r="G741" s="17">
        <v>0</v>
      </c>
      <c r="H741" s="15">
        <f t="shared" si="292"/>
        <v>0</v>
      </c>
      <c r="I741" s="45"/>
      <c r="J741" s="19" t="str" cm="1">
        <f t="array" ref="J741">IFERROR(IF(_xlfn.XLOOKUP(L741,NC導入施設!B:B,NC導入施設!E:E)=0,_xlfn.IFS(H741&lt;=5,0,H741&lt;=10,1,H741&lt;=15,2,H741&gt;=16,3),"Null"),"-")</f>
        <v>-</v>
      </c>
      <c r="K741" s="62"/>
      <c r="L741" s="1">
        <v>2418321100</v>
      </c>
    </row>
    <row r="742" spans="1:12" ht="18" customHeight="1" x14ac:dyDescent="0.45">
      <c r="A742" s="8">
        <v>736</v>
      </c>
      <c r="B742" s="34" t="s">
        <v>48</v>
      </c>
      <c r="C742" s="34" t="s">
        <v>274</v>
      </c>
      <c r="D742" s="9" t="s">
        <v>3</v>
      </c>
      <c r="E742" s="10">
        <v>1</v>
      </c>
      <c r="F742" s="12">
        <v>0</v>
      </c>
      <c r="G742" s="12">
        <v>0</v>
      </c>
      <c r="H742" s="10">
        <f t="shared" si="292"/>
        <v>0</v>
      </c>
      <c r="I742" s="37" t="str" cm="1">
        <f t="array" ref="I742">IF(J742="-","-",_xlfn.IFS(K742&lt;=5,0,K742&lt;=10,1,K742&lt;=15,2,K742&gt;=16,3))</f>
        <v>-</v>
      </c>
      <c r="J742" s="19" t="str" cm="1">
        <f t="array" ref="J742">IFERROR(IF(_xlfn.XLOOKUP(L742,NC導入施設!B:B,NC導入施設!E:E)=0,_xlfn.IFS(H742&lt;=5,0,H742&lt;=10,1,H742&lt;=15,2,H742&gt;=16,3),"Null"),"-")</f>
        <v>-</v>
      </c>
      <c r="K742" s="60">
        <f t="shared" ref="K742" si="305">IFERROR(SUM(H742:H746),"-")</f>
        <v>1</v>
      </c>
      <c r="L742" s="1">
        <v>2418331100</v>
      </c>
    </row>
    <row r="743" spans="1:12" ht="18" customHeight="1" x14ac:dyDescent="0.45">
      <c r="A743" s="8">
        <v>737</v>
      </c>
      <c r="B743" s="35" t="str">
        <f t="shared" ref="B743:C746" si="306">B742</f>
        <v>神奈川静岡本部</v>
      </c>
      <c r="C743" s="35" t="str">
        <f t="shared" si="306"/>
        <v>ラヴィーレ久地</v>
      </c>
      <c r="D743" s="9" t="s">
        <v>4</v>
      </c>
      <c r="E743" s="10">
        <v>1</v>
      </c>
      <c r="F743" s="12">
        <v>0</v>
      </c>
      <c r="G743" s="12">
        <v>0</v>
      </c>
      <c r="H743" s="10">
        <f t="shared" si="292"/>
        <v>0</v>
      </c>
      <c r="I743" s="38"/>
      <c r="J743" s="19" t="str" cm="1">
        <f t="array" ref="J743">IFERROR(IF(_xlfn.XLOOKUP(L743,NC導入施設!B:B,NC導入施設!E:E)=0,_xlfn.IFS(H743&lt;=5,0,H743&lt;=10,1,H743&lt;=15,2,H743&gt;=16,3),"Null"),"-")</f>
        <v>-</v>
      </c>
      <c r="K743" s="61"/>
      <c r="L743" s="1">
        <v>2418331100</v>
      </c>
    </row>
    <row r="744" spans="1:12" ht="18" customHeight="1" x14ac:dyDescent="0.45">
      <c r="A744" s="8">
        <v>738</v>
      </c>
      <c r="B744" s="35" t="str">
        <f t="shared" si="306"/>
        <v>神奈川静岡本部</v>
      </c>
      <c r="C744" s="35" t="str">
        <f t="shared" si="306"/>
        <v>ラヴィーレ久地</v>
      </c>
      <c r="D744" s="9" t="s">
        <v>5</v>
      </c>
      <c r="E744" s="10">
        <v>2</v>
      </c>
      <c r="F744" s="12">
        <v>1</v>
      </c>
      <c r="G744" s="12">
        <v>0.5</v>
      </c>
      <c r="H744" s="10">
        <f t="shared" si="292"/>
        <v>1</v>
      </c>
      <c r="I744" s="38"/>
      <c r="J744" s="19" t="str" cm="1">
        <f t="array" ref="J744">IFERROR(IF(_xlfn.XLOOKUP(L744,NC導入施設!B:B,NC導入施設!E:E)=0,_xlfn.IFS(H744&lt;=5,0,H744&lt;=10,1,H744&lt;=15,2,H744&gt;=16,3),"Null"),"-")</f>
        <v>-</v>
      </c>
      <c r="K744" s="61"/>
      <c r="L744" s="1">
        <v>2418331100</v>
      </c>
    </row>
    <row r="745" spans="1:12" ht="18" customHeight="1" x14ac:dyDescent="0.45">
      <c r="A745" s="8">
        <v>739</v>
      </c>
      <c r="B745" s="35" t="str">
        <f t="shared" si="306"/>
        <v>神奈川静岡本部</v>
      </c>
      <c r="C745" s="35" t="str">
        <f t="shared" si="306"/>
        <v>ラヴィーレ久地</v>
      </c>
      <c r="D745" s="9" t="s">
        <v>6</v>
      </c>
      <c r="E745" s="10">
        <v>8</v>
      </c>
      <c r="F745" s="12">
        <v>0</v>
      </c>
      <c r="G745" s="12">
        <v>0</v>
      </c>
      <c r="H745" s="10">
        <f t="shared" si="292"/>
        <v>0</v>
      </c>
      <c r="I745" s="38"/>
      <c r="J745" s="19" t="str" cm="1">
        <f t="array" ref="J745">IFERROR(IF(_xlfn.XLOOKUP(L745,NC導入施設!B:B,NC導入施設!E:E)=0,_xlfn.IFS(H745&lt;=5,0,H745&lt;=10,1,H745&lt;=15,2,H745&gt;=16,3),"Null"),"-")</f>
        <v>-</v>
      </c>
      <c r="K745" s="61"/>
      <c r="L745" s="1">
        <v>2418331100</v>
      </c>
    </row>
    <row r="746" spans="1:12" ht="18" customHeight="1" x14ac:dyDescent="0.45">
      <c r="A746" s="8">
        <v>740</v>
      </c>
      <c r="B746" s="36" t="str">
        <f t="shared" si="306"/>
        <v>神奈川静岡本部</v>
      </c>
      <c r="C746" s="36" t="str">
        <f t="shared" si="306"/>
        <v>ラヴィーレ久地</v>
      </c>
      <c r="D746" s="9" t="s">
        <v>2</v>
      </c>
      <c r="E746" s="10">
        <v>2</v>
      </c>
      <c r="F746" s="12">
        <v>0</v>
      </c>
      <c r="G746" s="12">
        <v>0</v>
      </c>
      <c r="H746" s="10">
        <f t="shared" si="292"/>
        <v>0</v>
      </c>
      <c r="I746" s="39"/>
      <c r="J746" s="19" t="str" cm="1">
        <f t="array" ref="J746">IFERROR(IF(_xlfn.XLOOKUP(L746,NC導入施設!B:B,NC導入施設!E:E)=0,_xlfn.IFS(H746&lt;=5,0,H746&lt;=10,1,H746&lt;=15,2,H746&gt;=16,3),"Null"),"-")</f>
        <v>-</v>
      </c>
      <c r="K746" s="62"/>
      <c r="L746" s="1">
        <v>2418331100</v>
      </c>
    </row>
    <row r="747" spans="1:12" ht="18" customHeight="1" x14ac:dyDescent="0.45">
      <c r="A747" s="13">
        <v>741</v>
      </c>
      <c r="B747" s="40" t="s">
        <v>48</v>
      </c>
      <c r="C747" s="40" t="s">
        <v>275</v>
      </c>
      <c r="D747" s="14" t="s">
        <v>3</v>
      </c>
      <c r="E747" s="15">
        <v>1</v>
      </c>
      <c r="F747" s="17">
        <v>0</v>
      </c>
      <c r="G747" s="17">
        <v>0</v>
      </c>
      <c r="H747" s="15">
        <f t="shared" si="292"/>
        <v>0</v>
      </c>
      <c r="I747" s="43" t="str" cm="1">
        <f t="array" ref="I747">IF(J747="-","-",_xlfn.IFS(K747&lt;=5,0,K747&lt;=10,1,K747&lt;=15,2,K747&gt;=16,3))</f>
        <v>-</v>
      </c>
      <c r="J747" s="19" t="str" cm="1">
        <f t="array" ref="J747">IFERROR(IF(_xlfn.XLOOKUP(L747,NC導入施設!B:B,NC導入施設!E:E)=0,_xlfn.IFS(H747&lt;=5,0,H747&lt;=10,1,H747&lt;=15,2,H747&gt;=16,3),"Null"),"-")</f>
        <v>-</v>
      </c>
      <c r="K747" s="60">
        <f t="shared" ref="K747" si="307">IFERROR(SUM(H747:H751),"-")</f>
        <v>0</v>
      </c>
      <c r="L747" s="1">
        <v>2418371100</v>
      </c>
    </row>
    <row r="748" spans="1:12" ht="18" customHeight="1" x14ac:dyDescent="0.45">
      <c r="A748" s="13">
        <v>742</v>
      </c>
      <c r="B748" s="41" t="str">
        <f t="shared" ref="B748:C751" si="308">B747</f>
        <v>神奈川静岡本部</v>
      </c>
      <c r="C748" s="41" t="str">
        <f t="shared" si="308"/>
        <v>ラヴィーレ湘南鷹取</v>
      </c>
      <c r="D748" s="14" t="s">
        <v>4</v>
      </c>
      <c r="E748" s="15">
        <v>1</v>
      </c>
      <c r="F748" s="17">
        <v>0</v>
      </c>
      <c r="G748" s="17">
        <v>0</v>
      </c>
      <c r="H748" s="15">
        <f t="shared" si="292"/>
        <v>0</v>
      </c>
      <c r="I748" s="44"/>
      <c r="J748" s="19" t="str" cm="1">
        <f t="array" ref="J748">IFERROR(IF(_xlfn.XLOOKUP(L748,NC導入施設!B:B,NC導入施設!E:E)=0,_xlfn.IFS(H748&lt;=5,0,H748&lt;=10,1,H748&lt;=15,2,H748&gt;=16,3),"Null"),"-")</f>
        <v>-</v>
      </c>
      <c r="K748" s="61"/>
      <c r="L748" s="1">
        <v>2418371100</v>
      </c>
    </row>
    <row r="749" spans="1:12" ht="18" customHeight="1" x14ac:dyDescent="0.45">
      <c r="A749" s="13">
        <v>743</v>
      </c>
      <c r="B749" s="41" t="str">
        <f t="shared" si="308"/>
        <v>神奈川静岡本部</v>
      </c>
      <c r="C749" s="41" t="str">
        <f t="shared" si="308"/>
        <v>ラヴィーレ湘南鷹取</v>
      </c>
      <c r="D749" s="14" t="s">
        <v>5</v>
      </c>
      <c r="E749" s="15">
        <v>2</v>
      </c>
      <c r="F749" s="17">
        <v>0</v>
      </c>
      <c r="G749" s="17">
        <v>0</v>
      </c>
      <c r="H749" s="15">
        <f t="shared" si="292"/>
        <v>0</v>
      </c>
      <c r="I749" s="44"/>
      <c r="J749" s="19" t="str" cm="1">
        <f t="array" ref="J749">IFERROR(IF(_xlfn.XLOOKUP(L749,NC導入施設!B:B,NC導入施設!E:E)=0,_xlfn.IFS(H749&lt;=5,0,H749&lt;=10,1,H749&lt;=15,2,H749&gt;=16,3),"Null"),"-")</f>
        <v>-</v>
      </c>
      <c r="K749" s="61"/>
      <c r="L749" s="1">
        <v>2418371100</v>
      </c>
    </row>
    <row r="750" spans="1:12" ht="18" customHeight="1" x14ac:dyDescent="0.45">
      <c r="A750" s="13">
        <v>744</v>
      </c>
      <c r="B750" s="41" t="str">
        <f t="shared" si="308"/>
        <v>神奈川静岡本部</v>
      </c>
      <c r="C750" s="41" t="str">
        <f t="shared" si="308"/>
        <v>ラヴィーレ湘南鷹取</v>
      </c>
      <c r="D750" s="14" t="s">
        <v>6</v>
      </c>
      <c r="E750" s="15">
        <v>8</v>
      </c>
      <c r="F750" s="17">
        <v>0</v>
      </c>
      <c r="G750" s="17">
        <v>0</v>
      </c>
      <c r="H750" s="15">
        <f t="shared" si="292"/>
        <v>0</v>
      </c>
      <c r="I750" s="44"/>
      <c r="J750" s="19" t="str" cm="1">
        <f t="array" ref="J750">IFERROR(IF(_xlfn.XLOOKUP(L750,NC導入施設!B:B,NC導入施設!E:E)=0,_xlfn.IFS(H750&lt;=5,0,H750&lt;=10,1,H750&lt;=15,2,H750&gt;=16,3),"Null"),"-")</f>
        <v>-</v>
      </c>
      <c r="K750" s="61"/>
      <c r="L750" s="1">
        <v>2418371100</v>
      </c>
    </row>
    <row r="751" spans="1:12" ht="18" customHeight="1" x14ac:dyDescent="0.45">
      <c r="A751" s="13">
        <v>745</v>
      </c>
      <c r="B751" s="42" t="str">
        <f t="shared" si="308"/>
        <v>神奈川静岡本部</v>
      </c>
      <c r="C751" s="42" t="str">
        <f t="shared" si="308"/>
        <v>ラヴィーレ湘南鷹取</v>
      </c>
      <c r="D751" s="14" t="s">
        <v>2</v>
      </c>
      <c r="E751" s="15">
        <v>2</v>
      </c>
      <c r="F751" s="17">
        <v>0</v>
      </c>
      <c r="G751" s="17">
        <v>0</v>
      </c>
      <c r="H751" s="15">
        <f t="shared" si="292"/>
        <v>0</v>
      </c>
      <c r="I751" s="45"/>
      <c r="J751" s="19" t="str" cm="1">
        <f t="array" ref="J751">IFERROR(IF(_xlfn.XLOOKUP(L751,NC導入施設!B:B,NC導入施設!E:E)=0,_xlfn.IFS(H751&lt;=5,0,H751&lt;=10,1,H751&lt;=15,2,H751&gt;=16,3),"Null"),"-")</f>
        <v>-</v>
      </c>
      <c r="K751" s="62"/>
      <c r="L751" s="1">
        <v>2418371100</v>
      </c>
    </row>
    <row r="752" spans="1:12" ht="18" customHeight="1" x14ac:dyDescent="0.45">
      <c r="A752" s="8">
        <v>746</v>
      </c>
      <c r="B752" s="34" t="s">
        <v>48</v>
      </c>
      <c r="C752" s="34" t="s">
        <v>69</v>
      </c>
      <c r="D752" s="9" t="s">
        <v>3</v>
      </c>
      <c r="E752" s="10">
        <v>1</v>
      </c>
      <c r="F752" s="12">
        <v>22</v>
      </c>
      <c r="G752" s="12">
        <v>22</v>
      </c>
      <c r="H752" s="10">
        <f t="shared" si="292"/>
        <v>22</v>
      </c>
      <c r="I752" s="37" cm="1">
        <f t="array" ref="I752">IF(J752="-","-",_xlfn.IFS(K752&lt;=5,0,K752&lt;=10,1,K752&lt;=15,2,K752&gt;=16,3))</f>
        <v>3</v>
      </c>
      <c r="J752" s="19" cm="1">
        <f t="array" ref="J752">IFERROR(IF(_xlfn.XLOOKUP(L752,NC導入施設!B:B,NC導入施設!E:E)=0,_xlfn.IFS(H752&lt;=5,0,H752&lt;=10,1,H752&lt;=15,2,H752&gt;=16,3),"Null"),"-")</f>
        <v>3</v>
      </c>
      <c r="K752" s="60">
        <f t="shared" ref="K752" si="309">IFERROR(SUM(H752:H756),"-")</f>
        <v>24</v>
      </c>
      <c r="L752" s="1">
        <v>3215811200</v>
      </c>
    </row>
    <row r="753" spans="1:12" ht="18" customHeight="1" x14ac:dyDescent="0.45">
      <c r="A753" s="8">
        <v>747</v>
      </c>
      <c r="B753" s="35" t="str">
        <f t="shared" ref="B753:C756" si="310">B752</f>
        <v>神奈川静岡本部</v>
      </c>
      <c r="C753" s="35" t="str">
        <f t="shared" si="310"/>
        <v>そんぽの家　富士宮</v>
      </c>
      <c r="D753" s="9" t="s">
        <v>4</v>
      </c>
      <c r="E753" s="10">
        <v>1</v>
      </c>
      <c r="F753" s="12">
        <v>2</v>
      </c>
      <c r="G753" s="12">
        <v>2</v>
      </c>
      <c r="H753" s="10">
        <f t="shared" si="292"/>
        <v>2</v>
      </c>
      <c r="I753" s="38"/>
      <c r="J753" s="19" cm="1">
        <f t="array" ref="J753">IFERROR(IF(_xlfn.XLOOKUP(L753,NC導入施設!B:B,NC導入施設!E:E)=0,_xlfn.IFS(H753&lt;=5,0,H753&lt;=10,1,H753&lt;=15,2,H753&gt;=16,3),"Null"),"-")</f>
        <v>0</v>
      </c>
      <c r="K753" s="61"/>
      <c r="L753" s="1">
        <v>3215811200</v>
      </c>
    </row>
    <row r="754" spans="1:12" ht="18" customHeight="1" x14ac:dyDescent="0.45">
      <c r="A754" s="8">
        <v>748</v>
      </c>
      <c r="B754" s="35" t="str">
        <f t="shared" si="310"/>
        <v>神奈川静岡本部</v>
      </c>
      <c r="C754" s="35" t="str">
        <f t="shared" si="310"/>
        <v>そんぽの家　富士宮</v>
      </c>
      <c r="D754" s="9" t="s">
        <v>5</v>
      </c>
      <c r="E754" s="10">
        <v>1</v>
      </c>
      <c r="F754" s="12">
        <v>0</v>
      </c>
      <c r="G754" s="12">
        <v>0</v>
      </c>
      <c r="H754" s="10">
        <f t="shared" si="292"/>
        <v>0</v>
      </c>
      <c r="I754" s="38"/>
      <c r="J754" s="19" cm="1">
        <f t="array" ref="J754">IFERROR(IF(_xlfn.XLOOKUP(L754,NC導入施設!B:B,NC導入施設!E:E)=0,_xlfn.IFS(H754&lt;=5,0,H754&lt;=10,1,H754&lt;=15,2,H754&gt;=16,3),"Null"),"-")</f>
        <v>0</v>
      </c>
      <c r="K754" s="61"/>
      <c r="L754" s="1">
        <v>3215811200</v>
      </c>
    </row>
    <row r="755" spans="1:12" ht="18" customHeight="1" x14ac:dyDescent="0.45">
      <c r="A755" s="8">
        <v>749</v>
      </c>
      <c r="B755" s="35" t="str">
        <f t="shared" si="310"/>
        <v>神奈川静岡本部</v>
      </c>
      <c r="C755" s="35" t="str">
        <f t="shared" si="310"/>
        <v>そんぽの家　富士宮</v>
      </c>
      <c r="D755" s="9" t="s">
        <v>6</v>
      </c>
      <c r="E755" s="10">
        <v>5</v>
      </c>
      <c r="F755" s="12">
        <v>0</v>
      </c>
      <c r="G755" s="12">
        <v>0</v>
      </c>
      <c r="H755" s="10">
        <f t="shared" si="292"/>
        <v>0</v>
      </c>
      <c r="I755" s="38"/>
      <c r="J755" s="19" cm="1">
        <f t="array" ref="J755">IFERROR(IF(_xlfn.XLOOKUP(L755,NC導入施設!B:B,NC導入施設!E:E)=0,_xlfn.IFS(H755&lt;=5,0,H755&lt;=10,1,H755&lt;=15,2,H755&gt;=16,3),"Null"),"-")</f>
        <v>0</v>
      </c>
      <c r="K755" s="61"/>
      <c r="L755" s="1">
        <v>3215811200</v>
      </c>
    </row>
    <row r="756" spans="1:12" ht="18" customHeight="1" x14ac:dyDescent="0.45">
      <c r="A756" s="8">
        <v>750</v>
      </c>
      <c r="B756" s="36" t="str">
        <f t="shared" si="310"/>
        <v>神奈川静岡本部</v>
      </c>
      <c r="C756" s="36" t="str">
        <f t="shared" si="310"/>
        <v>そんぽの家　富士宮</v>
      </c>
      <c r="D756" s="9" t="s">
        <v>2</v>
      </c>
      <c r="E756" s="10">
        <v>2</v>
      </c>
      <c r="F756" s="12">
        <v>0</v>
      </c>
      <c r="G756" s="12">
        <v>0</v>
      </c>
      <c r="H756" s="10">
        <f t="shared" si="292"/>
        <v>0</v>
      </c>
      <c r="I756" s="39"/>
      <c r="J756" s="19" cm="1">
        <f t="array" ref="J756">IFERROR(IF(_xlfn.XLOOKUP(L756,NC導入施設!B:B,NC導入施設!E:E)=0,_xlfn.IFS(H756&lt;=5,0,H756&lt;=10,1,H756&lt;=15,2,H756&gt;=16,3),"Null"),"-")</f>
        <v>0</v>
      </c>
      <c r="K756" s="62"/>
      <c r="L756" s="1">
        <v>3215811200</v>
      </c>
    </row>
    <row r="757" spans="1:12" ht="18" customHeight="1" x14ac:dyDescent="0.45">
      <c r="A757" s="13">
        <v>751</v>
      </c>
      <c r="B757" s="40" t="s">
        <v>48</v>
      </c>
      <c r="C757" s="40" t="s">
        <v>70</v>
      </c>
      <c r="D757" s="14" t="s">
        <v>3</v>
      </c>
      <c r="E757" s="15">
        <v>1</v>
      </c>
      <c r="F757" s="17">
        <v>9</v>
      </c>
      <c r="G757" s="17">
        <v>9</v>
      </c>
      <c r="H757" s="15">
        <f t="shared" si="292"/>
        <v>9</v>
      </c>
      <c r="I757" s="43" cm="1">
        <f t="array" ref="I757">IF(J757="-","-",_xlfn.IFS(K757&lt;=5,0,K757&lt;=10,1,K757&lt;=15,2,K757&gt;=16,3))</f>
        <v>2</v>
      </c>
      <c r="J757" s="19" cm="1">
        <f t="array" ref="J757">IFERROR(IF(_xlfn.XLOOKUP(L757,NC導入施設!B:B,NC導入施設!E:E)=0,_xlfn.IFS(H757&lt;=5,0,H757&lt;=10,1,H757&lt;=15,2,H757&gt;=16,3),"Null"),"-")</f>
        <v>1</v>
      </c>
      <c r="K757" s="60">
        <f t="shared" ref="K757" si="311">IFERROR(SUM(H757:H761),"-")</f>
        <v>15</v>
      </c>
      <c r="L757" s="1">
        <v>3215821200</v>
      </c>
    </row>
    <row r="758" spans="1:12" ht="18" customHeight="1" x14ac:dyDescent="0.45">
      <c r="A758" s="13">
        <v>752</v>
      </c>
      <c r="B758" s="41" t="str">
        <f t="shared" ref="B758:C761" si="312">B757</f>
        <v>神奈川静岡本部</v>
      </c>
      <c r="C758" s="41" t="str">
        <f t="shared" si="312"/>
        <v>そんぽの家　東静岡</v>
      </c>
      <c r="D758" s="14" t="s">
        <v>4</v>
      </c>
      <c r="E758" s="15">
        <v>1</v>
      </c>
      <c r="F758" s="17">
        <v>4</v>
      </c>
      <c r="G758" s="17">
        <v>4</v>
      </c>
      <c r="H758" s="15">
        <f t="shared" si="292"/>
        <v>4</v>
      </c>
      <c r="I758" s="44"/>
      <c r="J758" s="19" cm="1">
        <f t="array" ref="J758">IFERROR(IF(_xlfn.XLOOKUP(L758,NC導入施設!B:B,NC導入施設!E:E)=0,_xlfn.IFS(H758&lt;=5,0,H758&lt;=10,1,H758&lt;=15,2,H758&gt;=16,3),"Null"),"-")</f>
        <v>0</v>
      </c>
      <c r="K758" s="61"/>
      <c r="L758" s="1">
        <v>3215821200</v>
      </c>
    </row>
    <row r="759" spans="1:12" ht="18" customHeight="1" x14ac:dyDescent="0.45">
      <c r="A759" s="13">
        <v>753</v>
      </c>
      <c r="B759" s="41" t="str">
        <f t="shared" si="312"/>
        <v>神奈川静岡本部</v>
      </c>
      <c r="C759" s="41" t="str">
        <f t="shared" si="312"/>
        <v>そんぽの家　東静岡</v>
      </c>
      <c r="D759" s="14" t="s">
        <v>5</v>
      </c>
      <c r="E759" s="15">
        <v>2</v>
      </c>
      <c r="F759" s="17">
        <v>0</v>
      </c>
      <c r="G759" s="17">
        <v>0</v>
      </c>
      <c r="H759" s="15">
        <f t="shared" si="292"/>
        <v>0</v>
      </c>
      <c r="I759" s="44"/>
      <c r="J759" s="19" cm="1">
        <f t="array" ref="J759">IFERROR(IF(_xlfn.XLOOKUP(L759,NC導入施設!B:B,NC導入施設!E:E)=0,_xlfn.IFS(H759&lt;=5,0,H759&lt;=10,1,H759&lt;=15,2,H759&gt;=16,3),"Null"),"-")</f>
        <v>0</v>
      </c>
      <c r="K759" s="61"/>
      <c r="L759" s="1">
        <v>3215821200</v>
      </c>
    </row>
    <row r="760" spans="1:12" ht="18" customHeight="1" x14ac:dyDescent="0.45">
      <c r="A760" s="13">
        <v>754</v>
      </c>
      <c r="B760" s="41" t="str">
        <f t="shared" si="312"/>
        <v>神奈川静岡本部</v>
      </c>
      <c r="C760" s="41" t="str">
        <f t="shared" si="312"/>
        <v>そんぽの家　東静岡</v>
      </c>
      <c r="D760" s="14" t="s">
        <v>6</v>
      </c>
      <c r="E760" s="15">
        <v>3</v>
      </c>
      <c r="F760" s="17">
        <v>2</v>
      </c>
      <c r="G760" s="17">
        <v>0.7</v>
      </c>
      <c r="H760" s="15">
        <f t="shared" si="292"/>
        <v>2</v>
      </c>
      <c r="I760" s="44"/>
      <c r="J760" s="19" cm="1">
        <f t="array" ref="J760">IFERROR(IF(_xlfn.XLOOKUP(L760,NC導入施設!B:B,NC導入施設!E:E)=0,_xlfn.IFS(H760&lt;=5,0,H760&lt;=10,1,H760&lt;=15,2,H760&gt;=16,3),"Null"),"-")</f>
        <v>0</v>
      </c>
      <c r="K760" s="61"/>
      <c r="L760" s="1">
        <v>3215821200</v>
      </c>
    </row>
    <row r="761" spans="1:12" ht="18" customHeight="1" x14ac:dyDescent="0.45">
      <c r="A761" s="13">
        <v>755</v>
      </c>
      <c r="B761" s="42" t="str">
        <f t="shared" si="312"/>
        <v>神奈川静岡本部</v>
      </c>
      <c r="C761" s="42" t="str">
        <f t="shared" si="312"/>
        <v>そんぽの家　東静岡</v>
      </c>
      <c r="D761" s="14" t="s">
        <v>2</v>
      </c>
      <c r="E761" s="15">
        <v>2</v>
      </c>
      <c r="F761" s="17">
        <v>0</v>
      </c>
      <c r="G761" s="17">
        <v>0</v>
      </c>
      <c r="H761" s="15">
        <f t="shared" si="292"/>
        <v>0</v>
      </c>
      <c r="I761" s="45"/>
      <c r="J761" s="19" cm="1">
        <f t="array" ref="J761">IFERROR(IF(_xlfn.XLOOKUP(L761,NC導入施設!B:B,NC導入施設!E:E)=0,_xlfn.IFS(H761&lt;=5,0,H761&lt;=10,1,H761&lt;=15,2,H761&gt;=16,3),"Null"),"-")</f>
        <v>0</v>
      </c>
      <c r="K761" s="62"/>
      <c r="L761" s="1">
        <v>3215821200</v>
      </c>
    </row>
    <row r="762" spans="1:12" ht="18" customHeight="1" x14ac:dyDescent="0.45">
      <c r="A762" s="8">
        <v>756</v>
      </c>
      <c r="B762" s="34" t="s">
        <v>48</v>
      </c>
      <c r="C762" s="34" t="s">
        <v>86</v>
      </c>
      <c r="D762" s="9" t="s">
        <v>3</v>
      </c>
      <c r="E762" s="10">
        <v>1</v>
      </c>
      <c r="F762" s="12">
        <v>2</v>
      </c>
      <c r="G762" s="12">
        <v>2</v>
      </c>
      <c r="H762" s="10">
        <f t="shared" si="292"/>
        <v>2</v>
      </c>
      <c r="I762" s="37" cm="1">
        <f t="array" ref="I762">IF(J762="-","-",_xlfn.IFS(K762&lt;=5,0,K762&lt;=10,1,K762&lt;=15,2,K762&gt;=16,3))</f>
        <v>1</v>
      </c>
      <c r="J762" s="19" cm="1">
        <f t="array" ref="J762">IFERROR(IF(_xlfn.XLOOKUP(L762,NC導入施設!B:B,NC導入施設!E:E)=0,_xlfn.IFS(H762&lt;=5,0,H762&lt;=10,1,H762&lt;=15,2,H762&gt;=16,3),"Null"),"-")</f>
        <v>0</v>
      </c>
      <c r="K762" s="60">
        <f t="shared" ref="K762" si="313">IFERROR(SUM(H762:H766),"-")</f>
        <v>10</v>
      </c>
      <c r="L762" s="1">
        <v>3215831200</v>
      </c>
    </row>
    <row r="763" spans="1:12" ht="18" customHeight="1" x14ac:dyDescent="0.45">
      <c r="A763" s="8">
        <v>757</v>
      </c>
      <c r="B763" s="35" t="str">
        <f t="shared" ref="B763:C766" si="314">B762</f>
        <v>神奈川静岡本部</v>
      </c>
      <c r="C763" s="35" t="str">
        <f t="shared" si="314"/>
        <v>そんぽの家　浜松高丘</v>
      </c>
      <c r="D763" s="9" t="s">
        <v>4</v>
      </c>
      <c r="E763" s="10">
        <v>1</v>
      </c>
      <c r="F763" s="12">
        <v>2</v>
      </c>
      <c r="G763" s="12">
        <v>2</v>
      </c>
      <c r="H763" s="10">
        <f t="shared" si="292"/>
        <v>2</v>
      </c>
      <c r="I763" s="38"/>
      <c r="J763" s="19" cm="1">
        <f t="array" ref="J763">IFERROR(IF(_xlfn.XLOOKUP(L763,NC導入施設!B:B,NC導入施設!E:E)=0,_xlfn.IFS(H763&lt;=5,0,H763&lt;=10,1,H763&lt;=15,2,H763&gt;=16,3),"Null"),"-")</f>
        <v>0</v>
      </c>
      <c r="K763" s="61"/>
      <c r="L763" s="1">
        <v>3215831200</v>
      </c>
    </row>
    <row r="764" spans="1:12" ht="18" customHeight="1" x14ac:dyDescent="0.45">
      <c r="A764" s="8">
        <v>758</v>
      </c>
      <c r="B764" s="35" t="str">
        <f t="shared" si="314"/>
        <v>神奈川静岡本部</v>
      </c>
      <c r="C764" s="35" t="str">
        <f t="shared" si="314"/>
        <v>そんぽの家　浜松高丘</v>
      </c>
      <c r="D764" s="9" t="s">
        <v>5</v>
      </c>
      <c r="E764" s="10">
        <v>1</v>
      </c>
      <c r="F764" s="12">
        <v>1</v>
      </c>
      <c r="G764" s="12">
        <v>1</v>
      </c>
      <c r="H764" s="10">
        <f t="shared" si="292"/>
        <v>1</v>
      </c>
      <c r="I764" s="38"/>
      <c r="J764" s="19" cm="1">
        <f t="array" ref="J764">IFERROR(IF(_xlfn.XLOOKUP(L764,NC導入施設!B:B,NC導入施設!E:E)=0,_xlfn.IFS(H764&lt;=5,0,H764&lt;=10,1,H764&lt;=15,2,H764&gt;=16,3),"Null"),"-")</f>
        <v>0</v>
      </c>
      <c r="K764" s="61"/>
      <c r="L764" s="1">
        <v>3215831200</v>
      </c>
    </row>
    <row r="765" spans="1:12" ht="18" customHeight="1" x14ac:dyDescent="0.45">
      <c r="A765" s="8">
        <v>759</v>
      </c>
      <c r="B765" s="35" t="str">
        <f t="shared" si="314"/>
        <v>神奈川静岡本部</v>
      </c>
      <c r="C765" s="35" t="str">
        <f t="shared" si="314"/>
        <v>そんぽの家　浜松高丘</v>
      </c>
      <c r="D765" s="9" t="s">
        <v>6</v>
      </c>
      <c r="E765" s="10">
        <v>3</v>
      </c>
      <c r="F765" s="12">
        <v>0</v>
      </c>
      <c r="G765" s="12">
        <v>0</v>
      </c>
      <c r="H765" s="10">
        <f t="shared" si="292"/>
        <v>0</v>
      </c>
      <c r="I765" s="38"/>
      <c r="J765" s="19" cm="1">
        <f t="array" ref="J765">IFERROR(IF(_xlfn.XLOOKUP(L765,NC導入施設!B:B,NC導入施設!E:E)=0,_xlfn.IFS(H765&lt;=5,0,H765&lt;=10,1,H765&lt;=15,2,H765&gt;=16,3),"Null"),"-")</f>
        <v>0</v>
      </c>
      <c r="K765" s="61"/>
      <c r="L765" s="1">
        <v>3215831200</v>
      </c>
    </row>
    <row r="766" spans="1:12" ht="18" customHeight="1" x14ac:dyDescent="0.45">
      <c r="A766" s="8">
        <v>760</v>
      </c>
      <c r="B766" s="36" t="str">
        <f t="shared" si="314"/>
        <v>神奈川静岡本部</v>
      </c>
      <c r="C766" s="36" t="str">
        <f t="shared" si="314"/>
        <v>そんぽの家　浜松高丘</v>
      </c>
      <c r="D766" s="9" t="s">
        <v>2</v>
      </c>
      <c r="E766" s="10">
        <v>2</v>
      </c>
      <c r="F766" s="12">
        <v>5</v>
      </c>
      <c r="G766" s="12">
        <v>2.5</v>
      </c>
      <c r="H766" s="10">
        <f t="shared" si="292"/>
        <v>5</v>
      </c>
      <c r="I766" s="39"/>
      <c r="J766" s="19" cm="1">
        <f t="array" ref="J766">IFERROR(IF(_xlfn.XLOOKUP(L766,NC導入施設!B:B,NC導入施設!E:E)=0,_xlfn.IFS(H766&lt;=5,0,H766&lt;=10,1,H766&lt;=15,2,H766&gt;=16,3),"Null"),"-")</f>
        <v>0</v>
      </c>
      <c r="K766" s="62"/>
      <c r="L766" s="1">
        <v>3215831200</v>
      </c>
    </row>
    <row r="767" spans="1:12" ht="18" customHeight="1" x14ac:dyDescent="0.45">
      <c r="A767" s="13">
        <v>761</v>
      </c>
      <c r="B767" s="40" t="s">
        <v>48</v>
      </c>
      <c r="C767" s="40" t="s">
        <v>87</v>
      </c>
      <c r="D767" s="14" t="s">
        <v>3</v>
      </c>
      <c r="E767" s="15">
        <v>1</v>
      </c>
      <c r="F767" s="17">
        <v>5</v>
      </c>
      <c r="G767" s="17">
        <v>5</v>
      </c>
      <c r="H767" s="15">
        <f t="shared" si="292"/>
        <v>5</v>
      </c>
      <c r="I767" s="43" cm="1">
        <f t="array" ref="I767">IF(J767="-","-",_xlfn.IFS(K767&lt;=5,0,K767&lt;=10,1,K767&lt;=15,2,K767&gt;=16,3))</f>
        <v>1</v>
      </c>
      <c r="J767" s="19" cm="1">
        <f t="array" ref="J767">IFERROR(IF(_xlfn.XLOOKUP(L767,NC導入施設!B:B,NC導入施設!E:E)=0,_xlfn.IFS(H767&lt;=5,0,H767&lt;=10,1,H767&lt;=15,2,H767&gt;=16,3),"Null"),"-")</f>
        <v>0</v>
      </c>
      <c r="K767" s="60">
        <f t="shared" ref="K767" si="315">IFERROR(SUM(H767:H771),"-")</f>
        <v>8</v>
      </c>
      <c r="L767" s="1">
        <v>3215841200</v>
      </c>
    </row>
    <row r="768" spans="1:12" ht="18" customHeight="1" x14ac:dyDescent="0.45">
      <c r="A768" s="13">
        <v>762</v>
      </c>
      <c r="B768" s="41" t="str">
        <f t="shared" ref="B768:C771" si="316">B767</f>
        <v>神奈川静岡本部</v>
      </c>
      <c r="C768" s="41" t="str">
        <f t="shared" si="316"/>
        <v>そんぽの家　浜松</v>
      </c>
      <c r="D768" s="14" t="s">
        <v>4</v>
      </c>
      <c r="E768" s="15">
        <v>1</v>
      </c>
      <c r="F768" s="17">
        <v>0</v>
      </c>
      <c r="G768" s="17">
        <v>0</v>
      </c>
      <c r="H768" s="15">
        <f t="shared" si="292"/>
        <v>0</v>
      </c>
      <c r="I768" s="44"/>
      <c r="J768" s="19" cm="1">
        <f t="array" ref="J768">IFERROR(IF(_xlfn.XLOOKUP(L768,NC導入施設!B:B,NC導入施設!E:E)=0,_xlfn.IFS(H768&lt;=5,0,H768&lt;=10,1,H768&lt;=15,2,H768&gt;=16,3),"Null"),"-")</f>
        <v>0</v>
      </c>
      <c r="K768" s="61"/>
      <c r="L768" s="1">
        <v>3215841200</v>
      </c>
    </row>
    <row r="769" spans="1:12" ht="18" customHeight="1" x14ac:dyDescent="0.45">
      <c r="A769" s="13">
        <v>763</v>
      </c>
      <c r="B769" s="41" t="str">
        <f t="shared" si="316"/>
        <v>神奈川静岡本部</v>
      </c>
      <c r="C769" s="41" t="str">
        <f t="shared" si="316"/>
        <v>そんぽの家　浜松</v>
      </c>
      <c r="D769" s="14" t="s">
        <v>5</v>
      </c>
      <c r="E769" s="15">
        <v>1</v>
      </c>
      <c r="F769" s="17">
        <v>3</v>
      </c>
      <c r="G769" s="17">
        <v>3</v>
      </c>
      <c r="H769" s="15">
        <f t="shared" si="292"/>
        <v>3</v>
      </c>
      <c r="I769" s="44"/>
      <c r="J769" s="19" cm="1">
        <f t="array" ref="J769">IFERROR(IF(_xlfn.XLOOKUP(L769,NC導入施設!B:B,NC導入施設!E:E)=0,_xlfn.IFS(H769&lt;=5,0,H769&lt;=10,1,H769&lt;=15,2,H769&gt;=16,3),"Null"),"-")</f>
        <v>0</v>
      </c>
      <c r="K769" s="61"/>
      <c r="L769" s="1">
        <v>3215841200</v>
      </c>
    </row>
    <row r="770" spans="1:12" ht="18" customHeight="1" x14ac:dyDescent="0.45">
      <c r="A770" s="13">
        <v>764</v>
      </c>
      <c r="B770" s="41" t="str">
        <f t="shared" si="316"/>
        <v>神奈川静岡本部</v>
      </c>
      <c r="C770" s="41" t="str">
        <f t="shared" si="316"/>
        <v>そんぽの家　浜松</v>
      </c>
      <c r="D770" s="14" t="s">
        <v>6</v>
      </c>
      <c r="E770" s="15">
        <v>3</v>
      </c>
      <c r="F770" s="17">
        <v>0</v>
      </c>
      <c r="G770" s="17">
        <v>0</v>
      </c>
      <c r="H770" s="15">
        <f t="shared" si="292"/>
        <v>0</v>
      </c>
      <c r="I770" s="44"/>
      <c r="J770" s="19" cm="1">
        <f t="array" ref="J770">IFERROR(IF(_xlfn.XLOOKUP(L770,NC導入施設!B:B,NC導入施設!E:E)=0,_xlfn.IFS(H770&lt;=5,0,H770&lt;=10,1,H770&lt;=15,2,H770&gt;=16,3),"Null"),"-")</f>
        <v>0</v>
      </c>
      <c r="K770" s="61"/>
      <c r="L770" s="1">
        <v>3215841200</v>
      </c>
    </row>
    <row r="771" spans="1:12" ht="18" customHeight="1" x14ac:dyDescent="0.45">
      <c r="A771" s="13">
        <v>765</v>
      </c>
      <c r="B771" s="42" t="str">
        <f t="shared" si="316"/>
        <v>神奈川静岡本部</v>
      </c>
      <c r="C771" s="42" t="str">
        <f t="shared" si="316"/>
        <v>そんぽの家　浜松</v>
      </c>
      <c r="D771" s="14" t="s">
        <v>2</v>
      </c>
      <c r="E771" s="15">
        <v>0</v>
      </c>
      <c r="F771" s="17">
        <v>0</v>
      </c>
      <c r="G771" s="17">
        <v>0</v>
      </c>
      <c r="H771" s="15">
        <f t="shared" si="292"/>
        <v>0</v>
      </c>
      <c r="I771" s="45"/>
      <c r="J771" s="19" cm="1">
        <f t="array" ref="J771">IFERROR(IF(_xlfn.XLOOKUP(L771,NC導入施設!B:B,NC導入施設!E:E)=0,_xlfn.IFS(H771&lt;=5,0,H771&lt;=10,1,H771&lt;=15,2,H771&gt;=16,3),"Null"),"-")</f>
        <v>0</v>
      </c>
      <c r="K771" s="62"/>
      <c r="L771" s="1">
        <v>3215841200</v>
      </c>
    </row>
    <row r="772" spans="1:12" ht="18" customHeight="1" x14ac:dyDescent="0.45">
      <c r="A772" s="8">
        <v>766</v>
      </c>
      <c r="B772" s="34" t="s">
        <v>71</v>
      </c>
      <c r="C772" s="34" t="s">
        <v>72</v>
      </c>
      <c r="D772" s="9" t="s">
        <v>3</v>
      </c>
      <c r="E772" s="10">
        <v>1</v>
      </c>
      <c r="F772" s="12">
        <v>19</v>
      </c>
      <c r="G772" s="12">
        <v>19</v>
      </c>
      <c r="H772" s="10">
        <f t="shared" si="292"/>
        <v>19</v>
      </c>
      <c r="I772" s="37" cm="1">
        <f t="array" ref="I772">IF(J772="-","-",_xlfn.IFS(K772&lt;=5,0,K772&lt;=10,1,K772&lt;=15,2,K772&gt;=16,3))</f>
        <v>3</v>
      </c>
      <c r="J772" s="19" cm="1">
        <f t="array" ref="J772">IFERROR(IF(_xlfn.XLOOKUP(L772,NC導入施設!B:B,NC導入施設!E:E)=0,_xlfn.IFS(H772&lt;=5,0,H772&lt;=10,1,H772&lt;=15,2,H772&gt;=16,3),"Null"),"-")</f>
        <v>3</v>
      </c>
      <c r="K772" s="60">
        <f t="shared" ref="K772" si="317">IFERROR(SUM(H772:H776),"-")</f>
        <v>39</v>
      </c>
      <c r="L772" s="1">
        <v>2114001200</v>
      </c>
    </row>
    <row r="773" spans="1:12" ht="18" customHeight="1" x14ac:dyDescent="0.45">
      <c r="A773" s="8">
        <v>767</v>
      </c>
      <c r="B773" s="35" t="str">
        <f t="shared" ref="B773:C776" si="318">B772</f>
        <v>埼玉千葉本部</v>
      </c>
      <c r="C773" s="35" t="str">
        <f t="shared" si="318"/>
        <v>そんぽの家　大宮見沼</v>
      </c>
      <c r="D773" s="9" t="s">
        <v>4</v>
      </c>
      <c r="E773" s="10">
        <v>1</v>
      </c>
      <c r="F773" s="12">
        <v>17</v>
      </c>
      <c r="G773" s="12">
        <v>17</v>
      </c>
      <c r="H773" s="10">
        <f t="shared" si="292"/>
        <v>17</v>
      </c>
      <c r="I773" s="38"/>
      <c r="J773" s="19" cm="1">
        <f t="array" ref="J773">IFERROR(IF(_xlfn.XLOOKUP(L773,NC導入施設!B:B,NC導入施設!E:E)=0,_xlfn.IFS(H773&lt;=5,0,H773&lt;=10,1,H773&lt;=15,2,H773&gt;=16,3),"Null"),"-")</f>
        <v>3</v>
      </c>
      <c r="K773" s="61"/>
      <c r="L773" s="1">
        <v>2114001200</v>
      </c>
    </row>
    <row r="774" spans="1:12" ht="18" customHeight="1" x14ac:dyDescent="0.45">
      <c r="A774" s="8">
        <v>768</v>
      </c>
      <c r="B774" s="35" t="str">
        <f t="shared" si="318"/>
        <v>埼玉千葉本部</v>
      </c>
      <c r="C774" s="35" t="str">
        <f t="shared" si="318"/>
        <v>そんぽの家　大宮見沼</v>
      </c>
      <c r="D774" s="9" t="s">
        <v>5</v>
      </c>
      <c r="E774" s="10">
        <v>1</v>
      </c>
      <c r="F774" s="12">
        <v>1</v>
      </c>
      <c r="G774" s="12">
        <v>1</v>
      </c>
      <c r="H774" s="10">
        <f t="shared" si="292"/>
        <v>1</v>
      </c>
      <c r="I774" s="38"/>
      <c r="J774" s="19" cm="1">
        <f t="array" ref="J774">IFERROR(IF(_xlfn.XLOOKUP(L774,NC導入施設!B:B,NC導入施設!E:E)=0,_xlfn.IFS(H774&lt;=5,0,H774&lt;=10,1,H774&lt;=15,2,H774&gt;=16,3),"Null"),"-")</f>
        <v>0</v>
      </c>
      <c r="K774" s="61"/>
      <c r="L774" s="1">
        <v>2114001200</v>
      </c>
    </row>
    <row r="775" spans="1:12" ht="18" customHeight="1" x14ac:dyDescent="0.45">
      <c r="A775" s="8">
        <v>769</v>
      </c>
      <c r="B775" s="35" t="str">
        <f t="shared" si="318"/>
        <v>埼玉千葉本部</v>
      </c>
      <c r="C775" s="35" t="str">
        <f t="shared" si="318"/>
        <v>そんぽの家　大宮見沼</v>
      </c>
      <c r="D775" s="9" t="s">
        <v>6</v>
      </c>
      <c r="E775" s="10">
        <v>3</v>
      </c>
      <c r="F775" s="12">
        <v>0</v>
      </c>
      <c r="G775" s="12">
        <v>0</v>
      </c>
      <c r="H775" s="10">
        <f t="shared" si="292"/>
        <v>0</v>
      </c>
      <c r="I775" s="38"/>
      <c r="J775" s="19" cm="1">
        <f t="array" ref="J775">IFERROR(IF(_xlfn.XLOOKUP(L775,NC導入施設!B:B,NC導入施設!E:E)=0,_xlfn.IFS(H775&lt;=5,0,H775&lt;=10,1,H775&lt;=15,2,H775&gt;=16,3),"Null"),"-")</f>
        <v>0</v>
      </c>
      <c r="K775" s="61"/>
      <c r="L775" s="1">
        <v>2114001200</v>
      </c>
    </row>
    <row r="776" spans="1:12" ht="18" customHeight="1" x14ac:dyDescent="0.45">
      <c r="A776" s="8">
        <v>770</v>
      </c>
      <c r="B776" s="36" t="str">
        <f t="shared" si="318"/>
        <v>埼玉千葉本部</v>
      </c>
      <c r="C776" s="36" t="str">
        <f t="shared" si="318"/>
        <v>そんぽの家　大宮見沼</v>
      </c>
      <c r="D776" s="9" t="s">
        <v>2</v>
      </c>
      <c r="E776" s="10">
        <v>1</v>
      </c>
      <c r="F776" s="12">
        <v>2</v>
      </c>
      <c r="G776" s="12">
        <v>2</v>
      </c>
      <c r="H776" s="10">
        <f t="shared" ref="H776:H839" si="319">F776</f>
        <v>2</v>
      </c>
      <c r="I776" s="39"/>
      <c r="J776" s="19" cm="1">
        <f t="array" ref="J776">IFERROR(IF(_xlfn.XLOOKUP(L776,NC導入施設!B:B,NC導入施設!E:E)=0,_xlfn.IFS(H776&lt;=5,0,H776&lt;=10,1,H776&lt;=15,2,H776&gt;=16,3),"Null"),"-")</f>
        <v>0</v>
      </c>
      <c r="K776" s="62"/>
      <c r="L776" s="1">
        <v>2114001200</v>
      </c>
    </row>
    <row r="777" spans="1:12" ht="18" customHeight="1" x14ac:dyDescent="0.45">
      <c r="A777" s="13">
        <v>771</v>
      </c>
      <c r="B777" s="40" t="s">
        <v>71</v>
      </c>
      <c r="C777" s="40" t="s">
        <v>276</v>
      </c>
      <c r="D777" s="14" t="s">
        <v>3</v>
      </c>
      <c r="E777" s="15">
        <v>1</v>
      </c>
      <c r="F777" s="17">
        <v>18</v>
      </c>
      <c r="G777" s="17">
        <v>18</v>
      </c>
      <c r="H777" s="15">
        <f t="shared" si="319"/>
        <v>18</v>
      </c>
      <c r="I777" s="43" cm="1">
        <f t="array" ref="I777">IF(J777="-","-",_xlfn.IFS(K777&lt;=5,0,K777&lt;=10,1,K777&lt;=15,2,K777&gt;=16,3))</f>
        <v>3</v>
      </c>
      <c r="J777" s="19" cm="1">
        <f t="array" ref="J777">IFERROR(IF(_xlfn.XLOOKUP(L777,NC導入施設!B:B,NC導入施設!E:E)=0,_xlfn.IFS(H777&lt;=5,0,H777&lt;=10,1,H777&lt;=15,2,H777&gt;=16,3),"Null"),"-")</f>
        <v>3</v>
      </c>
      <c r="K777" s="60">
        <f t="shared" ref="K777" si="320">IFERROR(SUM(H777:H781),"-")</f>
        <v>81</v>
      </c>
      <c r="L777" s="1">
        <v>2114011100</v>
      </c>
    </row>
    <row r="778" spans="1:12" ht="18" customHeight="1" x14ac:dyDescent="0.45">
      <c r="A778" s="13">
        <v>772</v>
      </c>
      <c r="B778" s="41" t="str">
        <f t="shared" ref="B778:C781" si="321">B777</f>
        <v>埼玉千葉本部</v>
      </c>
      <c r="C778" s="41" t="str">
        <f t="shared" si="321"/>
        <v>ラヴィーレ大宮弐番館</v>
      </c>
      <c r="D778" s="14" t="s">
        <v>4</v>
      </c>
      <c r="E778" s="15">
        <v>1</v>
      </c>
      <c r="F778" s="17">
        <v>22</v>
      </c>
      <c r="G778" s="17">
        <v>22</v>
      </c>
      <c r="H778" s="15">
        <f t="shared" si="319"/>
        <v>22</v>
      </c>
      <c r="I778" s="44"/>
      <c r="J778" s="19" cm="1">
        <f t="array" ref="J778">IFERROR(IF(_xlfn.XLOOKUP(L778,NC導入施設!B:B,NC導入施設!E:E)=0,_xlfn.IFS(H778&lt;=5,0,H778&lt;=10,1,H778&lt;=15,2,H778&gt;=16,3),"Null"),"-")</f>
        <v>3</v>
      </c>
      <c r="K778" s="61"/>
      <c r="L778" s="1">
        <v>2114011100</v>
      </c>
    </row>
    <row r="779" spans="1:12" ht="18" customHeight="1" x14ac:dyDescent="0.45">
      <c r="A779" s="13">
        <v>773</v>
      </c>
      <c r="B779" s="41" t="str">
        <f t="shared" si="321"/>
        <v>埼玉千葉本部</v>
      </c>
      <c r="C779" s="41" t="str">
        <f t="shared" si="321"/>
        <v>ラヴィーレ大宮弐番館</v>
      </c>
      <c r="D779" s="14" t="s">
        <v>5</v>
      </c>
      <c r="E779" s="15">
        <v>2</v>
      </c>
      <c r="F779" s="17">
        <v>41</v>
      </c>
      <c r="G779" s="17">
        <v>20.5</v>
      </c>
      <c r="H779" s="15">
        <f t="shared" si="319"/>
        <v>41</v>
      </c>
      <c r="I779" s="44"/>
      <c r="J779" s="19" cm="1">
        <f t="array" ref="J779">IFERROR(IF(_xlfn.XLOOKUP(L779,NC導入施設!B:B,NC導入施設!E:E)=0,_xlfn.IFS(H779&lt;=5,0,H779&lt;=10,1,H779&lt;=15,2,H779&gt;=16,3),"Null"),"-")</f>
        <v>3</v>
      </c>
      <c r="K779" s="61"/>
      <c r="L779" s="1">
        <v>2114011100</v>
      </c>
    </row>
    <row r="780" spans="1:12" ht="18" customHeight="1" x14ac:dyDescent="0.45">
      <c r="A780" s="13">
        <v>774</v>
      </c>
      <c r="B780" s="41" t="str">
        <f t="shared" si="321"/>
        <v>埼玉千葉本部</v>
      </c>
      <c r="C780" s="41" t="str">
        <f t="shared" si="321"/>
        <v>ラヴィーレ大宮弐番館</v>
      </c>
      <c r="D780" s="14" t="s">
        <v>6</v>
      </c>
      <c r="E780" s="15">
        <v>4</v>
      </c>
      <c r="F780" s="17">
        <v>0</v>
      </c>
      <c r="G780" s="17">
        <v>0</v>
      </c>
      <c r="H780" s="15">
        <f t="shared" si="319"/>
        <v>0</v>
      </c>
      <c r="I780" s="44"/>
      <c r="J780" s="19" cm="1">
        <f t="array" ref="J780">IFERROR(IF(_xlfn.XLOOKUP(L780,NC導入施設!B:B,NC導入施設!E:E)=0,_xlfn.IFS(H780&lt;=5,0,H780&lt;=10,1,H780&lt;=15,2,H780&gt;=16,3),"Null"),"-")</f>
        <v>0</v>
      </c>
      <c r="K780" s="61"/>
      <c r="L780" s="1">
        <v>2114011100</v>
      </c>
    </row>
    <row r="781" spans="1:12" ht="18" customHeight="1" x14ac:dyDescent="0.45">
      <c r="A781" s="13">
        <v>775</v>
      </c>
      <c r="B781" s="42" t="str">
        <f t="shared" si="321"/>
        <v>埼玉千葉本部</v>
      </c>
      <c r="C781" s="42" t="str">
        <f t="shared" si="321"/>
        <v>ラヴィーレ大宮弐番館</v>
      </c>
      <c r="D781" s="14" t="s">
        <v>2</v>
      </c>
      <c r="E781" s="15">
        <v>3</v>
      </c>
      <c r="F781" s="17">
        <v>0</v>
      </c>
      <c r="G781" s="17">
        <v>0</v>
      </c>
      <c r="H781" s="15">
        <f t="shared" si="319"/>
        <v>0</v>
      </c>
      <c r="I781" s="45"/>
      <c r="J781" s="19" cm="1">
        <f t="array" ref="J781">IFERROR(IF(_xlfn.XLOOKUP(L781,NC導入施設!B:B,NC導入施設!E:E)=0,_xlfn.IFS(H781&lt;=5,0,H781&lt;=10,1,H781&lt;=15,2,H781&gt;=16,3),"Null"),"-")</f>
        <v>0</v>
      </c>
      <c r="K781" s="62"/>
      <c r="L781" s="1">
        <v>2114011100</v>
      </c>
    </row>
    <row r="782" spans="1:12" ht="18" customHeight="1" x14ac:dyDescent="0.45">
      <c r="A782" s="31">
        <v>776</v>
      </c>
      <c r="B782" s="34" t="s">
        <v>71</v>
      </c>
      <c r="C782" s="34" t="s">
        <v>277</v>
      </c>
      <c r="D782" s="9" t="s">
        <v>3</v>
      </c>
      <c r="E782" s="10">
        <v>1</v>
      </c>
      <c r="F782" s="12">
        <v>12</v>
      </c>
      <c r="G782" s="12">
        <v>12</v>
      </c>
      <c r="H782" s="10">
        <f t="shared" si="319"/>
        <v>12</v>
      </c>
      <c r="I782" s="37" cm="1">
        <f t="array" ref="I782">IF(J782="-","-",_xlfn.IFS(K782&lt;=5,0,K782&lt;=10,1,K782&lt;=15,2,K782&gt;=16,3))</f>
        <v>3</v>
      </c>
      <c r="J782" s="19" cm="1">
        <f t="array" ref="J782">IFERROR(IF(_xlfn.XLOOKUP(L782,NC導入施設!B:B,NC導入施設!E:E)=0,_xlfn.IFS(H782&lt;=5,0,H782&lt;=10,1,H782&lt;=15,2,H782&gt;=16,3),"Null"),"-")</f>
        <v>2</v>
      </c>
      <c r="K782" s="60">
        <f t="shared" ref="K782" si="322">IFERROR(SUM(H782:H786),"-")</f>
        <v>35</v>
      </c>
      <c r="L782" s="1">
        <v>2114021100</v>
      </c>
    </row>
    <row r="783" spans="1:12" ht="18" customHeight="1" x14ac:dyDescent="0.45">
      <c r="A783" s="31">
        <v>777</v>
      </c>
      <c r="B783" s="35" t="str">
        <f t="shared" ref="B783:C786" si="323">B782</f>
        <v>埼玉千葉本部</v>
      </c>
      <c r="C783" s="35" t="str">
        <f t="shared" si="323"/>
        <v>ラヴィーレ大宮</v>
      </c>
      <c r="D783" s="9" t="s">
        <v>4</v>
      </c>
      <c r="E783" s="10">
        <v>1</v>
      </c>
      <c r="F783" s="12">
        <v>2</v>
      </c>
      <c r="G783" s="12">
        <v>2</v>
      </c>
      <c r="H783" s="10">
        <f t="shared" si="319"/>
        <v>2</v>
      </c>
      <c r="I783" s="38"/>
      <c r="J783" s="19" cm="1">
        <f t="array" ref="J783">IFERROR(IF(_xlfn.XLOOKUP(L783,NC導入施設!B:B,NC導入施設!E:E)=0,_xlfn.IFS(H783&lt;=5,0,H783&lt;=10,1,H783&lt;=15,2,H783&gt;=16,3),"Null"),"-")</f>
        <v>0</v>
      </c>
      <c r="K783" s="61"/>
      <c r="L783" s="1">
        <v>2114021100</v>
      </c>
    </row>
    <row r="784" spans="1:12" ht="18" customHeight="1" x14ac:dyDescent="0.45">
      <c r="A784" s="31">
        <v>778</v>
      </c>
      <c r="B784" s="35" t="str">
        <f t="shared" si="323"/>
        <v>埼玉千葉本部</v>
      </c>
      <c r="C784" s="35" t="str">
        <f t="shared" si="323"/>
        <v>ラヴィーレ大宮</v>
      </c>
      <c r="D784" s="9" t="s">
        <v>5</v>
      </c>
      <c r="E784" s="10">
        <v>2</v>
      </c>
      <c r="F784" s="12">
        <v>20</v>
      </c>
      <c r="G784" s="12">
        <v>10</v>
      </c>
      <c r="H784" s="10">
        <f t="shared" si="319"/>
        <v>20</v>
      </c>
      <c r="I784" s="38"/>
      <c r="J784" s="19" cm="1">
        <f t="array" ref="J784">IFERROR(IF(_xlfn.XLOOKUP(L784,NC導入施設!B:B,NC導入施設!E:E)=0,_xlfn.IFS(H784&lt;=5,0,H784&lt;=10,1,H784&lt;=15,2,H784&gt;=16,3),"Null"),"-")</f>
        <v>3</v>
      </c>
      <c r="K784" s="61"/>
      <c r="L784" s="1">
        <v>2114021100</v>
      </c>
    </row>
    <row r="785" spans="1:12" ht="18" customHeight="1" x14ac:dyDescent="0.45">
      <c r="A785" s="31">
        <v>779</v>
      </c>
      <c r="B785" s="35" t="str">
        <f t="shared" si="323"/>
        <v>埼玉千葉本部</v>
      </c>
      <c r="C785" s="35" t="str">
        <f t="shared" si="323"/>
        <v>ラヴィーレ大宮</v>
      </c>
      <c r="D785" s="9" t="s">
        <v>6</v>
      </c>
      <c r="E785" s="10">
        <v>4</v>
      </c>
      <c r="F785" s="12">
        <v>0</v>
      </c>
      <c r="G785" s="12">
        <v>0</v>
      </c>
      <c r="H785" s="10">
        <f t="shared" si="319"/>
        <v>0</v>
      </c>
      <c r="I785" s="38"/>
      <c r="J785" s="19" cm="1">
        <f t="array" ref="J785">IFERROR(IF(_xlfn.XLOOKUP(L785,NC導入施設!B:B,NC導入施設!E:E)=0,_xlfn.IFS(H785&lt;=5,0,H785&lt;=10,1,H785&lt;=15,2,H785&gt;=16,3),"Null"),"-")</f>
        <v>0</v>
      </c>
      <c r="K785" s="61"/>
      <c r="L785" s="1">
        <v>2114021100</v>
      </c>
    </row>
    <row r="786" spans="1:12" ht="18" customHeight="1" x14ac:dyDescent="0.45">
      <c r="A786" s="31">
        <v>780</v>
      </c>
      <c r="B786" s="36" t="str">
        <f t="shared" si="323"/>
        <v>埼玉千葉本部</v>
      </c>
      <c r="C786" s="36" t="str">
        <f t="shared" si="323"/>
        <v>ラヴィーレ大宮</v>
      </c>
      <c r="D786" s="9" t="s">
        <v>2</v>
      </c>
      <c r="E786" s="10">
        <v>2</v>
      </c>
      <c r="F786" s="12">
        <v>1</v>
      </c>
      <c r="G786" s="12">
        <v>0.5</v>
      </c>
      <c r="H786" s="10">
        <f t="shared" si="319"/>
        <v>1</v>
      </c>
      <c r="I786" s="39"/>
      <c r="J786" s="19" cm="1">
        <f t="array" ref="J786">IFERROR(IF(_xlfn.XLOOKUP(L786,NC導入施設!B:B,NC導入施設!E:E)=0,_xlfn.IFS(H786&lt;=5,0,H786&lt;=10,1,H786&lt;=15,2,H786&gt;=16,3),"Null"),"-")</f>
        <v>0</v>
      </c>
      <c r="K786" s="62"/>
      <c r="L786" s="1">
        <v>2114021100</v>
      </c>
    </row>
    <row r="787" spans="1:12" ht="18" customHeight="1" x14ac:dyDescent="0.45">
      <c r="A787" s="13">
        <v>781</v>
      </c>
      <c r="B787" s="40" t="s">
        <v>71</v>
      </c>
      <c r="C787" s="40" t="s">
        <v>73</v>
      </c>
      <c r="D787" s="14" t="s">
        <v>3</v>
      </c>
      <c r="E787" s="15">
        <v>1</v>
      </c>
      <c r="F787" s="17">
        <v>2</v>
      </c>
      <c r="G787" s="17">
        <v>2</v>
      </c>
      <c r="H787" s="15">
        <f t="shared" si="319"/>
        <v>2</v>
      </c>
      <c r="I787" s="43" cm="1">
        <f t="array" ref="I787">IF(J787="-","-",_xlfn.IFS(K787&lt;=5,0,K787&lt;=10,1,K787&lt;=15,2,K787&gt;=16,3))</f>
        <v>2</v>
      </c>
      <c r="J787" s="19" cm="1">
        <f t="array" ref="J787">IFERROR(IF(_xlfn.XLOOKUP(L787,NC導入施設!B:B,NC導入施設!E:E)=0,_xlfn.IFS(H787&lt;=5,0,H787&lt;=10,1,H787&lt;=15,2,H787&gt;=16,3),"Null"),"-")</f>
        <v>0</v>
      </c>
      <c r="K787" s="60">
        <f t="shared" ref="K787" si="324">IFERROR(SUM(H787:H791),"-")</f>
        <v>13</v>
      </c>
      <c r="L787" s="1">
        <v>2114071200</v>
      </c>
    </row>
    <row r="788" spans="1:12" ht="18" customHeight="1" x14ac:dyDescent="0.45">
      <c r="A788" s="13">
        <v>782</v>
      </c>
      <c r="B788" s="41" t="str">
        <f t="shared" ref="B788:C791" si="325">B787</f>
        <v>埼玉千葉本部</v>
      </c>
      <c r="C788" s="41" t="str">
        <f t="shared" si="325"/>
        <v>そんぽの家　大宮</v>
      </c>
      <c r="D788" s="14" t="s">
        <v>4</v>
      </c>
      <c r="E788" s="15">
        <v>1</v>
      </c>
      <c r="F788" s="17">
        <v>7</v>
      </c>
      <c r="G788" s="17">
        <v>7</v>
      </c>
      <c r="H788" s="15">
        <f t="shared" si="319"/>
        <v>7</v>
      </c>
      <c r="I788" s="44"/>
      <c r="J788" s="19" cm="1">
        <f t="array" ref="J788">IFERROR(IF(_xlfn.XLOOKUP(L788,NC導入施設!B:B,NC導入施設!E:E)=0,_xlfn.IFS(H788&lt;=5,0,H788&lt;=10,1,H788&lt;=15,2,H788&gt;=16,3),"Null"),"-")</f>
        <v>1</v>
      </c>
      <c r="K788" s="61"/>
      <c r="L788" s="1">
        <v>2114071200</v>
      </c>
    </row>
    <row r="789" spans="1:12" ht="18" customHeight="1" x14ac:dyDescent="0.45">
      <c r="A789" s="13">
        <v>783</v>
      </c>
      <c r="B789" s="41" t="str">
        <f t="shared" si="325"/>
        <v>埼玉千葉本部</v>
      </c>
      <c r="C789" s="41" t="str">
        <f t="shared" si="325"/>
        <v>そんぽの家　大宮</v>
      </c>
      <c r="D789" s="14" t="s">
        <v>5</v>
      </c>
      <c r="E789" s="15">
        <v>1</v>
      </c>
      <c r="F789" s="17">
        <v>0</v>
      </c>
      <c r="G789" s="17">
        <v>0</v>
      </c>
      <c r="H789" s="15">
        <f t="shared" si="319"/>
        <v>0</v>
      </c>
      <c r="I789" s="44"/>
      <c r="J789" s="19" cm="1">
        <f t="array" ref="J789">IFERROR(IF(_xlfn.XLOOKUP(L789,NC導入施設!B:B,NC導入施設!E:E)=0,_xlfn.IFS(H789&lt;=5,0,H789&lt;=10,1,H789&lt;=15,2,H789&gt;=16,3),"Null"),"-")</f>
        <v>0</v>
      </c>
      <c r="K789" s="61"/>
      <c r="L789" s="1">
        <v>2114071200</v>
      </c>
    </row>
    <row r="790" spans="1:12" ht="18" customHeight="1" x14ac:dyDescent="0.45">
      <c r="A790" s="13">
        <v>784</v>
      </c>
      <c r="B790" s="41" t="str">
        <f t="shared" si="325"/>
        <v>埼玉千葉本部</v>
      </c>
      <c r="C790" s="41" t="str">
        <f t="shared" si="325"/>
        <v>そんぽの家　大宮</v>
      </c>
      <c r="D790" s="14" t="s">
        <v>6</v>
      </c>
      <c r="E790" s="15">
        <v>3</v>
      </c>
      <c r="F790" s="17">
        <v>0</v>
      </c>
      <c r="G790" s="17">
        <v>0</v>
      </c>
      <c r="H790" s="15">
        <f t="shared" si="319"/>
        <v>0</v>
      </c>
      <c r="I790" s="44"/>
      <c r="J790" s="19" cm="1">
        <f t="array" ref="J790">IFERROR(IF(_xlfn.XLOOKUP(L790,NC導入施設!B:B,NC導入施設!E:E)=0,_xlfn.IFS(H790&lt;=5,0,H790&lt;=10,1,H790&lt;=15,2,H790&gt;=16,3),"Null"),"-")</f>
        <v>0</v>
      </c>
      <c r="K790" s="61"/>
      <c r="L790" s="1">
        <v>2114071200</v>
      </c>
    </row>
    <row r="791" spans="1:12" ht="18" customHeight="1" x14ac:dyDescent="0.45">
      <c r="A791" s="13">
        <v>785</v>
      </c>
      <c r="B791" s="42" t="str">
        <f t="shared" si="325"/>
        <v>埼玉千葉本部</v>
      </c>
      <c r="C791" s="42" t="str">
        <f t="shared" si="325"/>
        <v>そんぽの家　大宮</v>
      </c>
      <c r="D791" s="14" t="s">
        <v>2</v>
      </c>
      <c r="E791" s="15">
        <v>2</v>
      </c>
      <c r="F791" s="17">
        <v>4</v>
      </c>
      <c r="G791" s="17">
        <v>2</v>
      </c>
      <c r="H791" s="15">
        <f t="shared" si="319"/>
        <v>4</v>
      </c>
      <c r="I791" s="45"/>
      <c r="J791" s="19" cm="1">
        <f t="array" ref="J791">IFERROR(IF(_xlfn.XLOOKUP(L791,NC導入施設!B:B,NC導入施設!E:E)=0,_xlfn.IFS(H791&lt;=5,0,H791&lt;=10,1,H791&lt;=15,2,H791&gt;=16,3),"Null"),"-")</f>
        <v>0</v>
      </c>
      <c r="K791" s="62"/>
      <c r="L791" s="1">
        <v>2114071200</v>
      </c>
    </row>
    <row r="792" spans="1:12" ht="18" customHeight="1" x14ac:dyDescent="0.45">
      <c r="A792" s="8">
        <v>786</v>
      </c>
      <c r="B792" s="34" t="s">
        <v>71</v>
      </c>
      <c r="C792" s="34" t="s">
        <v>278</v>
      </c>
      <c r="D792" s="9" t="s">
        <v>3</v>
      </c>
      <c r="E792" s="10">
        <v>1</v>
      </c>
      <c r="F792" s="12">
        <v>9</v>
      </c>
      <c r="G792" s="12">
        <v>9</v>
      </c>
      <c r="H792" s="10">
        <f t="shared" si="319"/>
        <v>9</v>
      </c>
      <c r="I792" s="37" cm="1">
        <f t="array" ref="I792">IF(J792="-","-",_xlfn.IFS(K792&lt;=5,0,K792&lt;=10,1,K792&lt;=15,2,K792&gt;=16,3))</f>
        <v>3</v>
      </c>
      <c r="J792" s="19" cm="1">
        <f t="array" ref="J792">IFERROR(IF(_xlfn.XLOOKUP(L792,NC導入施設!B:B,NC導入施設!E:E)=0,_xlfn.IFS(H792&lt;=5,0,H792&lt;=10,1,H792&lt;=15,2,H792&gt;=16,3),"Null"),"-")</f>
        <v>1</v>
      </c>
      <c r="K792" s="60">
        <f t="shared" ref="K792" si="326">IFERROR(SUM(H792:H796),"-")</f>
        <v>39</v>
      </c>
      <c r="L792" s="1">
        <v>2114081100</v>
      </c>
    </row>
    <row r="793" spans="1:12" ht="18" customHeight="1" x14ac:dyDescent="0.45">
      <c r="A793" s="8">
        <v>787</v>
      </c>
      <c r="B793" s="35" t="str">
        <f t="shared" ref="B793:C796" si="327">B792</f>
        <v>埼玉千葉本部</v>
      </c>
      <c r="C793" s="35" t="str">
        <f t="shared" si="327"/>
        <v>ラヴィーレ西大宮</v>
      </c>
      <c r="D793" s="9" t="s">
        <v>4</v>
      </c>
      <c r="E793" s="10">
        <v>1</v>
      </c>
      <c r="F793" s="12">
        <v>10</v>
      </c>
      <c r="G793" s="12">
        <v>10</v>
      </c>
      <c r="H793" s="10">
        <f t="shared" si="319"/>
        <v>10</v>
      </c>
      <c r="I793" s="38"/>
      <c r="J793" s="19" cm="1">
        <f t="array" ref="J793">IFERROR(IF(_xlfn.XLOOKUP(L793,NC導入施設!B:B,NC導入施設!E:E)=0,_xlfn.IFS(H793&lt;=5,0,H793&lt;=10,1,H793&lt;=15,2,H793&gt;=16,3),"Null"),"-")</f>
        <v>1</v>
      </c>
      <c r="K793" s="61"/>
      <c r="L793" s="1">
        <v>2114081100</v>
      </c>
    </row>
    <row r="794" spans="1:12" ht="18" customHeight="1" x14ac:dyDescent="0.45">
      <c r="A794" s="8">
        <v>788</v>
      </c>
      <c r="B794" s="35" t="str">
        <f t="shared" si="327"/>
        <v>埼玉千葉本部</v>
      </c>
      <c r="C794" s="35" t="str">
        <f t="shared" si="327"/>
        <v>ラヴィーレ西大宮</v>
      </c>
      <c r="D794" s="9" t="s">
        <v>5</v>
      </c>
      <c r="E794" s="10">
        <v>1</v>
      </c>
      <c r="F794" s="12">
        <v>2</v>
      </c>
      <c r="G794" s="12">
        <v>2</v>
      </c>
      <c r="H794" s="10">
        <f t="shared" si="319"/>
        <v>2</v>
      </c>
      <c r="I794" s="38"/>
      <c r="J794" s="19" cm="1">
        <f t="array" ref="J794">IFERROR(IF(_xlfn.XLOOKUP(L794,NC導入施設!B:B,NC導入施設!E:E)=0,_xlfn.IFS(H794&lt;=5,0,H794&lt;=10,1,H794&lt;=15,2,H794&gt;=16,3),"Null"),"-")</f>
        <v>0</v>
      </c>
      <c r="K794" s="61"/>
      <c r="L794" s="1">
        <v>2114081100</v>
      </c>
    </row>
    <row r="795" spans="1:12" ht="18" customHeight="1" x14ac:dyDescent="0.45">
      <c r="A795" s="8">
        <v>789</v>
      </c>
      <c r="B795" s="35" t="str">
        <f t="shared" si="327"/>
        <v>埼玉千葉本部</v>
      </c>
      <c r="C795" s="35" t="str">
        <f t="shared" si="327"/>
        <v>ラヴィーレ西大宮</v>
      </c>
      <c r="D795" s="9" t="s">
        <v>6</v>
      </c>
      <c r="E795" s="10">
        <v>4</v>
      </c>
      <c r="F795" s="12">
        <v>0</v>
      </c>
      <c r="G795" s="12">
        <v>0</v>
      </c>
      <c r="H795" s="10">
        <f t="shared" si="319"/>
        <v>0</v>
      </c>
      <c r="I795" s="38"/>
      <c r="J795" s="19" cm="1">
        <f t="array" ref="J795">IFERROR(IF(_xlfn.XLOOKUP(L795,NC導入施設!B:B,NC導入施設!E:E)=0,_xlfn.IFS(H795&lt;=5,0,H795&lt;=10,1,H795&lt;=15,2,H795&gt;=16,3),"Null"),"-")</f>
        <v>0</v>
      </c>
      <c r="K795" s="61"/>
      <c r="L795" s="1">
        <v>2114081100</v>
      </c>
    </row>
    <row r="796" spans="1:12" ht="18" customHeight="1" x14ac:dyDescent="0.45">
      <c r="A796" s="8">
        <v>790</v>
      </c>
      <c r="B796" s="36" t="str">
        <f t="shared" si="327"/>
        <v>埼玉千葉本部</v>
      </c>
      <c r="C796" s="36" t="str">
        <f t="shared" si="327"/>
        <v>ラヴィーレ西大宮</v>
      </c>
      <c r="D796" s="9" t="s">
        <v>2</v>
      </c>
      <c r="E796" s="10">
        <v>2</v>
      </c>
      <c r="F796" s="12">
        <v>18</v>
      </c>
      <c r="G796" s="12">
        <v>9</v>
      </c>
      <c r="H796" s="10">
        <f t="shared" si="319"/>
        <v>18</v>
      </c>
      <c r="I796" s="39"/>
      <c r="J796" s="19" cm="1">
        <f t="array" ref="J796">IFERROR(IF(_xlfn.XLOOKUP(L796,NC導入施設!B:B,NC導入施設!E:E)=0,_xlfn.IFS(H796&lt;=5,0,H796&lt;=10,1,H796&lt;=15,2,H796&gt;=16,3),"Null"),"-")</f>
        <v>3</v>
      </c>
      <c r="K796" s="62"/>
      <c r="L796" s="1">
        <v>2114081100</v>
      </c>
    </row>
    <row r="797" spans="1:12" ht="18" customHeight="1" x14ac:dyDescent="0.45">
      <c r="A797" s="13">
        <v>791</v>
      </c>
      <c r="B797" s="40" t="s">
        <v>71</v>
      </c>
      <c r="C797" s="40" t="s">
        <v>279</v>
      </c>
      <c r="D797" s="14" t="s">
        <v>3</v>
      </c>
      <c r="E797" s="15">
        <v>1</v>
      </c>
      <c r="F797" s="17">
        <v>31</v>
      </c>
      <c r="G797" s="17">
        <v>31</v>
      </c>
      <c r="H797" s="15">
        <f t="shared" si="319"/>
        <v>31</v>
      </c>
      <c r="I797" s="43" cm="1">
        <f t="array" ref="I797">IF(J797="-","-",_xlfn.IFS(K797&lt;=5,0,K797&lt;=10,1,K797&lt;=15,2,K797&gt;=16,3))</f>
        <v>3</v>
      </c>
      <c r="J797" s="19" cm="1">
        <f t="array" ref="J797">IFERROR(IF(_xlfn.XLOOKUP(L797,NC導入施設!B:B,NC導入施設!E:E)=0,_xlfn.IFS(H797&lt;=5,0,H797&lt;=10,1,H797&lt;=15,2,H797&gt;=16,3),"Null"),"-")</f>
        <v>3</v>
      </c>
      <c r="K797" s="60">
        <f t="shared" ref="K797" si="328">IFERROR(SUM(H797:H801),"-")</f>
        <v>47</v>
      </c>
      <c r="L797" s="1">
        <v>2114091100</v>
      </c>
    </row>
    <row r="798" spans="1:12" ht="18" customHeight="1" x14ac:dyDescent="0.45">
      <c r="A798" s="13">
        <v>792</v>
      </c>
      <c r="B798" s="41" t="str">
        <f t="shared" ref="B798:C801" si="329">B797</f>
        <v>埼玉千葉本部</v>
      </c>
      <c r="C798" s="41" t="str">
        <f t="shared" si="329"/>
        <v>ラヴィーレ武蔵浦和</v>
      </c>
      <c r="D798" s="14" t="s">
        <v>4</v>
      </c>
      <c r="E798" s="15">
        <v>1</v>
      </c>
      <c r="F798" s="17">
        <v>3</v>
      </c>
      <c r="G798" s="17">
        <v>3</v>
      </c>
      <c r="H798" s="15">
        <f t="shared" si="319"/>
        <v>3</v>
      </c>
      <c r="I798" s="44"/>
      <c r="J798" s="19" cm="1">
        <f t="array" ref="J798">IFERROR(IF(_xlfn.XLOOKUP(L798,NC導入施設!B:B,NC導入施設!E:E)=0,_xlfn.IFS(H798&lt;=5,0,H798&lt;=10,1,H798&lt;=15,2,H798&gt;=16,3),"Null"),"-")</f>
        <v>0</v>
      </c>
      <c r="K798" s="61"/>
      <c r="L798" s="1">
        <v>2114091100</v>
      </c>
    </row>
    <row r="799" spans="1:12" ht="18" customHeight="1" x14ac:dyDescent="0.45">
      <c r="A799" s="13">
        <v>793</v>
      </c>
      <c r="B799" s="41" t="str">
        <f t="shared" si="329"/>
        <v>埼玉千葉本部</v>
      </c>
      <c r="C799" s="41" t="str">
        <f t="shared" si="329"/>
        <v>ラヴィーレ武蔵浦和</v>
      </c>
      <c r="D799" s="14" t="s">
        <v>5</v>
      </c>
      <c r="E799" s="15">
        <v>2</v>
      </c>
      <c r="F799" s="17">
        <v>6</v>
      </c>
      <c r="G799" s="17">
        <v>3</v>
      </c>
      <c r="H799" s="15">
        <f t="shared" si="319"/>
        <v>6</v>
      </c>
      <c r="I799" s="44"/>
      <c r="J799" s="19" cm="1">
        <f t="array" ref="J799">IFERROR(IF(_xlfn.XLOOKUP(L799,NC導入施設!B:B,NC導入施設!E:E)=0,_xlfn.IFS(H799&lt;=5,0,H799&lt;=10,1,H799&lt;=15,2,H799&gt;=16,3),"Null"),"-")</f>
        <v>1</v>
      </c>
      <c r="K799" s="61"/>
      <c r="L799" s="1">
        <v>2114091100</v>
      </c>
    </row>
    <row r="800" spans="1:12" ht="18" customHeight="1" x14ac:dyDescent="0.45">
      <c r="A800" s="13">
        <v>794</v>
      </c>
      <c r="B800" s="41" t="str">
        <f t="shared" si="329"/>
        <v>埼玉千葉本部</v>
      </c>
      <c r="C800" s="41" t="str">
        <f t="shared" si="329"/>
        <v>ラヴィーレ武蔵浦和</v>
      </c>
      <c r="D800" s="14" t="s">
        <v>6</v>
      </c>
      <c r="E800" s="15">
        <v>4</v>
      </c>
      <c r="F800" s="17">
        <v>3</v>
      </c>
      <c r="G800" s="17">
        <v>0.8</v>
      </c>
      <c r="H800" s="15">
        <f t="shared" si="319"/>
        <v>3</v>
      </c>
      <c r="I800" s="44"/>
      <c r="J800" s="19" cm="1">
        <f t="array" ref="J800">IFERROR(IF(_xlfn.XLOOKUP(L800,NC導入施設!B:B,NC導入施設!E:E)=0,_xlfn.IFS(H800&lt;=5,0,H800&lt;=10,1,H800&lt;=15,2,H800&gt;=16,3),"Null"),"-")</f>
        <v>0</v>
      </c>
      <c r="K800" s="61"/>
      <c r="L800" s="1">
        <v>2114091100</v>
      </c>
    </row>
    <row r="801" spans="1:12" ht="18" customHeight="1" x14ac:dyDescent="0.45">
      <c r="A801" s="13">
        <v>795</v>
      </c>
      <c r="B801" s="42" t="str">
        <f t="shared" si="329"/>
        <v>埼玉千葉本部</v>
      </c>
      <c r="C801" s="42" t="str">
        <f t="shared" si="329"/>
        <v>ラヴィーレ武蔵浦和</v>
      </c>
      <c r="D801" s="14" t="s">
        <v>2</v>
      </c>
      <c r="E801" s="15">
        <v>2</v>
      </c>
      <c r="F801" s="17">
        <v>4</v>
      </c>
      <c r="G801" s="17">
        <v>2</v>
      </c>
      <c r="H801" s="15">
        <f t="shared" si="319"/>
        <v>4</v>
      </c>
      <c r="I801" s="45"/>
      <c r="J801" s="19" cm="1">
        <f t="array" ref="J801">IFERROR(IF(_xlfn.XLOOKUP(L801,NC導入施設!B:B,NC導入施設!E:E)=0,_xlfn.IFS(H801&lt;=5,0,H801&lt;=10,1,H801&lt;=15,2,H801&gt;=16,3),"Null"),"-")</f>
        <v>0</v>
      </c>
      <c r="K801" s="62"/>
      <c r="L801" s="1">
        <v>2114091100</v>
      </c>
    </row>
    <row r="802" spans="1:12" ht="18" customHeight="1" x14ac:dyDescent="0.45">
      <c r="A802" s="8">
        <v>796</v>
      </c>
      <c r="B802" s="34" t="s">
        <v>71</v>
      </c>
      <c r="C802" s="34" t="s">
        <v>74</v>
      </c>
      <c r="D802" s="9" t="s">
        <v>3</v>
      </c>
      <c r="E802" s="10">
        <v>1</v>
      </c>
      <c r="F802" s="12">
        <v>2</v>
      </c>
      <c r="G802" s="12">
        <v>2</v>
      </c>
      <c r="H802" s="10">
        <f t="shared" si="319"/>
        <v>2</v>
      </c>
      <c r="I802" s="37" cm="1">
        <f t="array" ref="I802">IF(J802="-","-",_xlfn.IFS(K802&lt;=5,0,K802&lt;=10,1,K802&lt;=15,2,K802&gt;=16,3))</f>
        <v>1</v>
      </c>
      <c r="J802" s="19" cm="1">
        <f t="array" ref="J802">IFERROR(IF(_xlfn.XLOOKUP(L802,NC導入施設!B:B,NC導入施設!E:E)=0,_xlfn.IFS(H802&lt;=5,0,H802&lt;=10,1,H802&lt;=15,2,H802&gt;=16,3),"Null"),"-")</f>
        <v>0</v>
      </c>
      <c r="K802" s="60">
        <f t="shared" ref="K802" si="330">IFERROR(SUM(H802:H806),"-")</f>
        <v>6</v>
      </c>
      <c r="L802" s="1">
        <v>2114101200</v>
      </c>
    </row>
    <row r="803" spans="1:12" ht="18" customHeight="1" x14ac:dyDescent="0.45">
      <c r="A803" s="8">
        <v>797</v>
      </c>
      <c r="B803" s="35" t="str">
        <f t="shared" ref="B803:C806" si="331">B802</f>
        <v>埼玉千葉本部</v>
      </c>
      <c r="C803" s="35" t="str">
        <f t="shared" si="331"/>
        <v>そんぽの家　南与野</v>
      </c>
      <c r="D803" s="9" t="s">
        <v>4</v>
      </c>
      <c r="E803" s="10">
        <v>1</v>
      </c>
      <c r="F803" s="12">
        <v>3</v>
      </c>
      <c r="G803" s="12">
        <v>3</v>
      </c>
      <c r="H803" s="10">
        <f t="shared" si="319"/>
        <v>3</v>
      </c>
      <c r="I803" s="38"/>
      <c r="J803" s="19" cm="1">
        <f t="array" ref="J803">IFERROR(IF(_xlfn.XLOOKUP(L803,NC導入施設!B:B,NC導入施設!E:E)=0,_xlfn.IFS(H803&lt;=5,0,H803&lt;=10,1,H803&lt;=15,2,H803&gt;=16,3),"Null"),"-")</f>
        <v>0</v>
      </c>
      <c r="K803" s="61"/>
      <c r="L803" s="1">
        <v>2114101200</v>
      </c>
    </row>
    <row r="804" spans="1:12" ht="18" customHeight="1" x14ac:dyDescent="0.45">
      <c r="A804" s="8">
        <v>798</v>
      </c>
      <c r="B804" s="35" t="str">
        <f t="shared" si="331"/>
        <v>埼玉千葉本部</v>
      </c>
      <c r="C804" s="35" t="str">
        <f t="shared" si="331"/>
        <v>そんぽの家　南与野</v>
      </c>
      <c r="D804" s="9" t="s">
        <v>5</v>
      </c>
      <c r="E804" s="10">
        <v>1</v>
      </c>
      <c r="F804" s="12">
        <v>0</v>
      </c>
      <c r="G804" s="12">
        <v>0</v>
      </c>
      <c r="H804" s="10">
        <f t="shared" si="319"/>
        <v>0</v>
      </c>
      <c r="I804" s="38"/>
      <c r="J804" s="19" cm="1">
        <f t="array" ref="J804">IFERROR(IF(_xlfn.XLOOKUP(L804,NC導入施設!B:B,NC導入施設!E:E)=0,_xlfn.IFS(H804&lt;=5,0,H804&lt;=10,1,H804&lt;=15,2,H804&gt;=16,3),"Null"),"-")</f>
        <v>0</v>
      </c>
      <c r="K804" s="61"/>
      <c r="L804" s="1">
        <v>2114101200</v>
      </c>
    </row>
    <row r="805" spans="1:12" ht="18" customHeight="1" x14ac:dyDescent="0.45">
      <c r="A805" s="8">
        <v>799</v>
      </c>
      <c r="B805" s="35" t="str">
        <f t="shared" si="331"/>
        <v>埼玉千葉本部</v>
      </c>
      <c r="C805" s="35" t="str">
        <f t="shared" si="331"/>
        <v>そんぽの家　南与野</v>
      </c>
      <c r="D805" s="9" t="s">
        <v>6</v>
      </c>
      <c r="E805" s="10">
        <v>3</v>
      </c>
      <c r="F805" s="12">
        <v>0</v>
      </c>
      <c r="G805" s="12">
        <v>0</v>
      </c>
      <c r="H805" s="10">
        <f t="shared" si="319"/>
        <v>0</v>
      </c>
      <c r="I805" s="38"/>
      <c r="J805" s="19" cm="1">
        <f t="array" ref="J805">IFERROR(IF(_xlfn.XLOOKUP(L805,NC導入施設!B:B,NC導入施設!E:E)=0,_xlfn.IFS(H805&lt;=5,0,H805&lt;=10,1,H805&lt;=15,2,H805&gt;=16,3),"Null"),"-")</f>
        <v>0</v>
      </c>
      <c r="K805" s="61"/>
      <c r="L805" s="1">
        <v>2114101200</v>
      </c>
    </row>
    <row r="806" spans="1:12" ht="18" customHeight="1" x14ac:dyDescent="0.45">
      <c r="A806" s="8">
        <v>800</v>
      </c>
      <c r="B806" s="36" t="str">
        <f t="shared" si="331"/>
        <v>埼玉千葉本部</v>
      </c>
      <c r="C806" s="36" t="str">
        <f t="shared" si="331"/>
        <v>そんぽの家　南与野</v>
      </c>
      <c r="D806" s="9" t="s">
        <v>2</v>
      </c>
      <c r="E806" s="10">
        <v>1</v>
      </c>
      <c r="F806" s="12">
        <v>1</v>
      </c>
      <c r="G806" s="12">
        <v>1</v>
      </c>
      <c r="H806" s="10">
        <f t="shared" si="319"/>
        <v>1</v>
      </c>
      <c r="I806" s="39"/>
      <c r="J806" s="19" cm="1">
        <f t="array" ref="J806">IFERROR(IF(_xlfn.XLOOKUP(L806,NC導入施設!B:B,NC導入施設!E:E)=0,_xlfn.IFS(H806&lt;=5,0,H806&lt;=10,1,H806&lt;=15,2,H806&gt;=16,3),"Null"),"-")</f>
        <v>0</v>
      </c>
      <c r="K806" s="62"/>
      <c r="L806" s="1">
        <v>2114101200</v>
      </c>
    </row>
    <row r="807" spans="1:12" ht="18" customHeight="1" x14ac:dyDescent="0.45">
      <c r="A807" s="13">
        <v>801</v>
      </c>
      <c r="B807" s="40" t="s">
        <v>71</v>
      </c>
      <c r="C807" s="40" t="s">
        <v>75</v>
      </c>
      <c r="D807" s="14" t="s">
        <v>3</v>
      </c>
      <c r="E807" s="15">
        <v>1</v>
      </c>
      <c r="F807" s="17">
        <v>5</v>
      </c>
      <c r="G807" s="17">
        <v>5</v>
      </c>
      <c r="H807" s="15">
        <f t="shared" si="319"/>
        <v>5</v>
      </c>
      <c r="I807" s="43" cm="1">
        <f t="array" ref="I807">IF(J807="-","-",_xlfn.IFS(K807&lt;=5,0,K807&lt;=10,1,K807&lt;=15,2,K807&gt;=16,3))</f>
        <v>3</v>
      </c>
      <c r="J807" s="19" cm="1">
        <f t="array" ref="J807">IFERROR(IF(_xlfn.XLOOKUP(L807,NC導入施設!B:B,NC導入施設!E:E)=0,_xlfn.IFS(H807&lt;=5,0,H807&lt;=10,1,H807&lt;=15,2,H807&gt;=16,3),"Null"),"-")</f>
        <v>0</v>
      </c>
      <c r="K807" s="60">
        <f t="shared" ref="K807" si="332">IFERROR(SUM(H807:H811),"-")</f>
        <v>29</v>
      </c>
      <c r="L807" s="1">
        <v>2114131200</v>
      </c>
    </row>
    <row r="808" spans="1:12" ht="18" customHeight="1" x14ac:dyDescent="0.45">
      <c r="A808" s="13">
        <v>802</v>
      </c>
      <c r="B808" s="41" t="str">
        <f t="shared" ref="B808:C811" si="333">B807</f>
        <v>埼玉千葉本部</v>
      </c>
      <c r="C808" s="41" t="str">
        <f t="shared" si="333"/>
        <v>そんぽの家　越谷</v>
      </c>
      <c r="D808" s="14" t="s">
        <v>4</v>
      </c>
      <c r="E808" s="15">
        <v>1</v>
      </c>
      <c r="F808" s="17">
        <v>12</v>
      </c>
      <c r="G808" s="17">
        <v>12</v>
      </c>
      <c r="H808" s="15">
        <f t="shared" si="319"/>
        <v>12</v>
      </c>
      <c r="I808" s="44"/>
      <c r="J808" s="19" cm="1">
        <f t="array" ref="J808">IFERROR(IF(_xlfn.XLOOKUP(L808,NC導入施設!B:B,NC導入施設!E:E)=0,_xlfn.IFS(H808&lt;=5,0,H808&lt;=10,1,H808&lt;=15,2,H808&gt;=16,3),"Null"),"-")</f>
        <v>2</v>
      </c>
      <c r="K808" s="61"/>
      <c r="L808" s="1">
        <v>2114131200</v>
      </c>
    </row>
    <row r="809" spans="1:12" ht="18" customHeight="1" x14ac:dyDescent="0.45">
      <c r="A809" s="13">
        <v>803</v>
      </c>
      <c r="B809" s="41" t="str">
        <f t="shared" si="333"/>
        <v>埼玉千葉本部</v>
      </c>
      <c r="C809" s="41" t="str">
        <f t="shared" si="333"/>
        <v>そんぽの家　越谷</v>
      </c>
      <c r="D809" s="14" t="s">
        <v>5</v>
      </c>
      <c r="E809" s="15">
        <v>1</v>
      </c>
      <c r="F809" s="17">
        <v>5</v>
      </c>
      <c r="G809" s="17">
        <v>5</v>
      </c>
      <c r="H809" s="15">
        <f t="shared" si="319"/>
        <v>5</v>
      </c>
      <c r="I809" s="44"/>
      <c r="J809" s="19" cm="1">
        <f t="array" ref="J809">IFERROR(IF(_xlfn.XLOOKUP(L809,NC導入施設!B:B,NC導入施設!E:E)=0,_xlfn.IFS(H809&lt;=5,0,H809&lt;=10,1,H809&lt;=15,2,H809&gt;=16,3),"Null"),"-")</f>
        <v>0</v>
      </c>
      <c r="K809" s="61"/>
      <c r="L809" s="1">
        <v>2114131200</v>
      </c>
    </row>
    <row r="810" spans="1:12" ht="18" customHeight="1" x14ac:dyDescent="0.45">
      <c r="A810" s="13">
        <v>804</v>
      </c>
      <c r="B810" s="41" t="str">
        <f t="shared" si="333"/>
        <v>埼玉千葉本部</v>
      </c>
      <c r="C810" s="41" t="str">
        <f t="shared" si="333"/>
        <v>そんぽの家　越谷</v>
      </c>
      <c r="D810" s="14" t="s">
        <v>6</v>
      </c>
      <c r="E810" s="15">
        <v>4</v>
      </c>
      <c r="F810" s="17">
        <v>0</v>
      </c>
      <c r="G810" s="17">
        <v>0</v>
      </c>
      <c r="H810" s="15">
        <f t="shared" si="319"/>
        <v>0</v>
      </c>
      <c r="I810" s="44"/>
      <c r="J810" s="19" cm="1">
        <f t="array" ref="J810">IFERROR(IF(_xlfn.XLOOKUP(L810,NC導入施設!B:B,NC導入施設!E:E)=0,_xlfn.IFS(H810&lt;=5,0,H810&lt;=10,1,H810&lt;=15,2,H810&gt;=16,3),"Null"),"-")</f>
        <v>0</v>
      </c>
      <c r="K810" s="61"/>
      <c r="L810" s="1">
        <v>2114131200</v>
      </c>
    </row>
    <row r="811" spans="1:12" ht="18" customHeight="1" x14ac:dyDescent="0.45">
      <c r="A811" s="13">
        <v>805</v>
      </c>
      <c r="B811" s="42" t="str">
        <f t="shared" si="333"/>
        <v>埼玉千葉本部</v>
      </c>
      <c r="C811" s="42" t="str">
        <f t="shared" si="333"/>
        <v>そんぽの家　越谷</v>
      </c>
      <c r="D811" s="14" t="s">
        <v>2</v>
      </c>
      <c r="E811" s="15">
        <v>1</v>
      </c>
      <c r="F811" s="17">
        <v>7</v>
      </c>
      <c r="G811" s="17">
        <v>7</v>
      </c>
      <c r="H811" s="15">
        <f t="shared" si="319"/>
        <v>7</v>
      </c>
      <c r="I811" s="45"/>
      <c r="J811" s="19" cm="1">
        <f t="array" ref="J811">IFERROR(IF(_xlfn.XLOOKUP(L811,NC導入施設!B:B,NC導入施設!E:E)=0,_xlfn.IFS(H811&lt;=5,0,H811&lt;=10,1,H811&lt;=15,2,H811&gt;=16,3),"Null"),"-")</f>
        <v>1</v>
      </c>
      <c r="K811" s="62"/>
      <c r="L811" s="1">
        <v>2114131200</v>
      </c>
    </row>
    <row r="812" spans="1:12" ht="18" customHeight="1" x14ac:dyDescent="0.45">
      <c r="A812" s="8">
        <v>806</v>
      </c>
      <c r="B812" s="34" t="s">
        <v>71</v>
      </c>
      <c r="C812" s="34" t="s">
        <v>280</v>
      </c>
      <c r="D812" s="9" t="s">
        <v>3</v>
      </c>
      <c r="E812" s="10">
        <v>1</v>
      </c>
      <c r="F812" s="12">
        <v>18</v>
      </c>
      <c r="G812" s="12">
        <v>18</v>
      </c>
      <c r="H812" s="10">
        <f t="shared" si="319"/>
        <v>18</v>
      </c>
      <c r="I812" s="37" cm="1">
        <f t="array" ref="I812">IF(J812="-","-",_xlfn.IFS(K812&lt;=5,0,K812&lt;=10,1,K812&lt;=15,2,K812&gt;=16,3))</f>
        <v>3</v>
      </c>
      <c r="J812" s="19" cm="1">
        <f t="array" ref="J812">IFERROR(IF(_xlfn.XLOOKUP(L812,NC導入施設!B:B,NC導入施設!E:E)=0,_xlfn.IFS(H812&lt;=5,0,H812&lt;=10,1,H812&lt;=15,2,H812&gt;=16,3),"Null"),"-")</f>
        <v>3</v>
      </c>
      <c r="K812" s="60">
        <f t="shared" ref="K812" si="334">IFERROR(SUM(H812:H816),"-")</f>
        <v>51</v>
      </c>
      <c r="L812" s="1">
        <v>2114141100</v>
      </c>
    </row>
    <row r="813" spans="1:12" ht="18" customHeight="1" x14ac:dyDescent="0.45">
      <c r="A813" s="8">
        <v>807</v>
      </c>
      <c r="B813" s="35" t="str">
        <f t="shared" ref="B813:C816" si="335">B812</f>
        <v>埼玉千葉本部</v>
      </c>
      <c r="C813" s="35" t="str">
        <f t="shared" si="335"/>
        <v>ラヴィーレ越谷</v>
      </c>
      <c r="D813" s="9" t="s">
        <v>4</v>
      </c>
      <c r="E813" s="10">
        <v>2</v>
      </c>
      <c r="F813" s="12">
        <v>1</v>
      </c>
      <c r="G813" s="12">
        <v>0.5</v>
      </c>
      <c r="H813" s="10">
        <f t="shared" si="319"/>
        <v>1</v>
      </c>
      <c r="I813" s="38"/>
      <c r="J813" s="19" cm="1">
        <f t="array" ref="J813">IFERROR(IF(_xlfn.XLOOKUP(L813,NC導入施設!B:B,NC導入施設!E:E)=0,_xlfn.IFS(H813&lt;=5,0,H813&lt;=10,1,H813&lt;=15,2,H813&gt;=16,3),"Null"),"-")</f>
        <v>0</v>
      </c>
      <c r="K813" s="61"/>
      <c r="L813" s="1">
        <v>2114141100</v>
      </c>
    </row>
    <row r="814" spans="1:12" ht="18" customHeight="1" x14ac:dyDescent="0.45">
      <c r="A814" s="8">
        <v>808</v>
      </c>
      <c r="B814" s="35" t="str">
        <f t="shared" si="335"/>
        <v>埼玉千葉本部</v>
      </c>
      <c r="C814" s="35" t="str">
        <f t="shared" si="335"/>
        <v>ラヴィーレ越谷</v>
      </c>
      <c r="D814" s="9" t="s">
        <v>5</v>
      </c>
      <c r="E814" s="10">
        <v>2</v>
      </c>
      <c r="F814" s="12">
        <v>23</v>
      </c>
      <c r="G814" s="12">
        <v>11.5</v>
      </c>
      <c r="H814" s="10">
        <f t="shared" si="319"/>
        <v>23</v>
      </c>
      <c r="I814" s="38"/>
      <c r="J814" s="19" cm="1">
        <f t="array" ref="J814">IFERROR(IF(_xlfn.XLOOKUP(L814,NC導入施設!B:B,NC導入施設!E:E)=0,_xlfn.IFS(H814&lt;=5,0,H814&lt;=10,1,H814&lt;=15,2,H814&gt;=16,3),"Null"),"-")</f>
        <v>3</v>
      </c>
      <c r="K814" s="61"/>
      <c r="L814" s="1">
        <v>2114141100</v>
      </c>
    </row>
    <row r="815" spans="1:12" ht="18" customHeight="1" x14ac:dyDescent="0.45">
      <c r="A815" s="8">
        <v>809</v>
      </c>
      <c r="B815" s="35" t="str">
        <f t="shared" si="335"/>
        <v>埼玉千葉本部</v>
      </c>
      <c r="C815" s="35" t="str">
        <f t="shared" si="335"/>
        <v>ラヴィーレ越谷</v>
      </c>
      <c r="D815" s="9" t="s">
        <v>6</v>
      </c>
      <c r="E815" s="10">
        <v>4</v>
      </c>
      <c r="F815" s="12">
        <v>0</v>
      </c>
      <c r="G815" s="12">
        <v>0</v>
      </c>
      <c r="H815" s="10">
        <f t="shared" si="319"/>
        <v>0</v>
      </c>
      <c r="I815" s="38"/>
      <c r="J815" s="19" cm="1">
        <f t="array" ref="J815">IFERROR(IF(_xlfn.XLOOKUP(L815,NC導入施設!B:B,NC導入施設!E:E)=0,_xlfn.IFS(H815&lt;=5,0,H815&lt;=10,1,H815&lt;=15,2,H815&gt;=16,3),"Null"),"-")</f>
        <v>0</v>
      </c>
      <c r="K815" s="61"/>
      <c r="L815" s="1">
        <v>2114141100</v>
      </c>
    </row>
    <row r="816" spans="1:12" ht="18" customHeight="1" x14ac:dyDescent="0.45">
      <c r="A816" s="8">
        <v>810</v>
      </c>
      <c r="B816" s="36" t="str">
        <f t="shared" si="335"/>
        <v>埼玉千葉本部</v>
      </c>
      <c r="C816" s="36" t="str">
        <f t="shared" si="335"/>
        <v>ラヴィーレ越谷</v>
      </c>
      <c r="D816" s="9" t="s">
        <v>2</v>
      </c>
      <c r="E816" s="10">
        <v>2</v>
      </c>
      <c r="F816" s="12">
        <v>9</v>
      </c>
      <c r="G816" s="12">
        <v>4.5</v>
      </c>
      <c r="H816" s="10">
        <f t="shared" si="319"/>
        <v>9</v>
      </c>
      <c r="I816" s="39"/>
      <c r="J816" s="19" cm="1">
        <f t="array" ref="J816">IFERROR(IF(_xlfn.XLOOKUP(L816,NC導入施設!B:B,NC導入施設!E:E)=0,_xlfn.IFS(H816&lt;=5,0,H816&lt;=10,1,H816&lt;=15,2,H816&gt;=16,3),"Null"),"-")</f>
        <v>1</v>
      </c>
      <c r="K816" s="62"/>
      <c r="L816" s="1">
        <v>2114141100</v>
      </c>
    </row>
    <row r="817" spans="1:12" ht="18" customHeight="1" x14ac:dyDescent="0.45">
      <c r="A817" s="13">
        <v>811</v>
      </c>
      <c r="B817" s="40" t="s">
        <v>71</v>
      </c>
      <c r="C817" s="40" t="s">
        <v>281</v>
      </c>
      <c r="D817" s="14" t="s">
        <v>3</v>
      </c>
      <c r="E817" s="15">
        <v>1</v>
      </c>
      <c r="F817" s="17">
        <v>3</v>
      </c>
      <c r="G817" s="17">
        <v>3</v>
      </c>
      <c r="H817" s="15">
        <f t="shared" si="319"/>
        <v>3</v>
      </c>
      <c r="I817" s="43" cm="1">
        <f t="array" ref="I817">IF(J817="-","-",_xlfn.IFS(K817&lt;=5,0,K817&lt;=10,1,K817&lt;=15,2,K817&gt;=16,3))</f>
        <v>1</v>
      </c>
      <c r="J817" s="19" cm="1">
        <f t="array" ref="J817">IFERROR(IF(_xlfn.XLOOKUP(L817,NC導入施設!B:B,NC導入施設!E:E)=0,_xlfn.IFS(H817&lt;=5,0,H817&lt;=10,1,H817&lt;=15,2,H817&gt;=16,3),"Null"),"-")</f>
        <v>0</v>
      </c>
      <c r="K817" s="60">
        <f t="shared" ref="K817" si="336">IFERROR(SUM(H817:H821),"-")</f>
        <v>10</v>
      </c>
      <c r="L817" s="1">
        <v>2114181100</v>
      </c>
    </row>
    <row r="818" spans="1:12" ht="18" customHeight="1" x14ac:dyDescent="0.45">
      <c r="A818" s="13">
        <v>812</v>
      </c>
      <c r="B818" s="41" t="str">
        <f t="shared" ref="B818:C821" si="337">B817</f>
        <v>埼玉千葉本部</v>
      </c>
      <c r="C818" s="41" t="str">
        <f t="shared" si="337"/>
        <v>ラヴィーレ草加松原</v>
      </c>
      <c r="D818" s="14" t="s">
        <v>4</v>
      </c>
      <c r="E818" s="15">
        <v>1</v>
      </c>
      <c r="F818" s="17">
        <v>4</v>
      </c>
      <c r="G818" s="17">
        <v>4</v>
      </c>
      <c r="H818" s="15">
        <f t="shared" si="319"/>
        <v>4</v>
      </c>
      <c r="I818" s="44"/>
      <c r="J818" s="19" cm="1">
        <f t="array" ref="J818">IFERROR(IF(_xlfn.XLOOKUP(L818,NC導入施設!B:B,NC導入施設!E:E)=0,_xlfn.IFS(H818&lt;=5,0,H818&lt;=10,1,H818&lt;=15,2,H818&gt;=16,3),"Null"),"-")</f>
        <v>0</v>
      </c>
      <c r="K818" s="61"/>
      <c r="L818" s="1">
        <v>2114181100</v>
      </c>
    </row>
    <row r="819" spans="1:12" ht="18" customHeight="1" x14ac:dyDescent="0.45">
      <c r="A819" s="13">
        <v>813</v>
      </c>
      <c r="B819" s="41" t="str">
        <f t="shared" si="337"/>
        <v>埼玉千葉本部</v>
      </c>
      <c r="C819" s="41" t="str">
        <f t="shared" si="337"/>
        <v>ラヴィーレ草加松原</v>
      </c>
      <c r="D819" s="14" t="s">
        <v>5</v>
      </c>
      <c r="E819" s="15">
        <v>2</v>
      </c>
      <c r="F819" s="17">
        <v>1</v>
      </c>
      <c r="G819" s="17">
        <v>0.5</v>
      </c>
      <c r="H819" s="15">
        <f t="shared" si="319"/>
        <v>1</v>
      </c>
      <c r="I819" s="44"/>
      <c r="J819" s="19" cm="1">
        <f t="array" ref="J819">IFERROR(IF(_xlfn.XLOOKUP(L819,NC導入施設!B:B,NC導入施設!E:E)=0,_xlfn.IFS(H819&lt;=5,0,H819&lt;=10,1,H819&lt;=15,2,H819&gt;=16,3),"Null"),"-")</f>
        <v>0</v>
      </c>
      <c r="K819" s="61"/>
      <c r="L819" s="1">
        <v>2114181100</v>
      </c>
    </row>
    <row r="820" spans="1:12" ht="18" customHeight="1" x14ac:dyDescent="0.45">
      <c r="A820" s="13">
        <v>814</v>
      </c>
      <c r="B820" s="41" t="str">
        <f t="shared" si="337"/>
        <v>埼玉千葉本部</v>
      </c>
      <c r="C820" s="41" t="str">
        <f t="shared" si="337"/>
        <v>ラヴィーレ草加松原</v>
      </c>
      <c r="D820" s="14" t="s">
        <v>6</v>
      </c>
      <c r="E820" s="15">
        <v>10</v>
      </c>
      <c r="F820" s="17">
        <v>2</v>
      </c>
      <c r="G820" s="17">
        <v>0.2</v>
      </c>
      <c r="H820" s="15">
        <f t="shared" si="319"/>
        <v>2</v>
      </c>
      <c r="I820" s="44"/>
      <c r="J820" s="19" cm="1">
        <f t="array" ref="J820">IFERROR(IF(_xlfn.XLOOKUP(L820,NC導入施設!B:B,NC導入施設!E:E)=0,_xlfn.IFS(H820&lt;=5,0,H820&lt;=10,1,H820&lt;=15,2,H820&gt;=16,3),"Null"),"-")</f>
        <v>0</v>
      </c>
      <c r="K820" s="61"/>
      <c r="L820" s="1">
        <v>2114181100</v>
      </c>
    </row>
    <row r="821" spans="1:12" ht="18" customHeight="1" x14ac:dyDescent="0.45">
      <c r="A821" s="13">
        <v>815</v>
      </c>
      <c r="B821" s="42" t="str">
        <f t="shared" si="337"/>
        <v>埼玉千葉本部</v>
      </c>
      <c r="C821" s="42" t="str">
        <f t="shared" si="337"/>
        <v>ラヴィーレ草加松原</v>
      </c>
      <c r="D821" s="14" t="s">
        <v>2</v>
      </c>
      <c r="E821" s="15">
        <v>2</v>
      </c>
      <c r="F821" s="17">
        <v>0</v>
      </c>
      <c r="G821" s="17">
        <v>0</v>
      </c>
      <c r="H821" s="15">
        <f t="shared" si="319"/>
        <v>0</v>
      </c>
      <c r="I821" s="45"/>
      <c r="J821" s="19" cm="1">
        <f t="array" ref="J821">IFERROR(IF(_xlfn.XLOOKUP(L821,NC導入施設!B:B,NC導入施設!E:E)=0,_xlfn.IFS(H821&lt;=5,0,H821&lt;=10,1,H821&lt;=15,2,H821&gt;=16,3),"Null"),"-")</f>
        <v>0</v>
      </c>
      <c r="K821" s="62"/>
      <c r="L821" s="1">
        <v>2114181100</v>
      </c>
    </row>
    <row r="822" spans="1:12" ht="18" customHeight="1" x14ac:dyDescent="0.45">
      <c r="A822" s="8">
        <v>816</v>
      </c>
      <c r="B822" s="34" t="s">
        <v>71</v>
      </c>
      <c r="C822" s="34" t="s">
        <v>282</v>
      </c>
      <c r="D822" s="9" t="s">
        <v>3</v>
      </c>
      <c r="E822" s="10">
        <v>1</v>
      </c>
      <c r="F822" s="12">
        <v>12</v>
      </c>
      <c r="G822" s="12">
        <v>12</v>
      </c>
      <c r="H822" s="10">
        <f t="shared" si="319"/>
        <v>12</v>
      </c>
      <c r="I822" s="37" cm="1">
        <f t="array" ref="I822">IF(J822="-","-",_xlfn.IFS(K822&lt;=5,0,K822&lt;=10,1,K822&lt;=15,2,K822&gt;=16,3))</f>
        <v>3</v>
      </c>
      <c r="J822" s="19" cm="1">
        <f t="array" ref="J822">IFERROR(IF(_xlfn.XLOOKUP(L822,NC導入施設!B:B,NC導入施設!E:E)=0,_xlfn.IFS(H822&lt;=5,0,H822&lt;=10,1,H822&lt;=15,2,H822&gt;=16,3),"Null"),"-")</f>
        <v>2</v>
      </c>
      <c r="K822" s="60">
        <f t="shared" ref="K822" si="338">IFERROR(SUM(H822:H826),"-")</f>
        <v>38</v>
      </c>
      <c r="L822" s="1">
        <v>2114211100</v>
      </c>
    </row>
    <row r="823" spans="1:12" ht="18" customHeight="1" x14ac:dyDescent="0.45">
      <c r="A823" s="8">
        <v>817</v>
      </c>
      <c r="B823" s="35" t="str">
        <f t="shared" ref="B823:C826" si="339">B822</f>
        <v>埼玉千葉本部</v>
      </c>
      <c r="C823" s="35" t="str">
        <f t="shared" si="339"/>
        <v>ラヴィーレ草加</v>
      </c>
      <c r="D823" s="9" t="s">
        <v>4</v>
      </c>
      <c r="E823" s="10">
        <v>2</v>
      </c>
      <c r="F823" s="12">
        <v>13</v>
      </c>
      <c r="G823" s="12">
        <v>6.5</v>
      </c>
      <c r="H823" s="10">
        <f t="shared" si="319"/>
        <v>13</v>
      </c>
      <c r="I823" s="38"/>
      <c r="J823" s="19" cm="1">
        <f t="array" ref="J823">IFERROR(IF(_xlfn.XLOOKUP(L823,NC導入施設!B:B,NC導入施設!E:E)=0,_xlfn.IFS(H823&lt;=5,0,H823&lt;=10,1,H823&lt;=15,2,H823&gt;=16,3),"Null"),"-")</f>
        <v>2</v>
      </c>
      <c r="K823" s="61"/>
      <c r="L823" s="1">
        <v>2114211100</v>
      </c>
    </row>
    <row r="824" spans="1:12" ht="18" customHeight="1" x14ac:dyDescent="0.45">
      <c r="A824" s="8">
        <v>818</v>
      </c>
      <c r="B824" s="35" t="str">
        <f t="shared" si="339"/>
        <v>埼玉千葉本部</v>
      </c>
      <c r="C824" s="35" t="str">
        <f t="shared" si="339"/>
        <v>ラヴィーレ草加</v>
      </c>
      <c r="D824" s="9" t="s">
        <v>5</v>
      </c>
      <c r="E824" s="10">
        <v>4</v>
      </c>
      <c r="F824" s="12">
        <v>9</v>
      </c>
      <c r="G824" s="12">
        <v>2.2999999999999998</v>
      </c>
      <c r="H824" s="10">
        <f t="shared" si="319"/>
        <v>9</v>
      </c>
      <c r="I824" s="38"/>
      <c r="J824" s="19" cm="1">
        <f t="array" ref="J824">IFERROR(IF(_xlfn.XLOOKUP(L824,NC導入施設!B:B,NC導入施設!E:E)=0,_xlfn.IFS(H824&lt;=5,0,H824&lt;=10,1,H824&lt;=15,2,H824&gt;=16,3),"Null"),"-")</f>
        <v>1</v>
      </c>
      <c r="K824" s="61"/>
      <c r="L824" s="1">
        <v>2114211100</v>
      </c>
    </row>
    <row r="825" spans="1:12" ht="18" customHeight="1" x14ac:dyDescent="0.45">
      <c r="A825" s="8">
        <v>819</v>
      </c>
      <c r="B825" s="35" t="str">
        <f t="shared" si="339"/>
        <v>埼玉千葉本部</v>
      </c>
      <c r="C825" s="35" t="str">
        <f t="shared" si="339"/>
        <v>ラヴィーレ草加</v>
      </c>
      <c r="D825" s="9" t="s">
        <v>6</v>
      </c>
      <c r="E825" s="10">
        <v>5</v>
      </c>
      <c r="F825" s="12">
        <v>0</v>
      </c>
      <c r="G825" s="12">
        <v>0</v>
      </c>
      <c r="H825" s="10">
        <f t="shared" si="319"/>
        <v>0</v>
      </c>
      <c r="I825" s="38"/>
      <c r="J825" s="19" cm="1">
        <f t="array" ref="J825">IFERROR(IF(_xlfn.XLOOKUP(L825,NC導入施設!B:B,NC導入施設!E:E)=0,_xlfn.IFS(H825&lt;=5,0,H825&lt;=10,1,H825&lt;=15,2,H825&gt;=16,3),"Null"),"-")</f>
        <v>0</v>
      </c>
      <c r="K825" s="61"/>
      <c r="L825" s="1">
        <v>2114211100</v>
      </c>
    </row>
    <row r="826" spans="1:12" ht="18" customHeight="1" x14ac:dyDescent="0.45">
      <c r="A826" s="8">
        <v>820</v>
      </c>
      <c r="B826" s="36" t="str">
        <f t="shared" si="339"/>
        <v>埼玉千葉本部</v>
      </c>
      <c r="C826" s="36" t="str">
        <f t="shared" si="339"/>
        <v>ラヴィーレ草加</v>
      </c>
      <c r="D826" s="9" t="s">
        <v>2</v>
      </c>
      <c r="E826" s="10">
        <v>4</v>
      </c>
      <c r="F826" s="12">
        <v>4</v>
      </c>
      <c r="G826" s="12">
        <v>1</v>
      </c>
      <c r="H826" s="10">
        <f t="shared" si="319"/>
        <v>4</v>
      </c>
      <c r="I826" s="39"/>
      <c r="J826" s="19" cm="1">
        <f t="array" ref="J826">IFERROR(IF(_xlfn.XLOOKUP(L826,NC導入施設!B:B,NC導入施設!E:E)=0,_xlfn.IFS(H826&lt;=5,0,H826&lt;=10,1,H826&lt;=15,2,H826&gt;=16,3),"Null"),"-")</f>
        <v>0</v>
      </c>
      <c r="K826" s="62"/>
      <c r="L826" s="1">
        <v>2114211100</v>
      </c>
    </row>
    <row r="827" spans="1:12" ht="18" customHeight="1" x14ac:dyDescent="0.45">
      <c r="A827" s="13">
        <v>821</v>
      </c>
      <c r="B827" s="40" t="s">
        <v>71</v>
      </c>
      <c r="C827" s="40" t="s">
        <v>283</v>
      </c>
      <c r="D827" s="14" t="s">
        <v>3</v>
      </c>
      <c r="E827" s="15">
        <v>1</v>
      </c>
      <c r="F827" s="17">
        <v>19</v>
      </c>
      <c r="G827" s="17">
        <v>19</v>
      </c>
      <c r="H827" s="15">
        <f t="shared" si="319"/>
        <v>19</v>
      </c>
      <c r="I827" s="43" cm="1">
        <f t="array" ref="I827">IF(J827="-","-",_xlfn.IFS(K827&lt;=5,0,K827&lt;=10,1,K827&lt;=15,2,K827&gt;=16,3))</f>
        <v>3</v>
      </c>
      <c r="J827" s="19" cm="1">
        <f t="array" ref="J827">IFERROR(IF(_xlfn.XLOOKUP(L827,NC導入施設!B:B,NC導入施設!E:E)=0,_xlfn.IFS(H827&lt;=5,0,H827&lt;=10,1,H827&lt;=15,2,H827&gt;=16,3),"Null"),"-")</f>
        <v>3</v>
      </c>
      <c r="K827" s="60">
        <f t="shared" ref="K827" si="340">IFERROR(SUM(H827:H831),"-")</f>
        <v>49</v>
      </c>
      <c r="L827" s="1">
        <v>2114221100</v>
      </c>
    </row>
    <row r="828" spans="1:12" ht="18" customHeight="1" x14ac:dyDescent="0.45">
      <c r="A828" s="13">
        <v>822</v>
      </c>
      <c r="B828" s="41" t="str">
        <f t="shared" ref="B828:C831" si="341">B827</f>
        <v>埼玉千葉本部</v>
      </c>
      <c r="C828" s="41" t="str">
        <f t="shared" si="341"/>
        <v>ラヴィーレ八潮</v>
      </c>
      <c r="D828" s="14" t="s">
        <v>4</v>
      </c>
      <c r="E828" s="15">
        <v>1</v>
      </c>
      <c r="F828" s="17">
        <v>9</v>
      </c>
      <c r="G828" s="17">
        <v>9</v>
      </c>
      <c r="H828" s="15">
        <f t="shared" si="319"/>
        <v>9</v>
      </c>
      <c r="I828" s="44"/>
      <c r="J828" s="19" cm="1">
        <f t="array" ref="J828">IFERROR(IF(_xlfn.XLOOKUP(L828,NC導入施設!B:B,NC導入施設!E:E)=0,_xlfn.IFS(H828&lt;=5,0,H828&lt;=10,1,H828&lt;=15,2,H828&gt;=16,3),"Null"),"-")</f>
        <v>1</v>
      </c>
      <c r="K828" s="61"/>
      <c r="L828" s="1">
        <v>2114221100</v>
      </c>
    </row>
    <row r="829" spans="1:12" ht="18" customHeight="1" x14ac:dyDescent="0.45">
      <c r="A829" s="13">
        <v>823</v>
      </c>
      <c r="B829" s="41" t="str">
        <f t="shared" si="341"/>
        <v>埼玉千葉本部</v>
      </c>
      <c r="C829" s="41" t="str">
        <f t="shared" si="341"/>
        <v>ラヴィーレ八潮</v>
      </c>
      <c r="D829" s="14" t="s">
        <v>5</v>
      </c>
      <c r="E829" s="15">
        <v>2</v>
      </c>
      <c r="F829" s="17">
        <v>21</v>
      </c>
      <c r="G829" s="17">
        <v>10.5</v>
      </c>
      <c r="H829" s="15">
        <f t="shared" si="319"/>
        <v>21</v>
      </c>
      <c r="I829" s="44"/>
      <c r="J829" s="19" cm="1">
        <f t="array" ref="J829">IFERROR(IF(_xlfn.XLOOKUP(L829,NC導入施設!B:B,NC導入施設!E:E)=0,_xlfn.IFS(H829&lt;=5,0,H829&lt;=10,1,H829&lt;=15,2,H829&gt;=16,3),"Null"),"-")</f>
        <v>3</v>
      </c>
      <c r="K829" s="61"/>
      <c r="L829" s="1">
        <v>2114221100</v>
      </c>
    </row>
    <row r="830" spans="1:12" ht="18" customHeight="1" x14ac:dyDescent="0.45">
      <c r="A830" s="13">
        <v>824</v>
      </c>
      <c r="B830" s="41" t="str">
        <f t="shared" si="341"/>
        <v>埼玉千葉本部</v>
      </c>
      <c r="C830" s="41" t="str">
        <f t="shared" si="341"/>
        <v>ラヴィーレ八潮</v>
      </c>
      <c r="D830" s="14" t="s">
        <v>6</v>
      </c>
      <c r="E830" s="15">
        <v>3</v>
      </c>
      <c r="F830" s="17">
        <v>0</v>
      </c>
      <c r="G830" s="17">
        <v>0</v>
      </c>
      <c r="H830" s="15">
        <f t="shared" si="319"/>
        <v>0</v>
      </c>
      <c r="I830" s="44"/>
      <c r="J830" s="19" cm="1">
        <f t="array" ref="J830">IFERROR(IF(_xlfn.XLOOKUP(L830,NC導入施設!B:B,NC導入施設!E:E)=0,_xlfn.IFS(H830&lt;=5,0,H830&lt;=10,1,H830&lt;=15,2,H830&gt;=16,3),"Null"),"-")</f>
        <v>0</v>
      </c>
      <c r="K830" s="61"/>
      <c r="L830" s="1">
        <v>2114221100</v>
      </c>
    </row>
    <row r="831" spans="1:12" ht="18" customHeight="1" x14ac:dyDescent="0.45">
      <c r="A831" s="13">
        <v>825</v>
      </c>
      <c r="B831" s="42" t="str">
        <f t="shared" si="341"/>
        <v>埼玉千葉本部</v>
      </c>
      <c r="C831" s="42" t="str">
        <f t="shared" si="341"/>
        <v>ラヴィーレ八潮</v>
      </c>
      <c r="D831" s="14" t="s">
        <v>2</v>
      </c>
      <c r="E831" s="15">
        <v>2</v>
      </c>
      <c r="F831" s="17">
        <v>0</v>
      </c>
      <c r="G831" s="17">
        <v>0</v>
      </c>
      <c r="H831" s="15">
        <f t="shared" si="319"/>
        <v>0</v>
      </c>
      <c r="I831" s="45"/>
      <c r="J831" s="19" cm="1">
        <f t="array" ref="J831">IFERROR(IF(_xlfn.XLOOKUP(L831,NC導入施設!B:B,NC導入施設!E:E)=0,_xlfn.IFS(H831&lt;=5,0,H831&lt;=10,1,H831&lt;=15,2,H831&gt;=16,3),"Null"),"-")</f>
        <v>0</v>
      </c>
      <c r="K831" s="62"/>
      <c r="L831" s="1">
        <v>2114221100</v>
      </c>
    </row>
    <row r="832" spans="1:12" ht="18" customHeight="1" x14ac:dyDescent="0.45">
      <c r="A832" s="8">
        <v>826</v>
      </c>
      <c r="B832" s="34" t="s">
        <v>71</v>
      </c>
      <c r="C832" s="34" t="s">
        <v>284</v>
      </c>
      <c r="D832" s="9" t="s">
        <v>3</v>
      </c>
      <c r="E832" s="10">
        <v>1</v>
      </c>
      <c r="F832" s="12">
        <v>0</v>
      </c>
      <c r="G832" s="12">
        <v>0</v>
      </c>
      <c r="H832" s="10">
        <f t="shared" si="319"/>
        <v>0</v>
      </c>
      <c r="I832" s="37" t="str" cm="1">
        <f t="array" ref="I832">IF(J832="-","-",_xlfn.IFS(K832&lt;=5,0,K832&lt;=10,1,K832&lt;=15,2,K832&gt;=16,3))</f>
        <v>-</v>
      </c>
      <c r="J832" s="19" t="str" cm="1">
        <f t="array" ref="J832">IFERROR(IF(_xlfn.XLOOKUP(L832,NC導入施設!B:B,NC導入施設!E:E)=0,_xlfn.IFS(H832&lt;=5,0,H832&lt;=10,1,H832&lt;=15,2,H832&gt;=16,3),"Null"),"-")</f>
        <v>-</v>
      </c>
      <c r="K832" s="60">
        <f t="shared" ref="K832" si="342">IFERROR(SUM(H832:H836),"-")</f>
        <v>0</v>
      </c>
      <c r="L832" s="1">
        <v>2114251100</v>
      </c>
    </row>
    <row r="833" spans="1:12" ht="18" customHeight="1" x14ac:dyDescent="0.45">
      <c r="A833" s="8">
        <v>827</v>
      </c>
      <c r="B833" s="35" t="str">
        <f t="shared" ref="B833:C836" si="343">B832</f>
        <v>埼玉千葉本部</v>
      </c>
      <c r="C833" s="35" t="str">
        <f t="shared" si="343"/>
        <v>ラヴィーレ戸田</v>
      </c>
      <c r="D833" s="9" t="s">
        <v>4</v>
      </c>
      <c r="E833" s="10">
        <v>1</v>
      </c>
      <c r="F833" s="12">
        <v>0</v>
      </c>
      <c r="G833" s="12">
        <v>0</v>
      </c>
      <c r="H833" s="10">
        <f t="shared" si="319"/>
        <v>0</v>
      </c>
      <c r="I833" s="38"/>
      <c r="J833" s="19" t="str" cm="1">
        <f t="array" ref="J833">IFERROR(IF(_xlfn.XLOOKUP(L833,NC導入施設!B:B,NC導入施設!E:E)=0,_xlfn.IFS(H833&lt;=5,0,H833&lt;=10,1,H833&lt;=15,2,H833&gt;=16,3),"Null"),"-")</f>
        <v>-</v>
      </c>
      <c r="K833" s="61"/>
      <c r="L833" s="1">
        <v>2114251100</v>
      </c>
    </row>
    <row r="834" spans="1:12" ht="18" customHeight="1" x14ac:dyDescent="0.45">
      <c r="A834" s="8">
        <v>828</v>
      </c>
      <c r="B834" s="35" t="str">
        <f t="shared" si="343"/>
        <v>埼玉千葉本部</v>
      </c>
      <c r="C834" s="35" t="str">
        <f t="shared" si="343"/>
        <v>ラヴィーレ戸田</v>
      </c>
      <c r="D834" s="9" t="s">
        <v>5</v>
      </c>
      <c r="E834" s="10">
        <v>2</v>
      </c>
      <c r="F834" s="12">
        <v>0</v>
      </c>
      <c r="G834" s="12">
        <v>0</v>
      </c>
      <c r="H834" s="10">
        <f t="shared" si="319"/>
        <v>0</v>
      </c>
      <c r="I834" s="38"/>
      <c r="J834" s="19" t="str" cm="1">
        <f t="array" ref="J834">IFERROR(IF(_xlfn.XLOOKUP(L834,NC導入施設!B:B,NC導入施設!E:E)=0,_xlfn.IFS(H834&lt;=5,0,H834&lt;=10,1,H834&lt;=15,2,H834&gt;=16,3),"Null"),"-")</f>
        <v>-</v>
      </c>
      <c r="K834" s="61"/>
      <c r="L834" s="1">
        <v>2114251100</v>
      </c>
    </row>
    <row r="835" spans="1:12" ht="18" customHeight="1" x14ac:dyDescent="0.45">
      <c r="A835" s="8">
        <v>829</v>
      </c>
      <c r="B835" s="35" t="str">
        <f t="shared" si="343"/>
        <v>埼玉千葉本部</v>
      </c>
      <c r="C835" s="35" t="str">
        <f t="shared" si="343"/>
        <v>ラヴィーレ戸田</v>
      </c>
      <c r="D835" s="9" t="s">
        <v>6</v>
      </c>
      <c r="E835" s="10">
        <v>4</v>
      </c>
      <c r="F835" s="12">
        <v>0</v>
      </c>
      <c r="G835" s="12">
        <v>0</v>
      </c>
      <c r="H835" s="10">
        <f t="shared" si="319"/>
        <v>0</v>
      </c>
      <c r="I835" s="38"/>
      <c r="J835" s="19" t="str" cm="1">
        <f t="array" ref="J835">IFERROR(IF(_xlfn.XLOOKUP(L835,NC導入施設!B:B,NC導入施設!E:E)=0,_xlfn.IFS(H835&lt;=5,0,H835&lt;=10,1,H835&lt;=15,2,H835&gt;=16,3),"Null"),"-")</f>
        <v>-</v>
      </c>
      <c r="K835" s="61"/>
      <c r="L835" s="1">
        <v>2114251100</v>
      </c>
    </row>
    <row r="836" spans="1:12" ht="18" customHeight="1" x14ac:dyDescent="0.45">
      <c r="A836" s="8">
        <v>830</v>
      </c>
      <c r="B836" s="36" t="str">
        <f t="shared" si="343"/>
        <v>埼玉千葉本部</v>
      </c>
      <c r="C836" s="36" t="str">
        <f t="shared" si="343"/>
        <v>ラヴィーレ戸田</v>
      </c>
      <c r="D836" s="9" t="s">
        <v>2</v>
      </c>
      <c r="E836" s="10">
        <v>2</v>
      </c>
      <c r="F836" s="12">
        <v>0</v>
      </c>
      <c r="G836" s="12">
        <v>0</v>
      </c>
      <c r="H836" s="10">
        <f t="shared" si="319"/>
        <v>0</v>
      </c>
      <c r="I836" s="39"/>
      <c r="J836" s="19" t="str" cm="1">
        <f t="array" ref="J836">IFERROR(IF(_xlfn.XLOOKUP(L836,NC導入施設!B:B,NC導入施設!E:E)=0,_xlfn.IFS(H836&lt;=5,0,H836&lt;=10,1,H836&lt;=15,2,H836&gt;=16,3),"Null"),"-")</f>
        <v>-</v>
      </c>
      <c r="K836" s="62"/>
      <c r="L836" s="1">
        <v>2114251100</v>
      </c>
    </row>
    <row r="837" spans="1:12" ht="18" customHeight="1" x14ac:dyDescent="0.45">
      <c r="A837" s="13">
        <v>831</v>
      </c>
      <c r="B837" s="40" t="s">
        <v>71</v>
      </c>
      <c r="C837" s="40" t="s">
        <v>76</v>
      </c>
      <c r="D837" s="14" t="s">
        <v>3</v>
      </c>
      <c r="E837" s="15">
        <v>1</v>
      </c>
      <c r="F837" s="17">
        <v>21</v>
      </c>
      <c r="G837" s="17">
        <v>21</v>
      </c>
      <c r="H837" s="15">
        <f t="shared" si="319"/>
        <v>21</v>
      </c>
      <c r="I837" s="43" cm="1">
        <f t="array" ref="I837">IF(J837="-","-",_xlfn.IFS(K837&lt;=5,0,K837&lt;=10,1,K837&lt;=15,2,K837&gt;=16,3))</f>
        <v>3</v>
      </c>
      <c r="J837" s="19" cm="1">
        <f t="array" ref="J837">IFERROR(IF(_xlfn.XLOOKUP(L837,NC導入施設!B:B,NC導入施設!E:E)=0,_xlfn.IFS(H837&lt;=5,0,H837&lt;=10,1,H837&lt;=15,2,H837&gt;=16,3),"Null"),"-")</f>
        <v>3</v>
      </c>
      <c r="K837" s="60">
        <f t="shared" ref="K837" si="344">IFERROR(SUM(H837:H841),"-")</f>
        <v>31</v>
      </c>
      <c r="L837" s="1">
        <v>2114301200</v>
      </c>
    </row>
    <row r="838" spans="1:12" ht="18" customHeight="1" x14ac:dyDescent="0.45">
      <c r="A838" s="13">
        <v>832</v>
      </c>
      <c r="B838" s="41" t="str">
        <f t="shared" ref="B838:C841" si="345">B837</f>
        <v>埼玉千葉本部</v>
      </c>
      <c r="C838" s="41" t="str">
        <f t="shared" si="345"/>
        <v>そんぽの家　東川口</v>
      </c>
      <c r="D838" s="14" t="s">
        <v>4</v>
      </c>
      <c r="E838" s="15">
        <v>1</v>
      </c>
      <c r="F838" s="17">
        <v>1</v>
      </c>
      <c r="G838" s="17">
        <v>1</v>
      </c>
      <c r="H838" s="15">
        <f t="shared" si="319"/>
        <v>1</v>
      </c>
      <c r="I838" s="44"/>
      <c r="J838" s="19" cm="1">
        <f t="array" ref="J838">IFERROR(IF(_xlfn.XLOOKUP(L838,NC導入施設!B:B,NC導入施設!E:E)=0,_xlfn.IFS(H838&lt;=5,0,H838&lt;=10,1,H838&lt;=15,2,H838&gt;=16,3),"Null"),"-")</f>
        <v>0</v>
      </c>
      <c r="K838" s="61"/>
      <c r="L838" s="1">
        <v>2114301200</v>
      </c>
    </row>
    <row r="839" spans="1:12" ht="18" customHeight="1" x14ac:dyDescent="0.45">
      <c r="A839" s="13">
        <v>833</v>
      </c>
      <c r="B839" s="41" t="str">
        <f t="shared" si="345"/>
        <v>埼玉千葉本部</v>
      </c>
      <c r="C839" s="41" t="str">
        <f t="shared" si="345"/>
        <v>そんぽの家　東川口</v>
      </c>
      <c r="D839" s="14" t="s">
        <v>5</v>
      </c>
      <c r="E839" s="15">
        <v>1</v>
      </c>
      <c r="F839" s="17">
        <v>0</v>
      </c>
      <c r="G839" s="17">
        <v>0</v>
      </c>
      <c r="H839" s="15">
        <f t="shared" si="319"/>
        <v>0</v>
      </c>
      <c r="I839" s="44"/>
      <c r="J839" s="19" cm="1">
        <f t="array" ref="J839">IFERROR(IF(_xlfn.XLOOKUP(L839,NC導入施設!B:B,NC導入施設!E:E)=0,_xlfn.IFS(H839&lt;=5,0,H839&lt;=10,1,H839&lt;=15,2,H839&gt;=16,3),"Null"),"-")</f>
        <v>0</v>
      </c>
      <c r="K839" s="61"/>
      <c r="L839" s="1">
        <v>2114301200</v>
      </c>
    </row>
    <row r="840" spans="1:12" ht="18" customHeight="1" x14ac:dyDescent="0.45">
      <c r="A840" s="13">
        <v>834</v>
      </c>
      <c r="B840" s="41" t="str">
        <f t="shared" si="345"/>
        <v>埼玉千葉本部</v>
      </c>
      <c r="C840" s="41" t="str">
        <f t="shared" si="345"/>
        <v>そんぽの家　東川口</v>
      </c>
      <c r="D840" s="14" t="s">
        <v>6</v>
      </c>
      <c r="E840" s="15">
        <v>4</v>
      </c>
      <c r="F840" s="17">
        <v>0</v>
      </c>
      <c r="G840" s="17">
        <v>0</v>
      </c>
      <c r="H840" s="15">
        <f t="shared" ref="H840:H903" si="346">F840</f>
        <v>0</v>
      </c>
      <c r="I840" s="44"/>
      <c r="J840" s="19" cm="1">
        <f t="array" ref="J840">IFERROR(IF(_xlfn.XLOOKUP(L840,NC導入施設!B:B,NC導入施設!E:E)=0,_xlfn.IFS(H840&lt;=5,0,H840&lt;=10,1,H840&lt;=15,2,H840&gt;=16,3),"Null"),"-")</f>
        <v>0</v>
      </c>
      <c r="K840" s="61"/>
      <c r="L840" s="1">
        <v>2114301200</v>
      </c>
    </row>
    <row r="841" spans="1:12" ht="18" customHeight="1" x14ac:dyDescent="0.45">
      <c r="A841" s="13">
        <v>835</v>
      </c>
      <c r="B841" s="42" t="str">
        <f t="shared" si="345"/>
        <v>埼玉千葉本部</v>
      </c>
      <c r="C841" s="42" t="str">
        <f t="shared" si="345"/>
        <v>そんぽの家　東川口</v>
      </c>
      <c r="D841" s="14" t="s">
        <v>2</v>
      </c>
      <c r="E841" s="15">
        <v>1</v>
      </c>
      <c r="F841" s="17">
        <v>9</v>
      </c>
      <c r="G841" s="17">
        <v>9</v>
      </c>
      <c r="H841" s="15">
        <f t="shared" si="346"/>
        <v>9</v>
      </c>
      <c r="I841" s="45"/>
      <c r="J841" s="19" cm="1">
        <f t="array" ref="J841">IFERROR(IF(_xlfn.XLOOKUP(L841,NC導入施設!B:B,NC導入施設!E:E)=0,_xlfn.IFS(H841&lt;=5,0,H841&lt;=10,1,H841&lt;=15,2,H841&gt;=16,3),"Null"),"-")</f>
        <v>1</v>
      </c>
      <c r="K841" s="62"/>
      <c r="L841" s="1">
        <v>2114301200</v>
      </c>
    </row>
    <row r="842" spans="1:12" ht="18" customHeight="1" x14ac:dyDescent="0.45">
      <c r="A842" s="8">
        <v>836</v>
      </c>
      <c r="B842" s="34" t="s">
        <v>71</v>
      </c>
      <c r="C842" s="34" t="s">
        <v>285</v>
      </c>
      <c r="D842" s="9" t="s">
        <v>3</v>
      </c>
      <c r="E842" s="10">
        <v>1</v>
      </c>
      <c r="F842" s="12">
        <v>5</v>
      </c>
      <c r="G842" s="12">
        <v>5</v>
      </c>
      <c r="H842" s="10">
        <f t="shared" si="346"/>
        <v>5</v>
      </c>
      <c r="I842" s="37" cm="1">
        <f t="array" ref="I842">IF(J842="-","-",_xlfn.IFS(K842&lt;=5,0,K842&lt;=10,1,K842&lt;=15,2,K842&gt;=16,3))</f>
        <v>3</v>
      </c>
      <c r="J842" s="19" cm="1">
        <f t="array" ref="J842">IFERROR(IF(_xlfn.XLOOKUP(L842,NC導入施設!B:B,NC導入施設!E:E)=0,_xlfn.IFS(H842&lt;=5,0,H842&lt;=10,1,H842&lt;=15,2,H842&gt;=16,3),"Null"),"-")</f>
        <v>0</v>
      </c>
      <c r="K842" s="60">
        <f t="shared" ref="K842" si="347">IFERROR(SUM(H842:H846),"-")</f>
        <v>30</v>
      </c>
      <c r="L842" s="1">
        <v>2114321100</v>
      </c>
    </row>
    <row r="843" spans="1:12" ht="18" customHeight="1" x14ac:dyDescent="0.45">
      <c r="A843" s="8">
        <v>837</v>
      </c>
      <c r="B843" s="35" t="str">
        <f t="shared" ref="B843:C846" si="348">B842</f>
        <v>埼玉千葉本部</v>
      </c>
      <c r="C843" s="35" t="str">
        <f t="shared" si="348"/>
        <v>ラヴィーレ南浦和</v>
      </c>
      <c r="D843" s="9" t="s">
        <v>4</v>
      </c>
      <c r="E843" s="10">
        <v>1</v>
      </c>
      <c r="F843" s="12">
        <v>8</v>
      </c>
      <c r="G843" s="12">
        <v>8</v>
      </c>
      <c r="H843" s="10">
        <f t="shared" si="346"/>
        <v>8</v>
      </c>
      <c r="I843" s="38"/>
      <c r="J843" s="19" cm="1">
        <f t="array" ref="J843">IFERROR(IF(_xlfn.XLOOKUP(L843,NC導入施設!B:B,NC導入施設!E:E)=0,_xlfn.IFS(H843&lt;=5,0,H843&lt;=10,1,H843&lt;=15,2,H843&gt;=16,3),"Null"),"-")</f>
        <v>1</v>
      </c>
      <c r="K843" s="61"/>
      <c r="L843" s="1">
        <v>2114321100</v>
      </c>
    </row>
    <row r="844" spans="1:12" ht="18" customHeight="1" x14ac:dyDescent="0.45">
      <c r="A844" s="8">
        <v>838</v>
      </c>
      <c r="B844" s="35" t="str">
        <f t="shared" si="348"/>
        <v>埼玉千葉本部</v>
      </c>
      <c r="C844" s="35" t="str">
        <f t="shared" si="348"/>
        <v>ラヴィーレ南浦和</v>
      </c>
      <c r="D844" s="9" t="s">
        <v>5</v>
      </c>
      <c r="E844" s="10">
        <v>2</v>
      </c>
      <c r="F844" s="12">
        <v>3</v>
      </c>
      <c r="G844" s="12">
        <v>1.5</v>
      </c>
      <c r="H844" s="10">
        <f t="shared" si="346"/>
        <v>3</v>
      </c>
      <c r="I844" s="38"/>
      <c r="J844" s="19" cm="1">
        <f t="array" ref="J844">IFERROR(IF(_xlfn.XLOOKUP(L844,NC導入施設!B:B,NC導入施設!E:E)=0,_xlfn.IFS(H844&lt;=5,0,H844&lt;=10,1,H844&lt;=15,2,H844&gt;=16,3),"Null"),"-")</f>
        <v>0</v>
      </c>
      <c r="K844" s="61"/>
      <c r="L844" s="1">
        <v>2114321100</v>
      </c>
    </row>
    <row r="845" spans="1:12" ht="18" customHeight="1" x14ac:dyDescent="0.45">
      <c r="A845" s="8">
        <v>839</v>
      </c>
      <c r="B845" s="35" t="str">
        <f t="shared" si="348"/>
        <v>埼玉千葉本部</v>
      </c>
      <c r="C845" s="35" t="str">
        <f t="shared" si="348"/>
        <v>ラヴィーレ南浦和</v>
      </c>
      <c r="D845" s="9" t="s">
        <v>6</v>
      </c>
      <c r="E845" s="10">
        <v>4</v>
      </c>
      <c r="F845" s="12">
        <v>0</v>
      </c>
      <c r="G845" s="12">
        <v>0</v>
      </c>
      <c r="H845" s="10">
        <f t="shared" si="346"/>
        <v>0</v>
      </c>
      <c r="I845" s="38"/>
      <c r="J845" s="19" cm="1">
        <f t="array" ref="J845">IFERROR(IF(_xlfn.XLOOKUP(L845,NC導入施設!B:B,NC導入施設!E:E)=0,_xlfn.IFS(H845&lt;=5,0,H845&lt;=10,1,H845&lt;=15,2,H845&gt;=16,3),"Null"),"-")</f>
        <v>0</v>
      </c>
      <c r="K845" s="61"/>
      <c r="L845" s="1">
        <v>2114321100</v>
      </c>
    </row>
    <row r="846" spans="1:12" ht="18" customHeight="1" x14ac:dyDescent="0.45">
      <c r="A846" s="8">
        <v>840</v>
      </c>
      <c r="B846" s="36" t="str">
        <f t="shared" si="348"/>
        <v>埼玉千葉本部</v>
      </c>
      <c r="C846" s="36" t="str">
        <f t="shared" si="348"/>
        <v>ラヴィーレ南浦和</v>
      </c>
      <c r="D846" s="9" t="s">
        <v>2</v>
      </c>
      <c r="E846" s="10">
        <v>3</v>
      </c>
      <c r="F846" s="12">
        <v>14</v>
      </c>
      <c r="G846" s="12">
        <v>4.7</v>
      </c>
      <c r="H846" s="10">
        <f t="shared" si="346"/>
        <v>14</v>
      </c>
      <c r="I846" s="39"/>
      <c r="J846" s="19" cm="1">
        <f t="array" ref="J846">IFERROR(IF(_xlfn.XLOOKUP(L846,NC導入施設!B:B,NC導入施設!E:E)=0,_xlfn.IFS(H846&lt;=5,0,H846&lt;=10,1,H846&lt;=15,2,H846&gt;=16,3),"Null"),"-")</f>
        <v>2</v>
      </c>
      <c r="K846" s="62"/>
      <c r="L846" s="1">
        <v>2114321100</v>
      </c>
    </row>
    <row r="847" spans="1:12" ht="18" customHeight="1" x14ac:dyDescent="0.45">
      <c r="A847" s="13">
        <v>841</v>
      </c>
      <c r="B847" s="40" t="s">
        <v>71</v>
      </c>
      <c r="C847" s="40" t="s">
        <v>286</v>
      </c>
      <c r="D847" s="14" t="s">
        <v>3</v>
      </c>
      <c r="E847" s="15">
        <v>1</v>
      </c>
      <c r="F847" s="17">
        <v>1</v>
      </c>
      <c r="G847" s="17">
        <v>1</v>
      </c>
      <c r="H847" s="15">
        <f t="shared" si="346"/>
        <v>1</v>
      </c>
      <c r="I847" s="43" t="str" cm="1">
        <f t="array" ref="I847">IF(J847="-","-",_xlfn.IFS(K847&lt;=5,0,K847&lt;=10,1,K847&lt;=15,2,K847&gt;=16,3))</f>
        <v>-</v>
      </c>
      <c r="J847" s="19" t="str" cm="1">
        <f t="array" ref="J847">IFERROR(IF(_xlfn.XLOOKUP(L847,NC導入施設!B:B,NC導入施設!E:E)=0,_xlfn.IFS(H847&lt;=5,0,H847&lt;=10,1,H847&lt;=15,2,H847&gt;=16,3),"Null"),"-")</f>
        <v>-</v>
      </c>
      <c r="K847" s="60">
        <f t="shared" ref="K847" si="349">IFERROR(SUM(H847:H851),"-")</f>
        <v>3</v>
      </c>
      <c r="L847" s="1">
        <v>2114331100</v>
      </c>
    </row>
    <row r="848" spans="1:12" ht="18" customHeight="1" x14ac:dyDescent="0.45">
      <c r="A848" s="13">
        <v>842</v>
      </c>
      <c r="B848" s="41" t="str">
        <f t="shared" ref="B848:C851" si="350">B847</f>
        <v>埼玉千葉本部</v>
      </c>
      <c r="C848" s="41" t="str">
        <f t="shared" si="350"/>
        <v>ラヴィーレ川口安行</v>
      </c>
      <c r="D848" s="14" t="s">
        <v>4</v>
      </c>
      <c r="E848" s="15">
        <v>2</v>
      </c>
      <c r="F848" s="17">
        <v>1</v>
      </c>
      <c r="G848" s="17">
        <v>0.5</v>
      </c>
      <c r="H848" s="15">
        <f t="shared" si="346"/>
        <v>1</v>
      </c>
      <c r="I848" s="44"/>
      <c r="J848" s="19" t="str" cm="1">
        <f t="array" ref="J848">IFERROR(IF(_xlfn.XLOOKUP(L848,NC導入施設!B:B,NC導入施設!E:E)=0,_xlfn.IFS(H848&lt;=5,0,H848&lt;=10,1,H848&lt;=15,2,H848&gt;=16,3),"Null"),"-")</f>
        <v>-</v>
      </c>
      <c r="K848" s="61"/>
      <c r="L848" s="1">
        <v>2114331100</v>
      </c>
    </row>
    <row r="849" spans="1:12" ht="18" customHeight="1" x14ac:dyDescent="0.45">
      <c r="A849" s="13">
        <v>843</v>
      </c>
      <c r="B849" s="41" t="str">
        <f t="shared" si="350"/>
        <v>埼玉千葉本部</v>
      </c>
      <c r="C849" s="41" t="str">
        <f t="shared" si="350"/>
        <v>ラヴィーレ川口安行</v>
      </c>
      <c r="D849" s="14" t="s">
        <v>5</v>
      </c>
      <c r="E849" s="15">
        <v>3</v>
      </c>
      <c r="F849" s="17">
        <v>0</v>
      </c>
      <c r="G849" s="17">
        <v>0</v>
      </c>
      <c r="H849" s="15">
        <f t="shared" si="346"/>
        <v>0</v>
      </c>
      <c r="I849" s="44"/>
      <c r="J849" s="19" t="str" cm="1">
        <f t="array" ref="J849">IFERROR(IF(_xlfn.XLOOKUP(L849,NC導入施設!B:B,NC導入施設!E:E)=0,_xlfn.IFS(H849&lt;=5,0,H849&lt;=10,1,H849&lt;=15,2,H849&gt;=16,3),"Null"),"-")</f>
        <v>-</v>
      </c>
      <c r="K849" s="61"/>
      <c r="L849" s="1">
        <v>2114331100</v>
      </c>
    </row>
    <row r="850" spans="1:12" ht="18" customHeight="1" x14ac:dyDescent="0.45">
      <c r="A850" s="13">
        <v>844</v>
      </c>
      <c r="B850" s="41" t="str">
        <f t="shared" si="350"/>
        <v>埼玉千葉本部</v>
      </c>
      <c r="C850" s="41" t="str">
        <f t="shared" si="350"/>
        <v>ラヴィーレ川口安行</v>
      </c>
      <c r="D850" s="14" t="s">
        <v>6</v>
      </c>
      <c r="E850" s="15">
        <v>6</v>
      </c>
      <c r="F850" s="17">
        <v>1</v>
      </c>
      <c r="G850" s="17">
        <v>0.2</v>
      </c>
      <c r="H850" s="15">
        <f t="shared" si="346"/>
        <v>1</v>
      </c>
      <c r="I850" s="44"/>
      <c r="J850" s="19" t="str" cm="1">
        <f t="array" ref="J850">IFERROR(IF(_xlfn.XLOOKUP(L850,NC導入施設!B:B,NC導入施設!E:E)=0,_xlfn.IFS(H850&lt;=5,0,H850&lt;=10,1,H850&lt;=15,2,H850&gt;=16,3),"Null"),"-")</f>
        <v>-</v>
      </c>
      <c r="K850" s="61"/>
      <c r="L850" s="1">
        <v>2114331100</v>
      </c>
    </row>
    <row r="851" spans="1:12" ht="18" customHeight="1" x14ac:dyDescent="0.45">
      <c r="A851" s="13">
        <v>845</v>
      </c>
      <c r="B851" s="42" t="str">
        <f t="shared" si="350"/>
        <v>埼玉千葉本部</v>
      </c>
      <c r="C851" s="42" t="str">
        <f t="shared" si="350"/>
        <v>ラヴィーレ川口安行</v>
      </c>
      <c r="D851" s="14" t="s">
        <v>2</v>
      </c>
      <c r="E851" s="15">
        <v>4</v>
      </c>
      <c r="F851" s="17">
        <v>0</v>
      </c>
      <c r="G851" s="17">
        <v>0</v>
      </c>
      <c r="H851" s="15">
        <f t="shared" si="346"/>
        <v>0</v>
      </c>
      <c r="I851" s="45"/>
      <c r="J851" s="19" t="str" cm="1">
        <f t="array" ref="J851">IFERROR(IF(_xlfn.XLOOKUP(L851,NC導入施設!B:B,NC導入施設!E:E)=0,_xlfn.IFS(H851&lt;=5,0,H851&lt;=10,1,H851&lt;=15,2,H851&gt;=16,3),"Null"),"-")</f>
        <v>-</v>
      </c>
      <c r="K851" s="62"/>
      <c r="L851" s="1">
        <v>2114331100</v>
      </c>
    </row>
    <row r="852" spans="1:12" ht="18" customHeight="1" x14ac:dyDescent="0.45">
      <c r="A852" s="8">
        <v>846</v>
      </c>
      <c r="B852" s="34" t="s">
        <v>71</v>
      </c>
      <c r="C852" s="34" t="s">
        <v>287</v>
      </c>
      <c r="D852" s="9" t="s">
        <v>3</v>
      </c>
      <c r="E852" s="10">
        <v>1</v>
      </c>
      <c r="F852" s="12">
        <v>5</v>
      </c>
      <c r="G852" s="12">
        <v>5</v>
      </c>
      <c r="H852" s="10">
        <f t="shared" si="346"/>
        <v>5</v>
      </c>
      <c r="I852" s="37" cm="1">
        <f t="array" ref="I852">IF(J852="-","-",_xlfn.IFS(K852&lt;=5,0,K852&lt;=10,1,K852&lt;=15,2,K852&gt;=16,3))</f>
        <v>3</v>
      </c>
      <c r="J852" s="19" cm="1">
        <f t="array" ref="J852">IFERROR(IF(_xlfn.XLOOKUP(L852,NC導入施設!B:B,NC導入施設!E:E)=0,_xlfn.IFS(H852&lt;=5,0,H852&lt;=10,1,H852&lt;=15,2,H852&gt;=16,3),"Null"),"-")</f>
        <v>0</v>
      </c>
      <c r="K852" s="60">
        <f t="shared" ref="K852" si="351">IFERROR(SUM(H852:H856),"-")</f>
        <v>24</v>
      </c>
      <c r="L852" s="1">
        <v>2114341100</v>
      </c>
    </row>
    <row r="853" spans="1:12" ht="18" customHeight="1" x14ac:dyDescent="0.45">
      <c r="A853" s="8">
        <v>847</v>
      </c>
      <c r="B853" s="35" t="str">
        <f t="shared" ref="B853:C856" si="352">B852</f>
        <v>埼玉千葉本部</v>
      </c>
      <c r="C853" s="35" t="str">
        <f t="shared" si="352"/>
        <v>ラヴィーレ坂戸</v>
      </c>
      <c r="D853" s="9" t="s">
        <v>4</v>
      </c>
      <c r="E853" s="10">
        <v>1</v>
      </c>
      <c r="F853" s="12">
        <v>12</v>
      </c>
      <c r="G853" s="12">
        <v>12</v>
      </c>
      <c r="H853" s="10">
        <f t="shared" si="346"/>
        <v>12</v>
      </c>
      <c r="I853" s="38"/>
      <c r="J853" s="19" cm="1">
        <f t="array" ref="J853">IFERROR(IF(_xlfn.XLOOKUP(L853,NC導入施設!B:B,NC導入施設!E:E)=0,_xlfn.IFS(H853&lt;=5,0,H853&lt;=10,1,H853&lt;=15,2,H853&gt;=16,3),"Null"),"-")</f>
        <v>2</v>
      </c>
      <c r="K853" s="61"/>
      <c r="L853" s="1">
        <v>2114341100</v>
      </c>
    </row>
    <row r="854" spans="1:12" ht="18" customHeight="1" x14ac:dyDescent="0.45">
      <c r="A854" s="8">
        <v>848</v>
      </c>
      <c r="B854" s="35" t="str">
        <f t="shared" si="352"/>
        <v>埼玉千葉本部</v>
      </c>
      <c r="C854" s="35" t="str">
        <f t="shared" si="352"/>
        <v>ラヴィーレ坂戸</v>
      </c>
      <c r="D854" s="9" t="s">
        <v>5</v>
      </c>
      <c r="E854" s="10">
        <v>2</v>
      </c>
      <c r="F854" s="12">
        <v>7</v>
      </c>
      <c r="G854" s="12">
        <v>3.5</v>
      </c>
      <c r="H854" s="10">
        <f t="shared" si="346"/>
        <v>7</v>
      </c>
      <c r="I854" s="38"/>
      <c r="J854" s="19" cm="1">
        <f t="array" ref="J854">IFERROR(IF(_xlfn.XLOOKUP(L854,NC導入施設!B:B,NC導入施設!E:E)=0,_xlfn.IFS(H854&lt;=5,0,H854&lt;=10,1,H854&lt;=15,2,H854&gt;=16,3),"Null"),"-")</f>
        <v>1</v>
      </c>
      <c r="K854" s="61"/>
      <c r="L854" s="1">
        <v>2114341100</v>
      </c>
    </row>
    <row r="855" spans="1:12" ht="18" customHeight="1" x14ac:dyDescent="0.45">
      <c r="A855" s="8">
        <v>849</v>
      </c>
      <c r="B855" s="35" t="str">
        <f t="shared" si="352"/>
        <v>埼玉千葉本部</v>
      </c>
      <c r="C855" s="35" t="str">
        <f t="shared" si="352"/>
        <v>ラヴィーレ坂戸</v>
      </c>
      <c r="D855" s="9" t="s">
        <v>6</v>
      </c>
      <c r="E855" s="10">
        <v>3</v>
      </c>
      <c r="F855" s="12">
        <v>0</v>
      </c>
      <c r="G855" s="12">
        <v>0</v>
      </c>
      <c r="H855" s="10">
        <f t="shared" si="346"/>
        <v>0</v>
      </c>
      <c r="I855" s="38"/>
      <c r="J855" s="19" cm="1">
        <f t="array" ref="J855">IFERROR(IF(_xlfn.XLOOKUP(L855,NC導入施設!B:B,NC導入施設!E:E)=0,_xlfn.IFS(H855&lt;=5,0,H855&lt;=10,1,H855&lt;=15,2,H855&gt;=16,3),"Null"),"-")</f>
        <v>0</v>
      </c>
      <c r="K855" s="61"/>
      <c r="L855" s="1">
        <v>2114341100</v>
      </c>
    </row>
    <row r="856" spans="1:12" ht="18" customHeight="1" x14ac:dyDescent="0.45">
      <c r="A856" s="8">
        <v>850</v>
      </c>
      <c r="B856" s="36" t="str">
        <f t="shared" si="352"/>
        <v>埼玉千葉本部</v>
      </c>
      <c r="C856" s="36" t="str">
        <f t="shared" si="352"/>
        <v>ラヴィーレ坂戸</v>
      </c>
      <c r="D856" s="9" t="s">
        <v>2</v>
      </c>
      <c r="E856" s="10">
        <v>1</v>
      </c>
      <c r="F856" s="12">
        <v>0</v>
      </c>
      <c r="G856" s="12">
        <v>0</v>
      </c>
      <c r="H856" s="10">
        <f t="shared" si="346"/>
        <v>0</v>
      </c>
      <c r="I856" s="39"/>
      <c r="J856" s="19" cm="1">
        <f t="array" ref="J856">IFERROR(IF(_xlfn.XLOOKUP(L856,NC導入施設!B:B,NC導入施設!E:E)=0,_xlfn.IFS(H856&lt;=5,0,H856&lt;=10,1,H856&lt;=15,2,H856&gt;=16,3),"Null"),"-")</f>
        <v>0</v>
      </c>
      <c r="K856" s="62"/>
      <c r="L856" s="1">
        <v>2114341100</v>
      </c>
    </row>
    <row r="857" spans="1:12" ht="18" customHeight="1" x14ac:dyDescent="0.45">
      <c r="A857" s="13">
        <v>851</v>
      </c>
      <c r="B857" s="40" t="s">
        <v>71</v>
      </c>
      <c r="C857" s="40" t="s">
        <v>288</v>
      </c>
      <c r="D857" s="14" t="s">
        <v>3</v>
      </c>
      <c r="E857" s="15">
        <v>1</v>
      </c>
      <c r="F857" s="17">
        <v>7</v>
      </c>
      <c r="G857" s="17">
        <v>7</v>
      </c>
      <c r="H857" s="15">
        <f t="shared" si="346"/>
        <v>7</v>
      </c>
      <c r="I857" s="43" cm="1">
        <f t="array" ref="I857">IF(J857="-","-",_xlfn.IFS(K857&lt;=5,0,K857&lt;=10,1,K857&lt;=15,2,K857&gt;=16,3))</f>
        <v>2</v>
      </c>
      <c r="J857" s="19" cm="1">
        <f t="array" ref="J857">IFERROR(IF(_xlfn.XLOOKUP(L857,NC導入施設!B:B,NC導入施設!E:E)=0,_xlfn.IFS(H857&lt;=5,0,H857&lt;=10,1,H857&lt;=15,2,H857&gt;=16,3),"Null"),"-")</f>
        <v>1</v>
      </c>
      <c r="K857" s="60">
        <f t="shared" ref="K857" si="353">IFERROR(SUM(H857:H861),"-")</f>
        <v>14</v>
      </c>
      <c r="L857" s="1">
        <v>2114371100</v>
      </c>
    </row>
    <row r="858" spans="1:12" ht="18" customHeight="1" x14ac:dyDescent="0.45">
      <c r="A858" s="13">
        <v>852</v>
      </c>
      <c r="B858" s="41" t="str">
        <f t="shared" ref="B858:C861" si="354">B857</f>
        <v>埼玉千葉本部</v>
      </c>
      <c r="C858" s="41" t="str">
        <f t="shared" si="354"/>
        <v>ラヴィーレ鶴ヶ島</v>
      </c>
      <c r="D858" s="14" t="s">
        <v>4</v>
      </c>
      <c r="E858" s="15">
        <v>1</v>
      </c>
      <c r="F858" s="17">
        <v>0</v>
      </c>
      <c r="G858" s="17">
        <v>0</v>
      </c>
      <c r="H858" s="15">
        <f t="shared" si="346"/>
        <v>0</v>
      </c>
      <c r="I858" s="44"/>
      <c r="J858" s="19" cm="1">
        <f t="array" ref="J858">IFERROR(IF(_xlfn.XLOOKUP(L858,NC導入施設!B:B,NC導入施設!E:E)=0,_xlfn.IFS(H858&lt;=5,0,H858&lt;=10,1,H858&lt;=15,2,H858&gt;=16,3),"Null"),"-")</f>
        <v>0</v>
      </c>
      <c r="K858" s="61"/>
      <c r="L858" s="1">
        <v>2114371100</v>
      </c>
    </row>
    <row r="859" spans="1:12" ht="18" customHeight="1" x14ac:dyDescent="0.45">
      <c r="A859" s="13">
        <v>853</v>
      </c>
      <c r="B859" s="41" t="str">
        <f t="shared" si="354"/>
        <v>埼玉千葉本部</v>
      </c>
      <c r="C859" s="41" t="str">
        <f t="shared" si="354"/>
        <v>ラヴィーレ鶴ヶ島</v>
      </c>
      <c r="D859" s="14" t="s">
        <v>5</v>
      </c>
      <c r="E859" s="15">
        <v>2</v>
      </c>
      <c r="F859" s="17">
        <v>4</v>
      </c>
      <c r="G859" s="17">
        <v>2</v>
      </c>
      <c r="H859" s="15">
        <f t="shared" si="346"/>
        <v>4</v>
      </c>
      <c r="I859" s="44"/>
      <c r="J859" s="19" cm="1">
        <f t="array" ref="J859">IFERROR(IF(_xlfn.XLOOKUP(L859,NC導入施設!B:B,NC導入施設!E:E)=0,_xlfn.IFS(H859&lt;=5,0,H859&lt;=10,1,H859&lt;=15,2,H859&gt;=16,3),"Null"),"-")</f>
        <v>0</v>
      </c>
      <c r="K859" s="61"/>
      <c r="L859" s="1">
        <v>2114371100</v>
      </c>
    </row>
    <row r="860" spans="1:12" ht="18" customHeight="1" x14ac:dyDescent="0.45">
      <c r="A860" s="13">
        <v>854</v>
      </c>
      <c r="B860" s="41" t="str">
        <f t="shared" si="354"/>
        <v>埼玉千葉本部</v>
      </c>
      <c r="C860" s="41" t="str">
        <f t="shared" si="354"/>
        <v>ラヴィーレ鶴ヶ島</v>
      </c>
      <c r="D860" s="14" t="s">
        <v>6</v>
      </c>
      <c r="E860" s="15">
        <v>4</v>
      </c>
      <c r="F860" s="17">
        <v>1</v>
      </c>
      <c r="G860" s="17">
        <v>0.3</v>
      </c>
      <c r="H860" s="15">
        <f t="shared" si="346"/>
        <v>1</v>
      </c>
      <c r="I860" s="44"/>
      <c r="J860" s="19" cm="1">
        <f t="array" ref="J860">IFERROR(IF(_xlfn.XLOOKUP(L860,NC導入施設!B:B,NC導入施設!E:E)=0,_xlfn.IFS(H860&lt;=5,0,H860&lt;=10,1,H860&lt;=15,2,H860&gt;=16,3),"Null"),"-")</f>
        <v>0</v>
      </c>
      <c r="K860" s="61"/>
      <c r="L860" s="1">
        <v>2114371100</v>
      </c>
    </row>
    <row r="861" spans="1:12" ht="18" customHeight="1" x14ac:dyDescent="0.45">
      <c r="A861" s="13">
        <v>855</v>
      </c>
      <c r="B861" s="42" t="str">
        <f t="shared" si="354"/>
        <v>埼玉千葉本部</v>
      </c>
      <c r="C861" s="42" t="str">
        <f t="shared" si="354"/>
        <v>ラヴィーレ鶴ヶ島</v>
      </c>
      <c r="D861" s="14" t="s">
        <v>2</v>
      </c>
      <c r="E861" s="15">
        <v>2</v>
      </c>
      <c r="F861" s="17">
        <v>2</v>
      </c>
      <c r="G861" s="17">
        <v>1</v>
      </c>
      <c r="H861" s="15">
        <f t="shared" si="346"/>
        <v>2</v>
      </c>
      <c r="I861" s="45"/>
      <c r="J861" s="19" cm="1">
        <f t="array" ref="J861">IFERROR(IF(_xlfn.XLOOKUP(L861,NC導入施設!B:B,NC導入施設!E:E)=0,_xlfn.IFS(H861&lt;=5,0,H861&lt;=10,1,H861&lt;=15,2,H861&gt;=16,3),"Null"),"-")</f>
        <v>0</v>
      </c>
      <c r="K861" s="62"/>
      <c r="L861" s="1">
        <v>2114371100</v>
      </c>
    </row>
    <row r="862" spans="1:12" ht="18" customHeight="1" x14ac:dyDescent="0.45">
      <c r="A862" s="8">
        <v>856</v>
      </c>
      <c r="B862" s="34" t="s">
        <v>71</v>
      </c>
      <c r="C862" s="34" t="s">
        <v>289</v>
      </c>
      <c r="D862" s="9" t="s">
        <v>3</v>
      </c>
      <c r="E862" s="10">
        <v>1</v>
      </c>
      <c r="F862" s="12">
        <v>5</v>
      </c>
      <c r="G862" s="12">
        <v>5</v>
      </c>
      <c r="H862" s="10">
        <f t="shared" si="346"/>
        <v>5</v>
      </c>
      <c r="I862" s="37" cm="1">
        <f t="array" ref="I862">IF(J862="-","-",_xlfn.IFS(K862&lt;=5,0,K862&lt;=10,1,K862&lt;=15,2,K862&gt;=16,3))</f>
        <v>3</v>
      </c>
      <c r="J862" s="19" cm="1">
        <f t="array" ref="J862">IFERROR(IF(_xlfn.XLOOKUP(L862,NC導入施設!B:B,NC導入施設!E:E)=0,_xlfn.IFS(H862&lt;=5,0,H862&lt;=10,1,H862&lt;=15,2,H862&gt;=16,3),"Null"),"-")</f>
        <v>0</v>
      </c>
      <c r="K862" s="60">
        <f t="shared" ref="K862" si="355">IFERROR(SUM(H862:H866),"-")</f>
        <v>17</v>
      </c>
      <c r="L862" s="1">
        <v>2114421100</v>
      </c>
    </row>
    <row r="863" spans="1:12" ht="18" customHeight="1" x14ac:dyDescent="0.45">
      <c r="A863" s="8">
        <v>857</v>
      </c>
      <c r="B863" s="35" t="str">
        <f t="shared" ref="B863:C866" si="356">B862</f>
        <v>埼玉千葉本部</v>
      </c>
      <c r="C863" s="35" t="str">
        <f t="shared" si="356"/>
        <v>ラヴィーレ朝霞</v>
      </c>
      <c r="D863" s="9" t="s">
        <v>4</v>
      </c>
      <c r="E863" s="10">
        <v>1</v>
      </c>
      <c r="F863" s="12">
        <v>5</v>
      </c>
      <c r="G863" s="12">
        <v>5</v>
      </c>
      <c r="H863" s="10">
        <f t="shared" si="346"/>
        <v>5</v>
      </c>
      <c r="I863" s="38"/>
      <c r="J863" s="19" cm="1">
        <f t="array" ref="J863">IFERROR(IF(_xlfn.XLOOKUP(L863,NC導入施設!B:B,NC導入施設!E:E)=0,_xlfn.IFS(H863&lt;=5,0,H863&lt;=10,1,H863&lt;=15,2,H863&gt;=16,3),"Null"),"-")</f>
        <v>0</v>
      </c>
      <c r="K863" s="61"/>
      <c r="L863" s="1">
        <v>2114421100</v>
      </c>
    </row>
    <row r="864" spans="1:12" ht="18" customHeight="1" x14ac:dyDescent="0.45">
      <c r="A864" s="8">
        <v>858</v>
      </c>
      <c r="B864" s="35" t="str">
        <f t="shared" si="356"/>
        <v>埼玉千葉本部</v>
      </c>
      <c r="C864" s="35" t="str">
        <f t="shared" si="356"/>
        <v>ラヴィーレ朝霞</v>
      </c>
      <c r="D864" s="9" t="s">
        <v>5</v>
      </c>
      <c r="E864" s="10">
        <v>2</v>
      </c>
      <c r="F864" s="12">
        <v>4</v>
      </c>
      <c r="G864" s="12">
        <v>2</v>
      </c>
      <c r="H864" s="10">
        <f t="shared" si="346"/>
        <v>4</v>
      </c>
      <c r="I864" s="38"/>
      <c r="J864" s="19" cm="1">
        <f t="array" ref="J864">IFERROR(IF(_xlfn.XLOOKUP(L864,NC導入施設!B:B,NC導入施設!E:E)=0,_xlfn.IFS(H864&lt;=5,0,H864&lt;=10,1,H864&lt;=15,2,H864&gt;=16,3),"Null"),"-")</f>
        <v>0</v>
      </c>
      <c r="K864" s="61"/>
      <c r="L864" s="1">
        <v>2114421100</v>
      </c>
    </row>
    <row r="865" spans="1:12" ht="18" customHeight="1" x14ac:dyDescent="0.45">
      <c r="A865" s="8">
        <v>859</v>
      </c>
      <c r="B865" s="35" t="str">
        <f t="shared" si="356"/>
        <v>埼玉千葉本部</v>
      </c>
      <c r="C865" s="35" t="str">
        <f t="shared" si="356"/>
        <v>ラヴィーレ朝霞</v>
      </c>
      <c r="D865" s="9" t="s">
        <v>6</v>
      </c>
      <c r="E865" s="10">
        <v>7</v>
      </c>
      <c r="F865" s="12">
        <v>2</v>
      </c>
      <c r="G865" s="12">
        <v>0.3</v>
      </c>
      <c r="H865" s="10">
        <f t="shared" si="346"/>
        <v>2</v>
      </c>
      <c r="I865" s="38"/>
      <c r="J865" s="19" cm="1">
        <f t="array" ref="J865">IFERROR(IF(_xlfn.XLOOKUP(L865,NC導入施設!B:B,NC導入施設!E:E)=0,_xlfn.IFS(H865&lt;=5,0,H865&lt;=10,1,H865&lt;=15,2,H865&gt;=16,3),"Null"),"-")</f>
        <v>0</v>
      </c>
      <c r="K865" s="61"/>
      <c r="L865" s="1">
        <v>2114421100</v>
      </c>
    </row>
    <row r="866" spans="1:12" ht="18" customHeight="1" x14ac:dyDescent="0.45">
      <c r="A866" s="8">
        <v>860</v>
      </c>
      <c r="B866" s="36" t="str">
        <f t="shared" si="356"/>
        <v>埼玉千葉本部</v>
      </c>
      <c r="C866" s="36" t="str">
        <f t="shared" si="356"/>
        <v>ラヴィーレ朝霞</v>
      </c>
      <c r="D866" s="9" t="s">
        <v>2</v>
      </c>
      <c r="E866" s="10">
        <v>2</v>
      </c>
      <c r="F866" s="12">
        <v>1</v>
      </c>
      <c r="G866" s="12">
        <v>0.5</v>
      </c>
      <c r="H866" s="10">
        <f t="shared" si="346"/>
        <v>1</v>
      </c>
      <c r="I866" s="39"/>
      <c r="J866" s="19" cm="1">
        <f t="array" ref="J866">IFERROR(IF(_xlfn.XLOOKUP(L866,NC導入施設!B:B,NC導入施設!E:E)=0,_xlfn.IFS(H866&lt;=5,0,H866&lt;=10,1,H866&lt;=15,2,H866&gt;=16,3),"Null"),"-")</f>
        <v>0</v>
      </c>
      <c r="K866" s="62"/>
      <c r="L866" s="1">
        <v>2114421100</v>
      </c>
    </row>
    <row r="867" spans="1:12" ht="18" customHeight="1" x14ac:dyDescent="0.45">
      <c r="A867" s="13">
        <v>861</v>
      </c>
      <c r="B867" s="40" t="s">
        <v>71</v>
      </c>
      <c r="C867" s="40" t="s">
        <v>290</v>
      </c>
      <c r="D867" s="14" t="s">
        <v>3</v>
      </c>
      <c r="E867" s="15">
        <v>1</v>
      </c>
      <c r="F867" s="17">
        <v>12</v>
      </c>
      <c r="G867" s="17">
        <v>12</v>
      </c>
      <c r="H867" s="15">
        <f t="shared" si="346"/>
        <v>12</v>
      </c>
      <c r="I867" s="43" cm="1">
        <f t="array" ref="I867">IF(J867="-","-",_xlfn.IFS(K867&lt;=5,0,K867&lt;=10,1,K867&lt;=15,2,K867&gt;=16,3))</f>
        <v>3</v>
      </c>
      <c r="J867" s="19" cm="1">
        <f t="array" ref="J867">IFERROR(IF(_xlfn.XLOOKUP(L867,NC導入施設!B:B,NC導入施設!E:E)=0,_xlfn.IFS(H867&lt;=5,0,H867&lt;=10,1,H867&lt;=15,2,H867&gt;=16,3),"Null"),"-")</f>
        <v>2</v>
      </c>
      <c r="K867" s="60">
        <f t="shared" ref="K867" si="357">IFERROR(SUM(H867:H871),"-")</f>
        <v>18</v>
      </c>
      <c r="L867" s="1">
        <v>2114461100</v>
      </c>
    </row>
    <row r="868" spans="1:12" ht="18" customHeight="1" x14ac:dyDescent="0.45">
      <c r="A868" s="13">
        <v>862</v>
      </c>
      <c r="B868" s="41" t="str">
        <f t="shared" ref="B868:C871" si="358">B867</f>
        <v>埼玉千葉本部</v>
      </c>
      <c r="C868" s="41" t="str">
        <f t="shared" si="358"/>
        <v>ラヴィーレ志木柳瀬川</v>
      </c>
      <c r="D868" s="14" t="s">
        <v>4</v>
      </c>
      <c r="E868" s="15">
        <v>1</v>
      </c>
      <c r="F868" s="17">
        <v>6</v>
      </c>
      <c r="G868" s="17">
        <v>6</v>
      </c>
      <c r="H868" s="15">
        <f t="shared" si="346"/>
        <v>6</v>
      </c>
      <c r="I868" s="44"/>
      <c r="J868" s="19" cm="1">
        <f t="array" ref="J868">IFERROR(IF(_xlfn.XLOOKUP(L868,NC導入施設!B:B,NC導入施設!E:E)=0,_xlfn.IFS(H868&lt;=5,0,H868&lt;=10,1,H868&lt;=15,2,H868&gt;=16,3),"Null"),"-")</f>
        <v>1</v>
      </c>
      <c r="K868" s="61"/>
      <c r="L868" s="1">
        <v>2114461100</v>
      </c>
    </row>
    <row r="869" spans="1:12" ht="18" customHeight="1" x14ac:dyDescent="0.45">
      <c r="A869" s="13">
        <v>863</v>
      </c>
      <c r="B869" s="41" t="str">
        <f t="shared" si="358"/>
        <v>埼玉千葉本部</v>
      </c>
      <c r="C869" s="41" t="str">
        <f t="shared" si="358"/>
        <v>ラヴィーレ志木柳瀬川</v>
      </c>
      <c r="D869" s="14" t="s">
        <v>5</v>
      </c>
      <c r="E869" s="15">
        <v>2</v>
      </c>
      <c r="F869" s="17">
        <v>0</v>
      </c>
      <c r="G869" s="17">
        <v>0</v>
      </c>
      <c r="H869" s="15">
        <f t="shared" si="346"/>
        <v>0</v>
      </c>
      <c r="I869" s="44"/>
      <c r="J869" s="19" cm="1">
        <f t="array" ref="J869">IFERROR(IF(_xlfn.XLOOKUP(L869,NC導入施設!B:B,NC導入施設!E:E)=0,_xlfn.IFS(H869&lt;=5,0,H869&lt;=10,1,H869&lt;=15,2,H869&gt;=16,3),"Null"),"-")</f>
        <v>0</v>
      </c>
      <c r="K869" s="61"/>
      <c r="L869" s="1">
        <v>2114461100</v>
      </c>
    </row>
    <row r="870" spans="1:12" ht="18" customHeight="1" x14ac:dyDescent="0.45">
      <c r="A870" s="13">
        <v>864</v>
      </c>
      <c r="B870" s="41" t="str">
        <f t="shared" si="358"/>
        <v>埼玉千葉本部</v>
      </c>
      <c r="C870" s="41" t="str">
        <f t="shared" si="358"/>
        <v>ラヴィーレ志木柳瀬川</v>
      </c>
      <c r="D870" s="14" t="s">
        <v>6</v>
      </c>
      <c r="E870" s="15">
        <v>3</v>
      </c>
      <c r="F870" s="17">
        <v>0</v>
      </c>
      <c r="G870" s="17">
        <v>0</v>
      </c>
      <c r="H870" s="15">
        <f t="shared" si="346"/>
        <v>0</v>
      </c>
      <c r="I870" s="44"/>
      <c r="J870" s="19" cm="1">
        <f t="array" ref="J870">IFERROR(IF(_xlfn.XLOOKUP(L870,NC導入施設!B:B,NC導入施設!E:E)=0,_xlfn.IFS(H870&lt;=5,0,H870&lt;=10,1,H870&lt;=15,2,H870&gt;=16,3),"Null"),"-")</f>
        <v>0</v>
      </c>
      <c r="K870" s="61"/>
      <c r="L870" s="1">
        <v>2114461100</v>
      </c>
    </row>
    <row r="871" spans="1:12" ht="18" customHeight="1" x14ac:dyDescent="0.45">
      <c r="A871" s="13">
        <v>865</v>
      </c>
      <c r="B871" s="42" t="str">
        <f t="shared" si="358"/>
        <v>埼玉千葉本部</v>
      </c>
      <c r="C871" s="42" t="str">
        <f t="shared" si="358"/>
        <v>ラヴィーレ志木柳瀬川</v>
      </c>
      <c r="D871" s="14" t="s">
        <v>2</v>
      </c>
      <c r="E871" s="15">
        <v>2</v>
      </c>
      <c r="F871" s="17">
        <v>0</v>
      </c>
      <c r="G871" s="17">
        <v>0</v>
      </c>
      <c r="H871" s="15">
        <f t="shared" si="346"/>
        <v>0</v>
      </c>
      <c r="I871" s="45"/>
      <c r="J871" s="19" cm="1">
        <f t="array" ref="J871">IFERROR(IF(_xlfn.XLOOKUP(L871,NC導入施設!B:B,NC導入施設!E:E)=0,_xlfn.IFS(H871&lt;=5,0,H871&lt;=10,1,H871&lt;=15,2,H871&gt;=16,3),"Null"),"-")</f>
        <v>0</v>
      </c>
      <c r="K871" s="62"/>
      <c r="L871" s="1">
        <v>2114461100</v>
      </c>
    </row>
    <row r="872" spans="1:12" ht="18" customHeight="1" x14ac:dyDescent="0.45">
      <c r="A872" s="8">
        <v>866</v>
      </c>
      <c r="B872" s="34" t="s">
        <v>71</v>
      </c>
      <c r="C872" s="34" t="s">
        <v>291</v>
      </c>
      <c r="D872" s="9" t="s">
        <v>3</v>
      </c>
      <c r="E872" s="10">
        <v>1</v>
      </c>
      <c r="F872" s="12">
        <v>2</v>
      </c>
      <c r="G872" s="12">
        <v>2</v>
      </c>
      <c r="H872" s="10">
        <f t="shared" si="346"/>
        <v>2</v>
      </c>
      <c r="I872" s="37" cm="1">
        <f t="array" ref="I872">IF(J872="-","-",_xlfn.IFS(K872&lt;=5,0,K872&lt;=10,1,K872&lt;=15,2,K872&gt;=16,3))</f>
        <v>3</v>
      </c>
      <c r="J872" s="19" cm="1">
        <f t="array" ref="J872">IFERROR(IF(_xlfn.XLOOKUP(L872,NC導入施設!B:B,NC導入施設!E:E)=0,_xlfn.IFS(H872&lt;=5,0,H872&lt;=10,1,H872&lt;=15,2,H872&gt;=16,3),"Null"),"-")</f>
        <v>0</v>
      </c>
      <c r="K872" s="60">
        <f t="shared" ref="K872" si="359">IFERROR(SUM(H872:H876),"-")</f>
        <v>52</v>
      </c>
      <c r="L872" s="1">
        <v>2114471100</v>
      </c>
    </row>
    <row r="873" spans="1:12" ht="18" customHeight="1" x14ac:dyDescent="0.45">
      <c r="A873" s="8">
        <v>867</v>
      </c>
      <c r="B873" s="35" t="str">
        <f t="shared" ref="B873:C876" si="360">B872</f>
        <v>埼玉千葉本部</v>
      </c>
      <c r="C873" s="35" t="str">
        <f t="shared" si="360"/>
        <v>ラヴィーレ上福岡</v>
      </c>
      <c r="D873" s="9" t="s">
        <v>4</v>
      </c>
      <c r="E873" s="10">
        <v>1</v>
      </c>
      <c r="F873" s="12">
        <v>17</v>
      </c>
      <c r="G873" s="12">
        <v>17</v>
      </c>
      <c r="H873" s="10">
        <f t="shared" si="346"/>
        <v>17</v>
      </c>
      <c r="I873" s="38"/>
      <c r="J873" s="19" cm="1">
        <f t="array" ref="J873">IFERROR(IF(_xlfn.XLOOKUP(L873,NC導入施設!B:B,NC導入施設!E:E)=0,_xlfn.IFS(H873&lt;=5,0,H873&lt;=10,1,H873&lt;=15,2,H873&gt;=16,3),"Null"),"-")</f>
        <v>3</v>
      </c>
      <c r="K873" s="61"/>
      <c r="L873" s="1">
        <v>2114471100</v>
      </c>
    </row>
    <row r="874" spans="1:12" ht="18" customHeight="1" x14ac:dyDescent="0.45">
      <c r="A874" s="8">
        <v>868</v>
      </c>
      <c r="B874" s="35" t="str">
        <f t="shared" si="360"/>
        <v>埼玉千葉本部</v>
      </c>
      <c r="C874" s="35" t="str">
        <f t="shared" si="360"/>
        <v>ラヴィーレ上福岡</v>
      </c>
      <c r="D874" s="9" t="s">
        <v>5</v>
      </c>
      <c r="E874" s="10">
        <v>2</v>
      </c>
      <c r="F874" s="12">
        <v>23</v>
      </c>
      <c r="G874" s="12">
        <v>11.5</v>
      </c>
      <c r="H874" s="10">
        <f t="shared" si="346"/>
        <v>23</v>
      </c>
      <c r="I874" s="38"/>
      <c r="J874" s="19" cm="1">
        <f t="array" ref="J874">IFERROR(IF(_xlfn.XLOOKUP(L874,NC導入施設!B:B,NC導入施設!E:E)=0,_xlfn.IFS(H874&lt;=5,0,H874&lt;=10,1,H874&lt;=15,2,H874&gt;=16,3),"Null"),"-")</f>
        <v>3</v>
      </c>
      <c r="K874" s="61"/>
      <c r="L874" s="1">
        <v>2114471100</v>
      </c>
    </row>
    <row r="875" spans="1:12" ht="18" customHeight="1" x14ac:dyDescent="0.45">
      <c r="A875" s="8">
        <v>869</v>
      </c>
      <c r="B875" s="35" t="str">
        <f t="shared" si="360"/>
        <v>埼玉千葉本部</v>
      </c>
      <c r="C875" s="35" t="str">
        <f t="shared" si="360"/>
        <v>ラヴィーレ上福岡</v>
      </c>
      <c r="D875" s="9" t="s">
        <v>6</v>
      </c>
      <c r="E875" s="10">
        <v>3</v>
      </c>
      <c r="F875" s="12">
        <v>1</v>
      </c>
      <c r="G875" s="12">
        <v>0.3</v>
      </c>
      <c r="H875" s="10">
        <f t="shared" si="346"/>
        <v>1</v>
      </c>
      <c r="I875" s="38"/>
      <c r="J875" s="19" cm="1">
        <f t="array" ref="J875">IFERROR(IF(_xlfn.XLOOKUP(L875,NC導入施設!B:B,NC導入施設!E:E)=0,_xlfn.IFS(H875&lt;=5,0,H875&lt;=10,1,H875&lt;=15,2,H875&gt;=16,3),"Null"),"-")</f>
        <v>0</v>
      </c>
      <c r="K875" s="61"/>
      <c r="L875" s="1">
        <v>2114471100</v>
      </c>
    </row>
    <row r="876" spans="1:12" ht="18" customHeight="1" x14ac:dyDescent="0.45">
      <c r="A876" s="8">
        <v>870</v>
      </c>
      <c r="B876" s="36" t="str">
        <f t="shared" si="360"/>
        <v>埼玉千葉本部</v>
      </c>
      <c r="C876" s="36" t="str">
        <f t="shared" si="360"/>
        <v>ラヴィーレ上福岡</v>
      </c>
      <c r="D876" s="9" t="s">
        <v>2</v>
      </c>
      <c r="E876" s="10">
        <v>3</v>
      </c>
      <c r="F876" s="12">
        <v>9</v>
      </c>
      <c r="G876" s="12">
        <v>3</v>
      </c>
      <c r="H876" s="10">
        <f t="shared" si="346"/>
        <v>9</v>
      </c>
      <c r="I876" s="39"/>
      <c r="J876" s="19" cm="1">
        <f t="array" ref="J876">IFERROR(IF(_xlfn.XLOOKUP(L876,NC導入施設!B:B,NC導入施設!E:E)=0,_xlfn.IFS(H876&lt;=5,0,H876&lt;=10,1,H876&lt;=15,2,H876&gt;=16,3),"Null"),"-")</f>
        <v>1</v>
      </c>
      <c r="K876" s="62"/>
      <c r="L876" s="1">
        <v>2114471100</v>
      </c>
    </row>
    <row r="877" spans="1:12" ht="18" customHeight="1" x14ac:dyDescent="0.45">
      <c r="A877" s="13">
        <v>871</v>
      </c>
      <c r="B877" s="40" t="s">
        <v>71</v>
      </c>
      <c r="C877" s="40" t="s">
        <v>292</v>
      </c>
      <c r="D877" s="14" t="s">
        <v>3</v>
      </c>
      <c r="E877" s="15">
        <v>1</v>
      </c>
      <c r="F877" s="17">
        <v>12</v>
      </c>
      <c r="G877" s="17">
        <v>12</v>
      </c>
      <c r="H877" s="15">
        <f t="shared" si="346"/>
        <v>12</v>
      </c>
      <c r="I877" s="43" cm="1">
        <f t="array" ref="I877">IF(J877="-","-",_xlfn.IFS(K877&lt;=5,0,K877&lt;=10,1,K877&lt;=15,2,K877&gt;=16,3))</f>
        <v>3</v>
      </c>
      <c r="J877" s="19" cm="1">
        <f t="array" ref="J877">IFERROR(IF(_xlfn.XLOOKUP(L877,NC導入施設!B:B,NC導入施設!E:E)=0,_xlfn.IFS(H877&lt;=5,0,H877&lt;=10,1,H877&lt;=15,2,H877&gt;=16,3),"Null"),"-")</f>
        <v>2</v>
      </c>
      <c r="K877" s="60">
        <f t="shared" ref="K877" si="361">IFERROR(SUM(H877:H881),"-")</f>
        <v>31</v>
      </c>
      <c r="L877" s="1">
        <v>2114481100</v>
      </c>
    </row>
    <row r="878" spans="1:12" ht="18" customHeight="1" x14ac:dyDescent="0.45">
      <c r="A878" s="13">
        <v>872</v>
      </c>
      <c r="B878" s="41" t="str">
        <f t="shared" ref="B878:C881" si="362">B877</f>
        <v>埼玉千葉本部</v>
      </c>
      <c r="C878" s="41" t="str">
        <f t="shared" si="362"/>
        <v>ラヴィーレふじみ野</v>
      </c>
      <c r="D878" s="14" t="s">
        <v>4</v>
      </c>
      <c r="E878" s="15">
        <v>1</v>
      </c>
      <c r="F878" s="17">
        <v>8</v>
      </c>
      <c r="G878" s="17">
        <v>8</v>
      </c>
      <c r="H878" s="15">
        <f t="shared" si="346"/>
        <v>8</v>
      </c>
      <c r="I878" s="44"/>
      <c r="J878" s="19" cm="1">
        <f t="array" ref="J878">IFERROR(IF(_xlfn.XLOOKUP(L878,NC導入施設!B:B,NC導入施設!E:E)=0,_xlfn.IFS(H878&lt;=5,0,H878&lt;=10,1,H878&lt;=15,2,H878&gt;=16,3),"Null"),"-")</f>
        <v>1</v>
      </c>
      <c r="K878" s="61"/>
      <c r="L878" s="1">
        <v>2114481100</v>
      </c>
    </row>
    <row r="879" spans="1:12" ht="18" customHeight="1" x14ac:dyDescent="0.45">
      <c r="A879" s="13">
        <v>873</v>
      </c>
      <c r="B879" s="41" t="str">
        <f t="shared" si="362"/>
        <v>埼玉千葉本部</v>
      </c>
      <c r="C879" s="41" t="str">
        <f t="shared" si="362"/>
        <v>ラヴィーレふじみ野</v>
      </c>
      <c r="D879" s="14" t="s">
        <v>5</v>
      </c>
      <c r="E879" s="15">
        <v>2</v>
      </c>
      <c r="F879" s="17">
        <v>3</v>
      </c>
      <c r="G879" s="17">
        <v>1.5</v>
      </c>
      <c r="H879" s="15">
        <f t="shared" si="346"/>
        <v>3</v>
      </c>
      <c r="I879" s="44"/>
      <c r="J879" s="19" cm="1">
        <f t="array" ref="J879">IFERROR(IF(_xlfn.XLOOKUP(L879,NC導入施設!B:B,NC導入施設!E:E)=0,_xlfn.IFS(H879&lt;=5,0,H879&lt;=10,1,H879&lt;=15,2,H879&gt;=16,3),"Null"),"-")</f>
        <v>0</v>
      </c>
      <c r="K879" s="61"/>
      <c r="L879" s="1">
        <v>2114481100</v>
      </c>
    </row>
    <row r="880" spans="1:12" ht="18" customHeight="1" x14ac:dyDescent="0.45">
      <c r="A880" s="13">
        <v>874</v>
      </c>
      <c r="B880" s="41" t="str">
        <f t="shared" si="362"/>
        <v>埼玉千葉本部</v>
      </c>
      <c r="C880" s="41" t="str">
        <f t="shared" si="362"/>
        <v>ラヴィーレふじみ野</v>
      </c>
      <c r="D880" s="14" t="s">
        <v>6</v>
      </c>
      <c r="E880" s="15">
        <v>3</v>
      </c>
      <c r="F880" s="17">
        <v>0</v>
      </c>
      <c r="G880" s="17">
        <v>0</v>
      </c>
      <c r="H880" s="15">
        <f t="shared" si="346"/>
        <v>0</v>
      </c>
      <c r="I880" s="44"/>
      <c r="J880" s="19" cm="1">
        <f t="array" ref="J880">IFERROR(IF(_xlfn.XLOOKUP(L880,NC導入施設!B:B,NC導入施設!E:E)=0,_xlfn.IFS(H880&lt;=5,0,H880&lt;=10,1,H880&lt;=15,2,H880&gt;=16,3),"Null"),"-")</f>
        <v>0</v>
      </c>
      <c r="K880" s="61"/>
      <c r="L880" s="1">
        <v>2114481100</v>
      </c>
    </row>
    <row r="881" spans="1:12" ht="18" customHeight="1" x14ac:dyDescent="0.45">
      <c r="A881" s="13">
        <v>875</v>
      </c>
      <c r="B881" s="42" t="str">
        <f t="shared" si="362"/>
        <v>埼玉千葉本部</v>
      </c>
      <c r="C881" s="42" t="str">
        <f t="shared" si="362"/>
        <v>ラヴィーレふじみ野</v>
      </c>
      <c r="D881" s="14" t="s">
        <v>2</v>
      </c>
      <c r="E881" s="15">
        <v>2</v>
      </c>
      <c r="F881" s="17">
        <v>8</v>
      </c>
      <c r="G881" s="17">
        <v>4</v>
      </c>
      <c r="H881" s="15">
        <f t="shared" si="346"/>
        <v>8</v>
      </c>
      <c r="I881" s="45"/>
      <c r="J881" s="19" cm="1">
        <f t="array" ref="J881">IFERROR(IF(_xlfn.XLOOKUP(L881,NC導入施設!B:B,NC導入施設!E:E)=0,_xlfn.IFS(H881&lt;=5,0,H881&lt;=10,1,H881&lt;=15,2,H881&gt;=16,3),"Null"),"-")</f>
        <v>1</v>
      </c>
      <c r="K881" s="62"/>
      <c r="L881" s="1">
        <v>2114481100</v>
      </c>
    </row>
    <row r="882" spans="1:12" ht="18" customHeight="1" x14ac:dyDescent="0.45">
      <c r="A882" s="8">
        <v>876</v>
      </c>
      <c r="B882" s="34" t="s">
        <v>71</v>
      </c>
      <c r="C882" s="34" t="s">
        <v>293</v>
      </c>
      <c r="D882" s="9" t="s">
        <v>3</v>
      </c>
      <c r="E882" s="10">
        <v>1</v>
      </c>
      <c r="F882" s="12">
        <v>1</v>
      </c>
      <c r="G882" s="12">
        <v>1</v>
      </c>
      <c r="H882" s="10">
        <f t="shared" si="346"/>
        <v>1</v>
      </c>
      <c r="I882" s="37" cm="1">
        <f t="array" ref="I882">IF(J882="-","-",_xlfn.IFS(K882&lt;=5,0,K882&lt;=10,1,K882&lt;=15,2,K882&gt;=16,3))</f>
        <v>2</v>
      </c>
      <c r="J882" s="19" cm="1">
        <f t="array" ref="J882">IFERROR(IF(_xlfn.XLOOKUP(L882,NC導入施設!B:B,NC導入施設!E:E)=0,_xlfn.IFS(H882&lt;=5,0,H882&lt;=10,1,H882&lt;=15,2,H882&gt;=16,3),"Null"),"-")</f>
        <v>0</v>
      </c>
      <c r="K882" s="60">
        <f t="shared" ref="K882" si="363">IFERROR(SUM(H882:H886),"-")</f>
        <v>12</v>
      </c>
      <c r="L882" s="1">
        <v>2114541100</v>
      </c>
    </row>
    <row r="883" spans="1:12" ht="18" customHeight="1" x14ac:dyDescent="0.45">
      <c r="A883" s="8">
        <v>877</v>
      </c>
      <c r="B883" s="35" t="str">
        <f t="shared" ref="B883:C886" si="364">B882</f>
        <v>埼玉千葉本部</v>
      </c>
      <c r="C883" s="35" t="str">
        <f t="shared" si="364"/>
        <v>ラヴィーレ狭山</v>
      </c>
      <c r="D883" s="9" t="s">
        <v>4</v>
      </c>
      <c r="E883" s="10">
        <v>2</v>
      </c>
      <c r="F883" s="12">
        <v>5</v>
      </c>
      <c r="G883" s="12">
        <v>2.5</v>
      </c>
      <c r="H883" s="10">
        <f t="shared" si="346"/>
        <v>5</v>
      </c>
      <c r="I883" s="38"/>
      <c r="J883" s="19" cm="1">
        <f t="array" ref="J883">IFERROR(IF(_xlfn.XLOOKUP(L883,NC導入施設!B:B,NC導入施設!E:E)=0,_xlfn.IFS(H883&lt;=5,0,H883&lt;=10,1,H883&lt;=15,2,H883&gt;=16,3),"Null"),"-")</f>
        <v>0</v>
      </c>
      <c r="K883" s="61"/>
      <c r="L883" s="1">
        <v>2114541100</v>
      </c>
    </row>
    <row r="884" spans="1:12" ht="18" customHeight="1" x14ac:dyDescent="0.45">
      <c r="A884" s="8">
        <v>878</v>
      </c>
      <c r="B884" s="35" t="str">
        <f t="shared" si="364"/>
        <v>埼玉千葉本部</v>
      </c>
      <c r="C884" s="35" t="str">
        <f t="shared" si="364"/>
        <v>ラヴィーレ狭山</v>
      </c>
      <c r="D884" s="9" t="s">
        <v>5</v>
      </c>
      <c r="E884" s="10">
        <v>2</v>
      </c>
      <c r="F884" s="12">
        <v>1</v>
      </c>
      <c r="G884" s="12">
        <v>0.5</v>
      </c>
      <c r="H884" s="10">
        <f t="shared" si="346"/>
        <v>1</v>
      </c>
      <c r="I884" s="38"/>
      <c r="J884" s="19" cm="1">
        <f t="array" ref="J884">IFERROR(IF(_xlfn.XLOOKUP(L884,NC導入施設!B:B,NC導入施設!E:E)=0,_xlfn.IFS(H884&lt;=5,0,H884&lt;=10,1,H884&lt;=15,2,H884&gt;=16,3),"Null"),"-")</f>
        <v>0</v>
      </c>
      <c r="K884" s="61"/>
      <c r="L884" s="1">
        <v>2114541100</v>
      </c>
    </row>
    <row r="885" spans="1:12" ht="18" customHeight="1" x14ac:dyDescent="0.45">
      <c r="A885" s="8">
        <v>879</v>
      </c>
      <c r="B885" s="35" t="str">
        <f t="shared" si="364"/>
        <v>埼玉千葉本部</v>
      </c>
      <c r="C885" s="35" t="str">
        <f t="shared" si="364"/>
        <v>ラヴィーレ狭山</v>
      </c>
      <c r="D885" s="9" t="s">
        <v>6</v>
      </c>
      <c r="E885" s="10">
        <v>5</v>
      </c>
      <c r="F885" s="12">
        <v>5</v>
      </c>
      <c r="G885" s="12">
        <v>1</v>
      </c>
      <c r="H885" s="10">
        <f t="shared" si="346"/>
        <v>5</v>
      </c>
      <c r="I885" s="38"/>
      <c r="J885" s="19" cm="1">
        <f t="array" ref="J885">IFERROR(IF(_xlfn.XLOOKUP(L885,NC導入施設!B:B,NC導入施設!E:E)=0,_xlfn.IFS(H885&lt;=5,0,H885&lt;=10,1,H885&lt;=15,2,H885&gt;=16,3),"Null"),"-")</f>
        <v>0</v>
      </c>
      <c r="K885" s="61"/>
      <c r="L885" s="1">
        <v>2114541100</v>
      </c>
    </row>
    <row r="886" spans="1:12" ht="18" customHeight="1" x14ac:dyDescent="0.45">
      <c r="A886" s="8">
        <v>880</v>
      </c>
      <c r="B886" s="36" t="str">
        <f t="shared" si="364"/>
        <v>埼玉千葉本部</v>
      </c>
      <c r="C886" s="36" t="str">
        <f t="shared" si="364"/>
        <v>ラヴィーレ狭山</v>
      </c>
      <c r="D886" s="9" t="s">
        <v>2</v>
      </c>
      <c r="E886" s="10">
        <v>1</v>
      </c>
      <c r="F886" s="12">
        <v>0</v>
      </c>
      <c r="G886" s="12">
        <v>0</v>
      </c>
      <c r="H886" s="10">
        <f t="shared" si="346"/>
        <v>0</v>
      </c>
      <c r="I886" s="39"/>
      <c r="J886" s="19" cm="1">
        <f t="array" ref="J886">IFERROR(IF(_xlfn.XLOOKUP(L886,NC導入施設!B:B,NC導入施設!E:E)=0,_xlfn.IFS(H886&lt;=5,0,H886&lt;=10,1,H886&lt;=15,2,H886&gt;=16,3),"Null"),"-")</f>
        <v>0</v>
      </c>
      <c r="K886" s="62"/>
      <c r="L886" s="1">
        <v>2114541100</v>
      </c>
    </row>
    <row r="887" spans="1:12" ht="18" customHeight="1" x14ac:dyDescent="0.45">
      <c r="A887" s="13">
        <v>881</v>
      </c>
      <c r="B887" s="40" t="s">
        <v>71</v>
      </c>
      <c r="C887" s="40" t="s">
        <v>294</v>
      </c>
      <c r="D887" s="14" t="s">
        <v>3</v>
      </c>
      <c r="E887" s="15">
        <v>1</v>
      </c>
      <c r="F887" s="17">
        <v>3</v>
      </c>
      <c r="G887" s="17">
        <v>3</v>
      </c>
      <c r="H887" s="15">
        <f t="shared" si="346"/>
        <v>3</v>
      </c>
      <c r="I887" s="43" cm="1">
        <f t="array" ref="I887">IF(J887="-","-",_xlfn.IFS(K887&lt;=5,0,K887&lt;=10,1,K887&lt;=15,2,K887&gt;=16,3))</f>
        <v>3</v>
      </c>
      <c r="J887" s="19" cm="1">
        <f t="array" ref="J887">IFERROR(IF(_xlfn.XLOOKUP(L887,NC導入施設!B:B,NC導入施設!E:E)=0,_xlfn.IFS(H887&lt;=5,0,H887&lt;=10,1,H887&lt;=15,2,H887&gt;=16,3),"Null"),"-")</f>
        <v>0</v>
      </c>
      <c r="K887" s="60">
        <f t="shared" ref="K887" si="365">IFERROR(SUM(H887:H891),"-")</f>
        <v>34</v>
      </c>
      <c r="L887" s="1">
        <v>2114551100</v>
      </c>
    </row>
    <row r="888" spans="1:12" ht="18" customHeight="1" x14ac:dyDescent="0.45">
      <c r="A888" s="13">
        <v>882</v>
      </c>
      <c r="B888" s="41" t="str">
        <f t="shared" ref="B888:C891" si="366">B887</f>
        <v>埼玉千葉本部</v>
      </c>
      <c r="C888" s="41" t="str">
        <f t="shared" si="366"/>
        <v>ラヴィーレ飯能</v>
      </c>
      <c r="D888" s="14" t="s">
        <v>4</v>
      </c>
      <c r="E888" s="15">
        <v>1</v>
      </c>
      <c r="F888" s="17">
        <v>11</v>
      </c>
      <c r="G888" s="17">
        <v>11</v>
      </c>
      <c r="H888" s="15">
        <f t="shared" si="346"/>
        <v>11</v>
      </c>
      <c r="I888" s="44"/>
      <c r="J888" s="19" cm="1">
        <f t="array" ref="J888">IFERROR(IF(_xlfn.XLOOKUP(L888,NC導入施設!B:B,NC導入施設!E:E)=0,_xlfn.IFS(H888&lt;=5,0,H888&lt;=10,1,H888&lt;=15,2,H888&gt;=16,3),"Null"),"-")</f>
        <v>2</v>
      </c>
      <c r="K888" s="61"/>
      <c r="L888" s="1">
        <v>2114551100</v>
      </c>
    </row>
    <row r="889" spans="1:12" ht="18" customHeight="1" x14ac:dyDescent="0.45">
      <c r="A889" s="13">
        <v>883</v>
      </c>
      <c r="B889" s="41" t="str">
        <f t="shared" si="366"/>
        <v>埼玉千葉本部</v>
      </c>
      <c r="C889" s="41" t="str">
        <f t="shared" si="366"/>
        <v>ラヴィーレ飯能</v>
      </c>
      <c r="D889" s="14" t="s">
        <v>5</v>
      </c>
      <c r="E889" s="15">
        <v>3</v>
      </c>
      <c r="F889" s="17">
        <v>10</v>
      </c>
      <c r="G889" s="17">
        <v>3.3</v>
      </c>
      <c r="H889" s="15">
        <f t="shared" si="346"/>
        <v>10</v>
      </c>
      <c r="I889" s="44"/>
      <c r="J889" s="19" cm="1">
        <f t="array" ref="J889">IFERROR(IF(_xlfn.XLOOKUP(L889,NC導入施設!B:B,NC導入施設!E:E)=0,_xlfn.IFS(H889&lt;=5,0,H889&lt;=10,1,H889&lt;=15,2,H889&gt;=16,3),"Null"),"-")</f>
        <v>1</v>
      </c>
      <c r="K889" s="61"/>
      <c r="L889" s="1">
        <v>2114551100</v>
      </c>
    </row>
    <row r="890" spans="1:12" ht="18" customHeight="1" x14ac:dyDescent="0.45">
      <c r="A890" s="13">
        <v>884</v>
      </c>
      <c r="B890" s="41" t="str">
        <f t="shared" si="366"/>
        <v>埼玉千葉本部</v>
      </c>
      <c r="C890" s="41" t="str">
        <f t="shared" si="366"/>
        <v>ラヴィーレ飯能</v>
      </c>
      <c r="D890" s="14" t="s">
        <v>6</v>
      </c>
      <c r="E890" s="15">
        <v>3</v>
      </c>
      <c r="F890" s="17">
        <v>0</v>
      </c>
      <c r="G890" s="17">
        <v>0</v>
      </c>
      <c r="H890" s="15">
        <f t="shared" si="346"/>
        <v>0</v>
      </c>
      <c r="I890" s="44"/>
      <c r="J890" s="19" cm="1">
        <f t="array" ref="J890">IFERROR(IF(_xlfn.XLOOKUP(L890,NC導入施設!B:B,NC導入施設!E:E)=0,_xlfn.IFS(H890&lt;=5,0,H890&lt;=10,1,H890&lt;=15,2,H890&gt;=16,3),"Null"),"-")</f>
        <v>0</v>
      </c>
      <c r="K890" s="61"/>
      <c r="L890" s="1">
        <v>2114551100</v>
      </c>
    </row>
    <row r="891" spans="1:12" ht="18" customHeight="1" x14ac:dyDescent="0.45">
      <c r="A891" s="13">
        <v>885</v>
      </c>
      <c r="B891" s="42" t="str">
        <f t="shared" si="366"/>
        <v>埼玉千葉本部</v>
      </c>
      <c r="C891" s="42" t="str">
        <f t="shared" si="366"/>
        <v>ラヴィーレ飯能</v>
      </c>
      <c r="D891" s="14" t="s">
        <v>2</v>
      </c>
      <c r="E891" s="15">
        <v>2</v>
      </c>
      <c r="F891" s="17">
        <v>10</v>
      </c>
      <c r="G891" s="17">
        <v>5</v>
      </c>
      <c r="H891" s="15">
        <f t="shared" si="346"/>
        <v>10</v>
      </c>
      <c r="I891" s="45"/>
      <c r="J891" s="19" cm="1">
        <f t="array" ref="J891">IFERROR(IF(_xlfn.XLOOKUP(L891,NC導入施設!B:B,NC導入施設!E:E)=0,_xlfn.IFS(H891&lt;=5,0,H891&lt;=10,1,H891&lt;=15,2,H891&gt;=16,3),"Null"),"-")</f>
        <v>1</v>
      </c>
      <c r="K891" s="62"/>
      <c r="L891" s="1">
        <v>2114551100</v>
      </c>
    </row>
    <row r="892" spans="1:12" ht="18" customHeight="1" x14ac:dyDescent="0.45">
      <c r="A892" s="8">
        <v>886</v>
      </c>
      <c r="B892" s="34" t="s">
        <v>71</v>
      </c>
      <c r="C892" s="34" t="s">
        <v>295</v>
      </c>
      <c r="D892" s="9" t="s">
        <v>3</v>
      </c>
      <c r="E892" s="10">
        <v>1</v>
      </c>
      <c r="F892" s="12">
        <v>8</v>
      </c>
      <c r="G892" s="12">
        <v>8</v>
      </c>
      <c r="H892" s="10">
        <f t="shared" si="346"/>
        <v>8</v>
      </c>
      <c r="I892" s="37" cm="1">
        <f t="array" ref="I892">IF(J892="-","-",_xlfn.IFS(K892&lt;=5,0,K892&lt;=10,1,K892&lt;=15,2,K892&gt;=16,3))</f>
        <v>3</v>
      </c>
      <c r="J892" s="19" cm="1">
        <f t="array" ref="J892">IFERROR(IF(_xlfn.XLOOKUP(L892,NC導入施設!B:B,NC導入施設!E:E)=0,_xlfn.IFS(H892&lt;=5,0,H892&lt;=10,1,H892&lt;=15,2,H892&gt;=16,3),"Null"),"-")</f>
        <v>1</v>
      </c>
      <c r="K892" s="60">
        <f t="shared" ref="K892" si="367">IFERROR(SUM(H892:H896),"-")</f>
        <v>32</v>
      </c>
      <c r="L892" s="1">
        <v>2114561100</v>
      </c>
    </row>
    <row r="893" spans="1:12" ht="18" customHeight="1" x14ac:dyDescent="0.45">
      <c r="A893" s="8">
        <v>887</v>
      </c>
      <c r="B893" s="35" t="str">
        <f t="shared" ref="B893:C896" si="368">B892</f>
        <v>埼玉千葉本部</v>
      </c>
      <c r="C893" s="35" t="str">
        <f t="shared" si="368"/>
        <v>ラヴィーレ入間</v>
      </c>
      <c r="D893" s="9" t="s">
        <v>4</v>
      </c>
      <c r="E893" s="10">
        <v>1</v>
      </c>
      <c r="F893" s="12">
        <v>6</v>
      </c>
      <c r="G893" s="12">
        <v>6</v>
      </c>
      <c r="H893" s="10">
        <f t="shared" si="346"/>
        <v>6</v>
      </c>
      <c r="I893" s="38"/>
      <c r="J893" s="19" cm="1">
        <f t="array" ref="J893">IFERROR(IF(_xlfn.XLOOKUP(L893,NC導入施設!B:B,NC導入施設!E:E)=0,_xlfn.IFS(H893&lt;=5,0,H893&lt;=10,1,H893&lt;=15,2,H893&gt;=16,3),"Null"),"-")</f>
        <v>1</v>
      </c>
      <c r="K893" s="61"/>
      <c r="L893" s="1">
        <v>2114561100</v>
      </c>
    </row>
    <row r="894" spans="1:12" ht="18" customHeight="1" x14ac:dyDescent="0.45">
      <c r="A894" s="8">
        <v>888</v>
      </c>
      <c r="B894" s="35" t="str">
        <f t="shared" si="368"/>
        <v>埼玉千葉本部</v>
      </c>
      <c r="C894" s="35" t="str">
        <f t="shared" si="368"/>
        <v>ラヴィーレ入間</v>
      </c>
      <c r="D894" s="9" t="s">
        <v>5</v>
      </c>
      <c r="E894" s="10">
        <v>3</v>
      </c>
      <c r="F894" s="12">
        <v>2</v>
      </c>
      <c r="G894" s="12">
        <v>0.7</v>
      </c>
      <c r="H894" s="10">
        <f t="shared" si="346"/>
        <v>2</v>
      </c>
      <c r="I894" s="38"/>
      <c r="J894" s="19" cm="1">
        <f t="array" ref="J894">IFERROR(IF(_xlfn.XLOOKUP(L894,NC導入施設!B:B,NC導入施設!E:E)=0,_xlfn.IFS(H894&lt;=5,0,H894&lt;=10,1,H894&lt;=15,2,H894&gt;=16,3),"Null"),"-")</f>
        <v>0</v>
      </c>
      <c r="K894" s="61"/>
      <c r="L894" s="1">
        <v>2114561100</v>
      </c>
    </row>
    <row r="895" spans="1:12" ht="18" customHeight="1" x14ac:dyDescent="0.45">
      <c r="A895" s="8">
        <v>889</v>
      </c>
      <c r="B895" s="35" t="str">
        <f t="shared" si="368"/>
        <v>埼玉千葉本部</v>
      </c>
      <c r="C895" s="35" t="str">
        <f t="shared" si="368"/>
        <v>ラヴィーレ入間</v>
      </c>
      <c r="D895" s="9" t="s">
        <v>6</v>
      </c>
      <c r="E895" s="10">
        <v>5</v>
      </c>
      <c r="F895" s="12">
        <v>10</v>
      </c>
      <c r="G895" s="12">
        <v>2</v>
      </c>
      <c r="H895" s="10">
        <f t="shared" si="346"/>
        <v>10</v>
      </c>
      <c r="I895" s="38"/>
      <c r="J895" s="19" cm="1">
        <f t="array" ref="J895">IFERROR(IF(_xlfn.XLOOKUP(L895,NC導入施設!B:B,NC導入施設!E:E)=0,_xlfn.IFS(H895&lt;=5,0,H895&lt;=10,1,H895&lt;=15,2,H895&gt;=16,3),"Null"),"-")</f>
        <v>1</v>
      </c>
      <c r="K895" s="61"/>
      <c r="L895" s="1">
        <v>2114561100</v>
      </c>
    </row>
    <row r="896" spans="1:12" ht="18" customHeight="1" x14ac:dyDescent="0.45">
      <c r="A896" s="8">
        <v>890</v>
      </c>
      <c r="B896" s="36" t="str">
        <f t="shared" si="368"/>
        <v>埼玉千葉本部</v>
      </c>
      <c r="C896" s="36" t="str">
        <f t="shared" si="368"/>
        <v>ラヴィーレ入間</v>
      </c>
      <c r="D896" s="9" t="s">
        <v>2</v>
      </c>
      <c r="E896" s="10">
        <v>2</v>
      </c>
      <c r="F896" s="12">
        <v>6</v>
      </c>
      <c r="G896" s="12">
        <v>3</v>
      </c>
      <c r="H896" s="10">
        <f t="shared" si="346"/>
        <v>6</v>
      </c>
      <c r="I896" s="39"/>
      <c r="J896" s="19" cm="1">
        <f t="array" ref="J896">IFERROR(IF(_xlfn.XLOOKUP(L896,NC導入施設!B:B,NC導入施設!E:E)=0,_xlfn.IFS(H896&lt;=5,0,H896&lt;=10,1,H896&lt;=15,2,H896&gt;=16,3),"Null"),"-")</f>
        <v>1</v>
      </c>
      <c r="K896" s="62"/>
      <c r="L896" s="1">
        <v>2114561100</v>
      </c>
    </row>
    <row r="897" spans="1:12" ht="18" customHeight="1" x14ac:dyDescent="0.45">
      <c r="A897" s="13">
        <v>891</v>
      </c>
      <c r="B897" s="40" t="s">
        <v>71</v>
      </c>
      <c r="C897" s="40" t="s">
        <v>296</v>
      </c>
      <c r="D897" s="14" t="s">
        <v>3</v>
      </c>
      <c r="E897" s="15">
        <v>1</v>
      </c>
      <c r="F897" s="17">
        <v>13</v>
      </c>
      <c r="G897" s="17">
        <v>13</v>
      </c>
      <c r="H897" s="15">
        <f t="shared" si="346"/>
        <v>13</v>
      </c>
      <c r="I897" s="43" cm="1">
        <f t="array" ref="I897">IF(J897="-","-",_xlfn.IFS(K897&lt;=5,0,K897&lt;=10,1,K897&lt;=15,2,K897&gt;=16,3))</f>
        <v>3</v>
      </c>
      <c r="J897" s="19" cm="1">
        <f t="array" ref="J897">IFERROR(IF(_xlfn.XLOOKUP(L897,NC導入施設!B:B,NC導入施設!E:E)=0,_xlfn.IFS(H897&lt;=5,0,H897&lt;=10,1,H897&lt;=15,2,H897&gt;=16,3),"Null"),"-")</f>
        <v>2</v>
      </c>
      <c r="K897" s="60">
        <f t="shared" ref="K897" si="369">IFERROR(SUM(H897:H901),"-")</f>
        <v>62</v>
      </c>
      <c r="L897" s="1">
        <v>2114591100</v>
      </c>
    </row>
    <row r="898" spans="1:12" ht="18" customHeight="1" x14ac:dyDescent="0.45">
      <c r="A898" s="13">
        <v>892</v>
      </c>
      <c r="B898" s="41" t="str">
        <f t="shared" ref="B898:C901" si="370">B897</f>
        <v>埼玉千葉本部</v>
      </c>
      <c r="C898" s="41" t="str">
        <f t="shared" si="370"/>
        <v>ラヴィーレ東所沢</v>
      </c>
      <c r="D898" s="14" t="s">
        <v>4</v>
      </c>
      <c r="E898" s="15">
        <v>1</v>
      </c>
      <c r="F898" s="17">
        <v>27</v>
      </c>
      <c r="G898" s="17">
        <v>27</v>
      </c>
      <c r="H898" s="15">
        <f t="shared" si="346"/>
        <v>27</v>
      </c>
      <c r="I898" s="44"/>
      <c r="J898" s="19" cm="1">
        <f t="array" ref="J898">IFERROR(IF(_xlfn.XLOOKUP(L898,NC導入施設!B:B,NC導入施設!E:E)=0,_xlfn.IFS(H898&lt;=5,0,H898&lt;=10,1,H898&lt;=15,2,H898&gt;=16,3),"Null"),"-")</f>
        <v>3</v>
      </c>
      <c r="K898" s="61"/>
      <c r="L898" s="1">
        <v>2114591100</v>
      </c>
    </row>
    <row r="899" spans="1:12" ht="18" customHeight="1" x14ac:dyDescent="0.45">
      <c r="A899" s="13">
        <v>893</v>
      </c>
      <c r="B899" s="41" t="str">
        <f t="shared" si="370"/>
        <v>埼玉千葉本部</v>
      </c>
      <c r="C899" s="41" t="str">
        <f t="shared" si="370"/>
        <v>ラヴィーレ東所沢</v>
      </c>
      <c r="D899" s="14" t="s">
        <v>5</v>
      </c>
      <c r="E899" s="15">
        <v>2</v>
      </c>
      <c r="F899" s="17">
        <v>22</v>
      </c>
      <c r="G899" s="17">
        <v>11</v>
      </c>
      <c r="H899" s="15">
        <f t="shared" si="346"/>
        <v>22</v>
      </c>
      <c r="I899" s="44"/>
      <c r="J899" s="19" cm="1">
        <f t="array" ref="J899">IFERROR(IF(_xlfn.XLOOKUP(L899,NC導入施設!B:B,NC導入施設!E:E)=0,_xlfn.IFS(H899&lt;=5,0,H899&lt;=10,1,H899&lt;=15,2,H899&gt;=16,3),"Null"),"-")</f>
        <v>3</v>
      </c>
      <c r="K899" s="61"/>
      <c r="L899" s="1">
        <v>2114591100</v>
      </c>
    </row>
    <row r="900" spans="1:12" ht="18" customHeight="1" x14ac:dyDescent="0.45">
      <c r="A900" s="13">
        <v>894</v>
      </c>
      <c r="B900" s="41" t="str">
        <f t="shared" si="370"/>
        <v>埼玉千葉本部</v>
      </c>
      <c r="C900" s="41" t="str">
        <f t="shared" si="370"/>
        <v>ラヴィーレ東所沢</v>
      </c>
      <c r="D900" s="14" t="s">
        <v>6</v>
      </c>
      <c r="E900" s="15">
        <v>3</v>
      </c>
      <c r="F900" s="17">
        <v>0</v>
      </c>
      <c r="G900" s="17">
        <v>0</v>
      </c>
      <c r="H900" s="15">
        <f t="shared" si="346"/>
        <v>0</v>
      </c>
      <c r="I900" s="44"/>
      <c r="J900" s="19" cm="1">
        <f t="array" ref="J900">IFERROR(IF(_xlfn.XLOOKUP(L900,NC導入施設!B:B,NC導入施設!E:E)=0,_xlfn.IFS(H900&lt;=5,0,H900&lt;=10,1,H900&lt;=15,2,H900&gt;=16,3),"Null"),"-")</f>
        <v>0</v>
      </c>
      <c r="K900" s="61"/>
      <c r="L900" s="1">
        <v>2114591100</v>
      </c>
    </row>
    <row r="901" spans="1:12" ht="18" customHeight="1" x14ac:dyDescent="0.45">
      <c r="A901" s="13">
        <v>895</v>
      </c>
      <c r="B901" s="42" t="str">
        <f t="shared" si="370"/>
        <v>埼玉千葉本部</v>
      </c>
      <c r="C901" s="42" t="str">
        <f t="shared" si="370"/>
        <v>ラヴィーレ東所沢</v>
      </c>
      <c r="D901" s="14" t="s">
        <v>2</v>
      </c>
      <c r="E901" s="15">
        <v>2</v>
      </c>
      <c r="F901" s="17">
        <v>0</v>
      </c>
      <c r="G901" s="17">
        <v>0</v>
      </c>
      <c r="H901" s="15">
        <f t="shared" si="346"/>
        <v>0</v>
      </c>
      <c r="I901" s="45"/>
      <c r="J901" s="19" cm="1">
        <f t="array" ref="J901">IFERROR(IF(_xlfn.XLOOKUP(L901,NC導入施設!B:B,NC導入施設!E:E)=0,_xlfn.IFS(H901&lt;=5,0,H901&lt;=10,1,H901&lt;=15,2,H901&gt;=16,3),"Null"),"-")</f>
        <v>0</v>
      </c>
      <c r="K901" s="62"/>
      <c r="L901" s="1">
        <v>2114591100</v>
      </c>
    </row>
    <row r="902" spans="1:12" ht="18" customHeight="1" x14ac:dyDescent="0.45">
      <c r="A902" s="8">
        <v>896</v>
      </c>
      <c r="B902" s="34" t="s">
        <v>71</v>
      </c>
      <c r="C902" s="34" t="s">
        <v>297</v>
      </c>
      <c r="D902" s="9" t="s">
        <v>3</v>
      </c>
      <c r="E902" s="10">
        <v>1</v>
      </c>
      <c r="F902" s="12">
        <v>4</v>
      </c>
      <c r="G902" s="12">
        <v>4</v>
      </c>
      <c r="H902" s="10">
        <f t="shared" si="346"/>
        <v>4</v>
      </c>
      <c r="I902" s="37" cm="1">
        <f t="array" ref="I902">IF(J902="-","-",_xlfn.IFS(K902&lt;=5,0,K902&lt;=10,1,K902&lt;=15,2,K902&gt;=16,3))</f>
        <v>2</v>
      </c>
      <c r="J902" s="19" cm="1">
        <f t="array" ref="J902">IFERROR(IF(_xlfn.XLOOKUP(L902,NC導入施設!B:B,NC導入施設!E:E)=0,_xlfn.IFS(H902&lt;=5,0,H902&lt;=10,1,H902&lt;=15,2,H902&gt;=16,3),"Null"),"-")</f>
        <v>0</v>
      </c>
      <c r="K902" s="60">
        <f t="shared" ref="K902" si="371">IFERROR(SUM(H902:H906),"-")</f>
        <v>11</v>
      </c>
      <c r="L902" s="1">
        <v>2117911100</v>
      </c>
    </row>
    <row r="903" spans="1:12" ht="18" customHeight="1" x14ac:dyDescent="0.45">
      <c r="A903" s="8">
        <v>897</v>
      </c>
      <c r="B903" s="35" t="str">
        <f t="shared" ref="B903:C906" si="372">B902</f>
        <v>埼玉千葉本部</v>
      </c>
      <c r="C903" s="35" t="str">
        <f t="shared" si="372"/>
        <v>ラヴィーレ北浦和</v>
      </c>
      <c r="D903" s="9" t="s">
        <v>4</v>
      </c>
      <c r="E903" s="10">
        <v>1</v>
      </c>
      <c r="F903" s="12">
        <v>0</v>
      </c>
      <c r="G903" s="12">
        <v>0</v>
      </c>
      <c r="H903" s="10">
        <f t="shared" si="346"/>
        <v>0</v>
      </c>
      <c r="I903" s="38"/>
      <c r="J903" s="19" cm="1">
        <f t="array" ref="J903">IFERROR(IF(_xlfn.XLOOKUP(L903,NC導入施設!B:B,NC導入施設!E:E)=0,_xlfn.IFS(H903&lt;=5,0,H903&lt;=10,1,H903&lt;=15,2,H903&gt;=16,3),"Null"),"-")</f>
        <v>0</v>
      </c>
      <c r="K903" s="61"/>
      <c r="L903" s="1">
        <v>2117911100</v>
      </c>
    </row>
    <row r="904" spans="1:12" ht="18" customHeight="1" x14ac:dyDescent="0.45">
      <c r="A904" s="8">
        <v>898</v>
      </c>
      <c r="B904" s="35" t="str">
        <f t="shared" si="372"/>
        <v>埼玉千葉本部</v>
      </c>
      <c r="C904" s="35" t="str">
        <f t="shared" si="372"/>
        <v>ラヴィーレ北浦和</v>
      </c>
      <c r="D904" s="9" t="s">
        <v>5</v>
      </c>
      <c r="E904" s="10">
        <v>2</v>
      </c>
      <c r="F904" s="12">
        <v>0</v>
      </c>
      <c r="G904" s="12">
        <v>0</v>
      </c>
      <c r="H904" s="10">
        <f t="shared" ref="H904:H967" si="373">F904</f>
        <v>0</v>
      </c>
      <c r="I904" s="38"/>
      <c r="J904" s="19" cm="1">
        <f t="array" ref="J904">IFERROR(IF(_xlfn.XLOOKUP(L904,NC導入施設!B:B,NC導入施設!E:E)=0,_xlfn.IFS(H904&lt;=5,0,H904&lt;=10,1,H904&lt;=15,2,H904&gt;=16,3),"Null"),"-")</f>
        <v>0</v>
      </c>
      <c r="K904" s="61"/>
      <c r="L904" s="1">
        <v>2117911100</v>
      </c>
    </row>
    <row r="905" spans="1:12" ht="18" customHeight="1" x14ac:dyDescent="0.45">
      <c r="A905" s="8">
        <v>899</v>
      </c>
      <c r="B905" s="35" t="str">
        <f t="shared" si="372"/>
        <v>埼玉千葉本部</v>
      </c>
      <c r="C905" s="35" t="str">
        <f t="shared" si="372"/>
        <v>ラヴィーレ北浦和</v>
      </c>
      <c r="D905" s="9" t="s">
        <v>6</v>
      </c>
      <c r="E905" s="10">
        <v>4</v>
      </c>
      <c r="F905" s="12">
        <v>0</v>
      </c>
      <c r="G905" s="12">
        <v>0</v>
      </c>
      <c r="H905" s="10">
        <f t="shared" si="373"/>
        <v>0</v>
      </c>
      <c r="I905" s="38"/>
      <c r="J905" s="19" cm="1">
        <f t="array" ref="J905">IFERROR(IF(_xlfn.XLOOKUP(L905,NC導入施設!B:B,NC導入施設!E:E)=0,_xlfn.IFS(H905&lt;=5,0,H905&lt;=10,1,H905&lt;=15,2,H905&gt;=16,3),"Null"),"-")</f>
        <v>0</v>
      </c>
      <c r="K905" s="61"/>
      <c r="L905" s="1">
        <v>2117911100</v>
      </c>
    </row>
    <row r="906" spans="1:12" ht="18" customHeight="1" x14ac:dyDescent="0.45">
      <c r="A906" s="8">
        <v>900</v>
      </c>
      <c r="B906" s="36" t="str">
        <f t="shared" si="372"/>
        <v>埼玉千葉本部</v>
      </c>
      <c r="C906" s="36" t="str">
        <f t="shared" si="372"/>
        <v>ラヴィーレ北浦和</v>
      </c>
      <c r="D906" s="9" t="s">
        <v>2</v>
      </c>
      <c r="E906" s="10">
        <v>2</v>
      </c>
      <c r="F906" s="12">
        <v>7</v>
      </c>
      <c r="G906" s="12">
        <v>3.5</v>
      </c>
      <c r="H906" s="10">
        <f t="shared" si="373"/>
        <v>7</v>
      </c>
      <c r="I906" s="39"/>
      <c r="J906" s="19" cm="1">
        <f t="array" ref="J906">IFERROR(IF(_xlfn.XLOOKUP(L906,NC導入施設!B:B,NC導入施設!E:E)=0,_xlfn.IFS(H906&lt;=5,0,H906&lt;=10,1,H906&lt;=15,2,H906&gt;=16,3),"Null"),"-")</f>
        <v>1</v>
      </c>
      <c r="K906" s="62"/>
      <c r="L906" s="1">
        <v>2117911100</v>
      </c>
    </row>
    <row r="907" spans="1:12" ht="18" customHeight="1" x14ac:dyDescent="0.45">
      <c r="A907" s="13">
        <v>901</v>
      </c>
      <c r="B907" s="40" t="s">
        <v>71</v>
      </c>
      <c r="C907" s="40" t="s">
        <v>175</v>
      </c>
      <c r="D907" s="14" t="s">
        <v>3</v>
      </c>
      <c r="E907" s="15">
        <v>1</v>
      </c>
      <c r="F907" s="17">
        <v>9</v>
      </c>
      <c r="G907" s="17">
        <v>9</v>
      </c>
      <c r="H907" s="15">
        <f t="shared" si="373"/>
        <v>9</v>
      </c>
      <c r="I907" s="43" cm="1">
        <f t="array" ref="I907">IF(J907="-","-",_xlfn.IFS(K907&lt;=5,0,K907&lt;=10,1,K907&lt;=15,2,K907&gt;=16,3))</f>
        <v>3</v>
      </c>
      <c r="J907" s="19" cm="1">
        <f t="array" ref="J907">IFERROR(IF(_xlfn.XLOOKUP(L907,NC導入施設!B:B,NC導入施設!E:E)=0,_xlfn.IFS(H907&lt;=5,0,H907&lt;=10,1,H907&lt;=15,2,H907&gt;=16,3),"Null"),"-")</f>
        <v>1</v>
      </c>
      <c r="K907" s="60">
        <f t="shared" ref="K907" si="374">IFERROR(SUM(H907:H911),"-")</f>
        <v>33</v>
      </c>
      <c r="L907" s="1">
        <v>2117921100</v>
      </c>
    </row>
    <row r="908" spans="1:12" ht="18" customHeight="1" x14ac:dyDescent="0.45">
      <c r="A908" s="13">
        <v>902</v>
      </c>
      <c r="B908" s="41" t="str">
        <f t="shared" ref="B908:C911" si="375">B907</f>
        <v>埼玉千葉本部</v>
      </c>
      <c r="C908" s="41" t="str">
        <f t="shared" si="375"/>
        <v>そんぽの家　大和田</v>
      </c>
      <c r="D908" s="14" t="s">
        <v>4</v>
      </c>
      <c r="E908" s="15">
        <v>1</v>
      </c>
      <c r="F908" s="17">
        <v>8</v>
      </c>
      <c r="G908" s="17">
        <v>8</v>
      </c>
      <c r="H908" s="15">
        <f t="shared" si="373"/>
        <v>8</v>
      </c>
      <c r="I908" s="44"/>
      <c r="J908" s="19" cm="1">
        <f t="array" ref="J908">IFERROR(IF(_xlfn.XLOOKUP(L908,NC導入施設!B:B,NC導入施設!E:E)=0,_xlfn.IFS(H908&lt;=5,0,H908&lt;=10,1,H908&lt;=15,2,H908&gt;=16,3),"Null"),"-")</f>
        <v>1</v>
      </c>
      <c r="K908" s="61"/>
      <c r="L908" s="1">
        <v>2117921100</v>
      </c>
    </row>
    <row r="909" spans="1:12" ht="18" customHeight="1" x14ac:dyDescent="0.45">
      <c r="A909" s="13">
        <v>903</v>
      </c>
      <c r="B909" s="41" t="str">
        <f t="shared" si="375"/>
        <v>埼玉千葉本部</v>
      </c>
      <c r="C909" s="41" t="str">
        <f t="shared" si="375"/>
        <v>そんぽの家　大和田</v>
      </c>
      <c r="D909" s="14" t="s">
        <v>5</v>
      </c>
      <c r="E909" s="15">
        <v>1</v>
      </c>
      <c r="F909" s="17">
        <v>0</v>
      </c>
      <c r="G909" s="17">
        <v>0</v>
      </c>
      <c r="H909" s="15">
        <f t="shared" si="373"/>
        <v>0</v>
      </c>
      <c r="I909" s="44"/>
      <c r="J909" s="19" cm="1">
        <f t="array" ref="J909">IFERROR(IF(_xlfn.XLOOKUP(L909,NC導入施設!B:B,NC導入施設!E:E)=0,_xlfn.IFS(H909&lt;=5,0,H909&lt;=10,1,H909&lt;=15,2,H909&gt;=16,3),"Null"),"-")</f>
        <v>0</v>
      </c>
      <c r="K909" s="61"/>
      <c r="L909" s="1">
        <v>2117921100</v>
      </c>
    </row>
    <row r="910" spans="1:12" ht="18" customHeight="1" x14ac:dyDescent="0.45">
      <c r="A910" s="13">
        <v>904</v>
      </c>
      <c r="B910" s="41" t="str">
        <f t="shared" si="375"/>
        <v>埼玉千葉本部</v>
      </c>
      <c r="C910" s="41" t="str">
        <f t="shared" si="375"/>
        <v>そんぽの家　大和田</v>
      </c>
      <c r="D910" s="14" t="s">
        <v>6</v>
      </c>
      <c r="E910" s="15">
        <v>4</v>
      </c>
      <c r="F910" s="17">
        <v>1</v>
      </c>
      <c r="G910" s="17">
        <v>0.3</v>
      </c>
      <c r="H910" s="15">
        <f t="shared" si="373"/>
        <v>1</v>
      </c>
      <c r="I910" s="44"/>
      <c r="J910" s="19" cm="1">
        <f t="array" ref="J910">IFERROR(IF(_xlfn.XLOOKUP(L910,NC導入施設!B:B,NC導入施設!E:E)=0,_xlfn.IFS(H910&lt;=5,0,H910&lt;=10,1,H910&lt;=15,2,H910&gt;=16,3),"Null"),"-")</f>
        <v>0</v>
      </c>
      <c r="K910" s="61"/>
      <c r="L910" s="1">
        <v>2117921100</v>
      </c>
    </row>
    <row r="911" spans="1:12" ht="18" customHeight="1" x14ac:dyDescent="0.45">
      <c r="A911" s="13">
        <v>905</v>
      </c>
      <c r="B911" s="42" t="str">
        <f t="shared" si="375"/>
        <v>埼玉千葉本部</v>
      </c>
      <c r="C911" s="42" t="str">
        <f t="shared" si="375"/>
        <v>そんぽの家　大和田</v>
      </c>
      <c r="D911" s="14" t="s">
        <v>2</v>
      </c>
      <c r="E911" s="15">
        <v>1</v>
      </c>
      <c r="F911" s="17">
        <v>15</v>
      </c>
      <c r="G911" s="17">
        <v>15</v>
      </c>
      <c r="H911" s="15">
        <f t="shared" si="373"/>
        <v>15</v>
      </c>
      <c r="I911" s="45"/>
      <c r="J911" s="19" cm="1">
        <f t="array" ref="J911">IFERROR(IF(_xlfn.XLOOKUP(L911,NC導入施設!B:B,NC導入施設!E:E)=0,_xlfn.IFS(H911&lt;=5,0,H911&lt;=10,1,H911&lt;=15,2,H911&gt;=16,3),"Null"),"-")</f>
        <v>2</v>
      </c>
      <c r="K911" s="62"/>
      <c r="L911" s="1">
        <v>2117921100</v>
      </c>
    </row>
    <row r="912" spans="1:12" ht="18" customHeight="1" x14ac:dyDescent="0.45">
      <c r="A912" s="8">
        <v>906</v>
      </c>
      <c r="B912" s="34" t="s">
        <v>71</v>
      </c>
      <c r="C912" s="34" t="s">
        <v>77</v>
      </c>
      <c r="D912" s="9" t="s">
        <v>3</v>
      </c>
      <c r="E912" s="10">
        <v>1</v>
      </c>
      <c r="F912" s="12">
        <v>3</v>
      </c>
      <c r="G912" s="12">
        <v>3</v>
      </c>
      <c r="H912" s="10">
        <f t="shared" si="373"/>
        <v>3</v>
      </c>
      <c r="I912" s="37" cm="1">
        <f t="array" ref="I912">IF(J912="-","-",_xlfn.IFS(K912&lt;=5,0,K912&lt;=10,1,K912&lt;=15,2,K912&gt;=16,3))</f>
        <v>3</v>
      </c>
      <c r="J912" s="19" cm="1">
        <f t="array" ref="J912">IFERROR(IF(_xlfn.XLOOKUP(L912,NC導入施設!B:B,NC導入施設!E:E)=0,_xlfn.IFS(H912&lt;=5,0,H912&lt;=10,1,H912&lt;=15,2,H912&gt;=16,3),"Null"),"-")</f>
        <v>0</v>
      </c>
      <c r="K912" s="60">
        <f t="shared" ref="K912" si="376">IFERROR(SUM(H912:H916),"-")</f>
        <v>33</v>
      </c>
      <c r="L912" s="1">
        <v>2213491200</v>
      </c>
    </row>
    <row r="913" spans="1:12" ht="18" customHeight="1" x14ac:dyDescent="0.45">
      <c r="A913" s="8">
        <v>907</v>
      </c>
      <c r="B913" s="35" t="str">
        <f t="shared" ref="B913:C916" si="377">B912</f>
        <v>埼玉千葉本部</v>
      </c>
      <c r="C913" s="35" t="str">
        <f t="shared" si="377"/>
        <v>そんぽの家　柏豊四季</v>
      </c>
      <c r="D913" s="9" t="s">
        <v>4</v>
      </c>
      <c r="E913" s="10">
        <v>1</v>
      </c>
      <c r="F913" s="12">
        <v>17</v>
      </c>
      <c r="G913" s="12">
        <v>17</v>
      </c>
      <c r="H913" s="10">
        <f t="shared" si="373"/>
        <v>17</v>
      </c>
      <c r="I913" s="38"/>
      <c r="J913" s="19" cm="1">
        <f t="array" ref="J913">IFERROR(IF(_xlfn.XLOOKUP(L913,NC導入施設!B:B,NC導入施設!E:E)=0,_xlfn.IFS(H913&lt;=5,0,H913&lt;=10,1,H913&lt;=15,2,H913&gt;=16,3),"Null"),"-")</f>
        <v>3</v>
      </c>
      <c r="K913" s="61"/>
      <c r="L913" s="1">
        <v>2213491200</v>
      </c>
    </row>
    <row r="914" spans="1:12" ht="18" customHeight="1" x14ac:dyDescent="0.45">
      <c r="A914" s="8">
        <v>908</v>
      </c>
      <c r="B914" s="35" t="str">
        <f t="shared" si="377"/>
        <v>埼玉千葉本部</v>
      </c>
      <c r="C914" s="35" t="str">
        <f t="shared" si="377"/>
        <v>そんぽの家　柏豊四季</v>
      </c>
      <c r="D914" s="9" t="s">
        <v>5</v>
      </c>
      <c r="E914" s="10">
        <v>2</v>
      </c>
      <c r="F914" s="12">
        <v>7</v>
      </c>
      <c r="G914" s="12">
        <v>3.5</v>
      </c>
      <c r="H914" s="10">
        <f t="shared" si="373"/>
        <v>7</v>
      </c>
      <c r="I914" s="38"/>
      <c r="J914" s="19" cm="1">
        <f t="array" ref="J914">IFERROR(IF(_xlfn.XLOOKUP(L914,NC導入施設!B:B,NC導入施設!E:E)=0,_xlfn.IFS(H914&lt;=5,0,H914&lt;=10,1,H914&lt;=15,2,H914&gt;=16,3),"Null"),"-")</f>
        <v>1</v>
      </c>
      <c r="K914" s="61"/>
      <c r="L914" s="1">
        <v>2213491200</v>
      </c>
    </row>
    <row r="915" spans="1:12" ht="18" customHeight="1" x14ac:dyDescent="0.45">
      <c r="A915" s="8">
        <v>909</v>
      </c>
      <c r="B915" s="35" t="str">
        <f t="shared" si="377"/>
        <v>埼玉千葉本部</v>
      </c>
      <c r="C915" s="35" t="str">
        <f t="shared" si="377"/>
        <v>そんぽの家　柏豊四季</v>
      </c>
      <c r="D915" s="9" t="s">
        <v>6</v>
      </c>
      <c r="E915" s="10">
        <v>5</v>
      </c>
      <c r="F915" s="12">
        <v>1</v>
      </c>
      <c r="G915" s="12">
        <v>0.2</v>
      </c>
      <c r="H915" s="10">
        <f t="shared" si="373"/>
        <v>1</v>
      </c>
      <c r="I915" s="38"/>
      <c r="J915" s="19" cm="1">
        <f t="array" ref="J915">IFERROR(IF(_xlfn.XLOOKUP(L915,NC導入施設!B:B,NC導入施設!E:E)=0,_xlfn.IFS(H915&lt;=5,0,H915&lt;=10,1,H915&lt;=15,2,H915&gt;=16,3),"Null"),"-")</f>
        <v>0</v>
      </c>
      <c r="K915" s="61"/>
      <c r="L915" s="1">
        <v>2213491200</v>
      </c>
    </row>
    <row r="916" spans="1:12" ht="18" customHeight="1" x14ac:dyDescent="0.45">
      <c r="A916" s="8">
        <v>910</v>
      </c>
      <c r="B916" s="36" t="str">
        <f t="shared" si="377"/>
        <v>埼玉千葉本部</v>
      </c>
      <c r="C916" s="36" t="str">
        <f t="shared" si="377"/>
        <v>そんぽの家　柏豊四季</v>
      </c>
      <c r="D916" s="9" t="s">
        <v>2</v>
      </c>
      <c r="E916" s="10">
        <v>1</v>
      </c>
      <c r="F916" s="12">
        <v>5</v>
      </c>
      <c r="G916" s="12">
        <v>5</v>
      </c>
      <c r="H916" s="10">
        <f t="shared" si="373"/>
        <v>5</v>
      </c>
      <c r="I916" s="39"/>
      <c r="J916" s="19" cm="1">
        <f t="array" ref="J916">IFERROR(IF(_xlfn.XLOOKUP(L916,NC導入施設!B:B,NC導入施設!E:E)=0,_xlfn.IFS(H916&lt;=5,0,H916&lt;=10,1,H916&lt;=15,2,H916&gt;=16,3),"Null"),"-")</f>
        <v>0</v>
      </c>
      <c r="K916" s="62"/>
      <c r="L916" s="1">
        <v>2213491200</v>
      </c>
    </row>
    <row r="917" spans="1:12" ht="18" customHeight="1" x14ac:dyDescent="0.45">
      <c r="A917" s="13">
        <v>911</v>
      </c>
      <c r="B917" s="40" t="s">
        <v>71</v>
      </c>
      <c r="C917" s="40" t="s">
        <v>78</v>
      </c>
      <c r="D917" s="14" t="s">
        <v>3</v>
      </c>
      <c r="E917" s="15">
        <v>1</v>
      </c>
      <c r="F917" s="17">
        <v>17</v>
      </c>
      <c r="G917" s="17">
        <v>17</v>
      </c>
      <c r="H917" s="15">
        <f t="shared" si="373"/>
        <v>17</v>
      </c>
      <c r="I917" s="43" cm="1">
        <f t="array" ref="I917">IF(J917="-","-",_xlfn.IFS(K917&lt;=5,0,K917&lt;=10,1,K917&lt;=15,2,K917&gt;=16,3))</f>
        <v>3</v>
      </c>
      <c r="J917" s="19" cm="1">
        <f t="array" ref="J917">IFERROR(IF(_xlfn.XLOOKUP(L917,NC導入施設!B:B,NC導入施設!E:E)=0,_xlfn.IFS(H917&lt;=5,0,H917&lt;=10,1,H917&lt;=15,2,H917&gt;=16,3),"Null"),"-")</f>
        <v>3</v>
      </c>
      <c r="K917" s="60">
        <f t="shared" ref="K917" si="378">IFERROR(SUM(H917:H921),"-")</f>
        <v>19</v>
      </c>
      <c r="L917" s="1">
        <v>2213531200</v>
      </c>
    </row>
    <row r="918" spans="1:12" ht="18" customHeight="1" x14ac:dyDescent="0.45">
      <c r="A918" s="13">
        <v>912</v>
      </c>
      <c r="B918" s="41" t="str">
        <f t="shared" ref="B918:C921" si="379">B917</f>
        <v>埼玉千葉本部</v>
      </c>
      <c r="C918" s="41" t="str">
        <f t="shared" si="379"/>
        <v>そんぽの家　松戸五香</v>
      </c>
      <c r="D918" s="14" t="s">
        <v>4</v>
      </c>
      <c r="E918" s="15">
        <v>1</v>
      </c>
      <c r="F918" s="17">
        <v>2</v>
      </c>
      <c r="G918" s="17">
        <v>2</v>
      </c>
      <c r="H918" s="15">
        <f t="shared" si="373"/>
        <v>2</v>
      </c>
      <c r="I918" s="44"/>
      <c r="J918" s="19" cm="1">
        <f t="array" ref="J918">IFERROR(IF(_xlfn.XLOOKUP(L918,NC導入施設!B:B,NC導入施設!E:E)=0,_xlfn.IFS(H918&lt;=5,0,H918&lt;=10,1,H918&lt;=15,2,H918&gt;=16,3),"Null"),"-")</f>
        <v>0</v>
      </c>
      <c r="K918" s="61"/>
      <c r="L918" s="1">
        <v>2213531200</v>
      </c>
    </row>
    <row r="919" spans="1:12" ht="18" customHeight="1" x14ac:dyDescent="0.45">
      <c r="A919" s="13">
        <v>913</v>
      </c>
      <c r="B919" s="41" t="str">
        <f t="shared" si="379"/>
        <v>埼玉千葉本部</v>
      </c>
      <c r="C919" s="41" t="str">
        <f t="shared" si="379"/>
        <v>そんぽの家　松戸五香</v>
      </c>
      <c r="D919" s="14" t="s">
        <v>5</v>
      </c>
      <c r="E919" s="15">
        <v>1</v>
      </c>
      <c r="F919" s="17">
        <v>0</v>
      </c>
      <c r="G919" s="17">
        <v>0</v>
      </c>
      <c r="H919" s="15">
        <f t="shared" si="373"/>
        <v>0</v>
      </c>
      <c r="I919" s="44"/>
      <c r="J919" s="19" cm="1">
        <f t="array" ref="J919">IFERROR(IF(_xlfn.XLOOKUP(L919,NC導入施設!B:B,NC導入施設!E:E)=0,_xlfn.IFS(H919&lt;=5,0,H919&lt;=10,1,H919&lt;=15,2,H919&gt;=16,3),"Null"),"-")</f>
        <v>0</v>
      </c>
      <c r="K919" s="61"/>
      <c r="L919" s="1">
        <v>2213531200</v>
      </c>
    </row>
    <row r="920" spans="1:12" ht="18" customHeight="1" x14ac:dyDescent="0.45">
      <c r="A920" s="13">
        <v>914</v>
      </c>
      <c r="B920" s="41" t="str">
        <f t="shared" si="379"/>
        <v>埼玉千葉本部</v>
      </c>
      <c r="C920" s="41" t="str">
        <f t="shared" si="379"/>
        <v>そんぽの家　松戸五香</v>
      </c>
      <c r="D920" s="14" t="s">
        <v>6</v>
      </c>
      <c r="E920" s="15">
        <v>4</v>
      </c>
      <c r="F920" s="17">
        <v>0</v>
      </c>
      <c r="G920" s="17">
        <v>0</v>
      </c>
      <c r="H920" s="15">
        <f t="shared" si="373"/>
        <v>0</v>
      </c>
      <c r="I920" s="44"/>
      <c r="J920" s="19" cm="1">
        <f t="array" ref="J920">IFERROR(IF(_xlfn.XLOOKUP(L920,NC導入施設!B:B,NC導入施設!E:E)=0,_xlfn.IFS(H920&lt;=5,0,H920&lt;=10,1,H920&lt;=15,2,H920&gt;=16,3),"Null"),"-")</f>
        <v>0</v>
      </c>
      <c r="K920" s="61"/>
      <c r="L920" s="1">
        <v>2213531200</v>
      </c>
    </row>
    <row r="921" spans="1:12" ht="18" customHeight="1" x14ac:dyDescent="0.45">
      <c r="A921" s="13">
        <v>915</v>
      </c>
      <c r="B921" s="42" t="str">
        <f t="shared" si="379"/>
        <v>埼玉千葉本部</v>
      </c>
      <c r="C921" s="42" t="str">
        <f t="shared" si="379"/>
        <v>そんぽの家　松戸五香</v>
      </c>
      <c r="D921" s="14" t="s">
        <v>2</v>
      </c>
      <c r="E921" s="15">
        <v>2</v>
      </c>
      <c r="F921" s="17">
        <v>0</v>
      </c>
      <c r="G921" s="17">
        <v>0</v>
      </c>
      <c r="H921" s="15">
        <f t="shared" si="373"/>
        <v>0</v>
      </c>
      <c r="I921" s="45"/>
      <c r="J921" s="19" cm="1">
        <f t="array" ref="J921">IFERROR(IF(_xlfn.XLOOKUP(L921,NC導入施設!B:B,NC導入施設!E:E)=0,_xlfn.IFS(H921&lt;=5,0,H921&lt;=10,1,H921&lt;=15,2,H921&gt;=16,3),"Null"),"-")</f>
        <v>0</v>
      </c>
      <c r="K921" s="62"/>
      <c r="L921" s="1">
        <v>2213531200</v>
      </c>
    </row>
    <row r="922" spans="1:12" ht="18" customHeight="1" x14ac:dyDescent="0.45">
      <c r="A922" s="8">
        <v>916</v>
      </c>
      <c r="B922" s="34" t="s">
        <v>71</v>
      </c>
      <c r="C922" s="34" t="s">
        <v>298</v>
      </c>
      <c r="D922" s="9" t="s">
        <v>3</v>
      </c>
      <c r="E922" s="10">
        <v>1</v>
      </c>
      <c r="F922" s="12">
        <v>3</v>
      </c>
      <c r="G922" s="12">
        <v>3</v>
      </c>
      <c r="H922" s="10">
        <f t="shared" si="373"/>
        <v>3</v>
      </c>
      <c r="I922" s="37" cm="1">
        <f t="array" ref="I922">IF(J922="-","-",_xlfn.IFS(K922&lt;=5,0,K922&lt;=10,1,K922&lt;=15,2,K922&gt;=16,3))</f>
        <v>1</v>
      </c>
      <c r="J922" s="19" cm="1">
        <f t="array" ref="J922">IFERROR(IF(_xlfn.XLOOKUP(L922,NC導入施設!B:B,NC導入施設!E:E)=0,_xlfn.IFS(H922&lt;=5,0,H922&lt;=10,1,H922&lt;=15,2,H922&gt;=16,3),"Null"),"-")</f>
        <v>0</v>
      </c>
      <c r="K922" s="60">
        <f t="shared" ref="K922" si="380">IFERROR(SUM(H922:H926),"-")</f>
        <v>7</v>
      </c>
      <c r="L922" s="1">
        <v>2213541100</v>
      </c>
    </row>
    <row r="923" spans="1:12" ht="18" customHeight="1" x14ac:dyDescent="0.45">
      <c r="A923" s="8">
        <v>917</v>
      </c>
      <c r="B923" s="35" t="str">
        <f t="shared" ref="B923:C926" si="381">B922</f>
        <v>埼玉千葉本部</v>
      </c>
      <c r="C923" s="35" t="str">
        <f t="shared" si="381"/>
        <v>ラヴィーレ東松戸</v>
      </c>
      <c r="D923" s="9" t="s">
        <v>4</v>
      </c>
      <c r="E923" s="10">
        <v>1</v>
      </c>
      <c r="F923" s="12">
        <v>3</v>
      </c>
      <c r="G923" s="12">
        <v>3</v>
      </c>
      <c r="H923" s="10">
        <f t="shared" si="373"/>
        <v>3</v>
      </c>
      <c r="I923" s="38"/>
      <c r="J923" s="19" cm="1">
        <f t="array" ref="J923">IFERROR(IF(_xlfn.XLOOKUP(L923,NC導入施設!B:B,NC導入施設!E:E)=0,_xlfn.IFS(H923&lt;=5,0,H923&lt;=10,1,H923&lt;=15,2,H923&gt;=16,3),"Null"),"-")</f>
        <v>0</v>
      </c>
      <c r="K923" s="61"/>
      <c r="L923" s="1">
        <v>2213541100</v>
      </c>
    </row>
    <row r="924" spans="1:12" ht="18" customHeight="1" x14ac:dyDescent="0.45">
      <c r="A924" s="8">
        <v>918</v>
      </c>
      <c r="B924" s="35" t="str">
        <f t="shared" si="381"/>
        <v>埼玉千葉本部</v>
      </c>
      <c r="C924" s="35" t="str">
        <f t="shared" si="381"/>
        <v>ラヴィーレ東松戸</v>
      </c>
      <c r="D924" s="9" t="s">
        <v>5</v>
      </c>
      <c r="E924" s="10">
        <v>3</v>
      </c>
      <c r="F924" s="12">
        <v>0</v>
      </c>
      <c r="G924" s="12">
        <v>0</v>
      </c>
      <c r="H924" s="10">
        <f t="shared" si="373"/>
        <v>0</v>
      </c>
      <c r="I924" s="38"/>
      <c r="J924" s="19" cm="1">
        <f t="array" ref="J924">IFERROR(IF(_xlfn.XLOOKUP(L924,NC導入施設!B:B,NC導入施設!E:E)=0,_xlfn.IFS(H924&lt;=5,0,H924&lt;=10,1,H924&lt;=15,2,H924&gt;=16,3),"Null"),"-")</f>
        <v>0</v>
      </c>
      <c r="K924" s="61"/>
      <c r="L924" s="1">
        <v>2213541100</v>
      </c>
    </row>
    <row r="925" spans="1:12" ht="18" customHeight="1" x14ac:dyDescent="0.45">
      <c r="A925" s="8">
        <v>919</v>
      </c>
      <c r="B925" s="35" t="str">
        <f t="shared" si="381"/>
        <v>埼玉千葉本部</v>
      </c>
      <c r="C925" s="35" t="str">
        <f t="shared" si="381"/>
        <v>ラヴィーレ東松戸</v>
      </c>
      <c r="D925" s="9" t="s">
        <v>6</v>
      </c>
      <c r="E925" s="10">
        <v>4</v>
      </c>
      <c r="F925" s="12">
        <v>0</v>
      </c>
      <c r="G925" s="12">
        <v>0</v>
      </c>
      <c r="H925" s="10">
        <f t="shared" si="373"/>
        <v>0</v>
      </c>
      <c r="I925" s="38"/>
      <c r="J925" s="19" cm="1">
        <f t="array" ref="J925">IFERROR(IF(_xlfn.XLOOKUP(L925,NC導入施設!B:B,NC導入施設!E:E)=0,_xlfn.IFS(H925&lt;=5,0,H925&lt;=10,1,H925&lt;=15,2,H925&gt;=16,3),"Null"),"-")</f>
        <v>0</v>
      </c>
      <c r="K925" s="61"/>
      <c r="L925" s="1">
        <v>2213541100</v>
      </c>
    </row>
    <row r="926" spans="1:12" ht="18" customHeight="1" x14ac:dyDescent="0.45">
      <c r="A926" s="8">
        <v>920</v>
      </c>
      <c r="B926" s="36" t="str">
        <f t="shared" si="381"/>
        <v>埼玉千葉本部</v>
      </c>
      <c r="C926" s="36" t="str">
        <f t="shared" si="381"/>
        <v>ラヴィーレ東松戸</v>
      </c>
      <c r="D926" s="9" t="s">
        <v>2</v>
      </c>
      <c r="E926" s="10">
        <v>3</v>
      </c>
      <c r="F926" s="12">
        <v>1</v>
      </c>
      <c r="G926" s="12">
        <v>0.3</v>
      </c>
      <c r="H926" s="10">
        <f t="shared" si="373"/>
        <v>1</v>
      </c>
      <c r="I926" s="39"/>
      <c r="J926" s="19" cm="1">
        <f t="array" ref="J926">IFERROR(IF(_xlfn.XLOOKUP(L926,NC導入施設!B:B,NC導入施設!E:E)=0,_xlfn.IFS(H926&lt;=5,0,H926&lt;=10,1,H926&lt;=15,2,H926&gt;=16,3),"Null"),"-")</f>
        <v>0</v>
      </c>
      <c r="K926" s="62"/>
      <c r="L926" s="1">
        <v>2213541100</v>
      </c>
    </row>
    <row r="927" spans="1:12" ht="18" customHeight="1" x14ac:dyDescent="0.45">
      <c r="A927" s="13">
        <v>921</v>
      </c>
      <c r="B927" s="40" t="s">
        <v>71</v>
      </c>
      <c r="C927" s="40" t="s">
        <v>299</v>
      </c>
      <c r="D927" s="14" t="s">
        <v>3</v>
      </c>
      <c r="E927" s="15">
        <v>1</v>
      </c>
      <c r="F927" s="17">
        <v>24</v>
      </c>
      <c r="G927" s="17">
        <v>24</v>
      </c>
      <c r="H927" s="15">
        <f t="shared" si="373"/>
        <v>24</v>
      </c>
      <c r="I927" s="43" cm="1">
        <f t="array" ref="I927">IF(J927="-","-",_xlfn.IFS(K927&lt;=5,0,K927&lt;=10,1,K927&lt;=15,2,K927&gt;=16,3))</f>
        <v>3</v>
      </c>
      <c r="J927" s="19" cm="1">
        <f t="array" ref="J927">IFERROR(IF(_xlfn.XLOOKUP(L927,NC導入施設!B:B,NC導入施設!E:E)=0,_xlfn.IFS(H927&lt;=5,0,H927&lt;=10,1,H927&lt;=15,2,H927&gt;=16,3),"Null"),"-")</f>
        <v>3</v>
      </c>
      <c r="K927" s="60">
        <f t="shared" ref="K927" si="382">IFERROR(SUM(H927:H931),"-")</f>
        <v>47</v>
      </c>
      <c r="L927" s="1">
        <v>2213571100</v>
      </c>
    </row>
    <row r="928" spans="1:12" ht="18" customHeight="1" x14ac:dyDescent="0.45">
      <c r="A928" s="13">
        <v>922</v>
      </c>
      <c r="B928" s="41" t="str">
        <f t="shared" ref="B928:C931" si="383">B927</f>
        <v>埼玉千葉本部</v>
      </c>
      <c r="C928" s="41" t="str">
        <f t="shared" si="383"/>
        <v>ラヴィーレ松戸</v>
      </c>
      <c r="D928" s="14" t="s">
        <v>4</v>
      </c>
      <c r="E928" s="15">
        <v>1</v>
      </c>
      <c r="F928" s="17">
        <v>20</v>
      </c>
      <c r="G928" s="17">
        <v>20</v>
      </c>
      <c r="H928" s="15">
        <f t="shared" si="373"/>
        <v>20</v>
      </c>
      <c r="I928" s="44"/>
      <c r="J928" s="19" cm="1">
        <f t="array" ref="J928">IFERROR(IF(_xlfn.XLOOKUP(L928,NC導入施設!B:B,NC導入施設!E:E)=0,_xlfn.IFS(H928&lt;=5,0,H928&lt;=10,1,H928&lt;=15,2,H928&gt;=16,3),"Null"),"-")</f>
        <v>3</v>
      </c>
      <c r="K928" s="61"/>
      <c r="L928" s="1">
        <v>2213571100</v>
      </c>
    </row>
    <row r="929" spans="1:12" ht="18" customHeight="1" x14ac:dyDescent="0.45">
      <c r="A929" s="13">
        <v>923</v>
      </c>
      <c r="B929" s="41" t="str">
        <f t="shared" si="383"/>
        <v>埼玉千葉本部</v>
      </c>
      <c r="C929" s="41" t="str">
        <f t="shared" si="383"/>
        <v>ラヴィーレ松戸</v>
      </c>
      <c r="D929" s="14" t="s">
        <v>5</v>
      </c>
      <c r="E929" s="15">
        <v>1</v>
      </c>
      <c r="F929" s="17">
        <v>0</v>
      </c>
      <c r="G929" s="17">
        <v>0</v>
      </c>
      <c r="H929" s="15">
        <f t="shared" si="373"/>
        <v>0</v>
      </c>
      <c r="I929" s="44"/>
      <c r="J929" s="19" cm="1">
        <f t="array" ref="J929">IFERROR(IF(_xlfn.XLOOKUP(L929,NC導入施設!B:B,NC導入施設!E:E)=0,_xlfn.IFS(H929&lt;=5,0,H929&lt;=10,1,H929&lt;=15,2,H929&gt;=16,3),"Null"),"-")</f>
        <v>0</v>
      </c>
      <c r="K929" s="61"/>
      <c r="L929" s="1">
        <v>2213571100</v>
      </c>
    </row>
    <row r="930" spans="1:12" ht="18" customHeight="1" x14ac:dyDescent="0.45">
      <c r="A930" s="13">
        <v>924</v>
      </c>
      <c r="B930" s="41" t="str">
        <f t="shared" si="383"/>
        <v>埼玉千葉本部</v>
      </c>
      <c r="C930" s="41" t="str">
        <f t="shared" si="383"/>
        <v>ラヴィーレ松戸</v>
      </c>
      <c r="D930" s="14" t="s">
        <v>6</v>
      </c>
      <c r="E930" s="15">
        <v>6</v>
      </c>
      <c r="F930" s="17">
        <v>3</v>
      </c>
      <c r="G930" s="17">
        <v>0.5</v>
      </c>
      <c r="H930" s="15">
        <f t="shared" si="373"/>
        <v>3</v>
      </c>
      <c r="I930" s="44"/>
      <c r="J930" s="19" cm="1">
        <f t="array" ref="J930">IFERROR(IF(_xlfn.XLOOKUP(L930,NC導入施設!B:B,NC導入施設!E:E)=0,_xlfn.IFS(H930&lt;=5,0,H930&lt;=10,1,H930&lt;=15,2,H930&gt;=16,3),"Null"),"-")</f>
        <v>0</v>
      </c>
      <c r="K930" s="61"/>
      <c r="L930" s="1">
        <v>2213571100</v>
      </c>
    </row>
    <row r="931" spans="1:12" ht="18" customHeight="1" x14ac:dyDescent="0.45">
      <c r="A931" s="13">
        <v>925</v>
      </c>
      <c r="B931" s="42" t="str">
        <f t="shared" si="383"/>
        <v>埼玉千葉本部</v>
      </c>
      <c r="C931" s="42" t="str">
        <f t="shared" si="383"/>
        <v>ラヴィーレ松戸</v>
      </c>
      <c r="D931" s="14" t="s">
        <v>2</v>
      </c>
      <c r="E931" s="15">
        <v>3</v>
      </c>
      <c r="F931" s="17">
        <v>0</v>
      </c>
      <c r="G931" s="17">
        <v>0</v>
      </c>
      <c r="H931" s="15">
        <f t="shared" si="373"/>
        <v>0</v>
      </c>
      <c r="I931" s="45"/>
      <c r="J931" s="19" cm="1">
        <f t="array" ref="J931">IFERROR(IF(_xlfn.XLOOKUP(L931,NC導入施設!B:B,NC導入施設!E:E)=0,_xlfn.IFS(H931&lt;=5,0,H931&lt;=10,1,H931&lt;=15,2,H931&gt;=16,3),"Null"),"-")</f>
        <v>0</v>
      </c>
      <c r="K931" s="62"/>
      <c r="L931" s="1">
        <v>2213571100</v>
      </c>
    </row>
    <row r="932" spans="1:12" ht="18" customHeight="1" x14ac:dyDescent="0.45">
      <c r="A932" s="31">
        <v>926</v>
      </c>
      <c r="B932" s="34" t="s">
        <v>71</v>
      </c>
      <c r="C932" s="34" t="s">
        <v>300</v>
      </c>
      <c r="D932" s="9" t="s">
        <v>3</v>
      </c>
      <c r="E932" s="10">
        <v>1</v>
      </c>
      <c r="F932" s="12">
        <v>16</v>
      </c>
      <c r="G932" s="12">
        <v>16</v>
      </c>
      <c r="H932" s="10">
        <f t="shared" si="373"/>
        <v>16</v>
      </c>
      <c r="I932" s="37" cm="1">
        <f t="array" ref="I932">IF(J932="-","-",_xlfn.IFS(K932&lt;=5,0,K932&lt;=10,1,K932&lt;=15,2,K932&gt;=16,3))</f>
        <v>3</v>
      </c>
      <c r="J932" s="19" cm="1">
        <f t="array" ref="J932">IFERROR(IF(_xlfn.XLOOKUP(L932,NC導入施設!B:B,NC導入施設!E:E)=0,_xlfn.IFS(H932&lt;=5,0,H932&lt;=10,1,H932&lt;=15,2,H932&gt;=16,3),"Null"),"-")</f>
        <v>3</v>
      </c>
      <c r="K932" s="60">
        <f t="shared" ref="K932" si="384">IFERROR(SUM(H932:H936),"-")</f>
        <v>29</v>
      </c>
      <c r="L932" s="1">
        <v>2213581100</v>
      </c>
    </row>
    <row r="933" spans="1:12" ht="18" customHeight="1" x14ac:dyDescent="0.45">
      <c r="A933" s="31">
        <v>927</v>
      </c>
      <c r="B933" s="35" t="str">
        <f t="shared" ref="B933:C936" si="385">B932</f>
        <v>埼玉千葉本部</v>
      </c>
      <c r="C933" s="35" t="str">
        <f t="shared" si="385"/>
        <v>ラヴィーレ流山おおたかの森</v>
      </c>
      <c r="D933" s="9" t="s">
        <v>4</v>
      </c>
      <c r="E933" s="10">
        <v>1</v>
      </c>
      <c r="F933" s="12">
        <v>2</v>
      </c>
      <c r="G933" s="12">
        <v>2</v>
      </c>
      <c r="H933" s="10">
        <f t="shared" si="373"/>
        <v>2</v>
      </c>
      <c r="I933" s="38"/>
      <c r="J933" s="19" cm="1">
        <f t="array" ref="J933">IFERROR(IF(_xlfn.XLOOKUP(L933,NC導入施設!B:B,NC導入施設!E:E)=0,_xlfn.IFS(H933&lt;=5,0,H933&lt;=10,1,H933&lt;=15,2,H933&gt;=16,3),"Null"),"-")</f>
        <v>0</v>
      </c>
      <c r="K933" s="61"/>
      <c r="L933" s="1">
        <v>2213581100</v>
      </c>
    </row>
    <row r="934" spans="1:12" ht="18" customHeight="1" x14ac:dyDescent="0.45">
      <c r="A934" s="31">
        <v>928</v>
      </c>
      <c r="B934" s="35" t="str">
        <f t="shared" si="385"/>
        <v>埼玉千葉本部</v>
      </c>
      <c r="C934" s="35" t="str">
        <f t="shared" si="385"/>
        <v>ラヴィーレ流山おおたかの森</v>
      </c>
      <c r="D934" s="9" t="s">
        <v>5</v>
      </c>
      <c r="E934" s="10">
        <v>2</v>
      </c>
      <c r="F934" s="12">
        <v>0</v>
      </c>
      <c r="G934" s="12">
        <v>0</v>
      </c>
      <c r="H934" s="10">
        <f t="shared" si="373"/>
        <v>0</v>
      </c>
      <c r="I934" s="38"/>
      <c r="J934" s="19" cm="1">
        <f t="array" ref="J934">IFERROR(IF(_xlfn.XLOOKUP(L934,NC導入施設!B:B,NC導入施設!E:E)=0,_xlfn.IFS(H934&lt;=5,0,H934&lt;=10,1,H934&lt;=15,2,H934&gt;=16,3),"Null"),"-")</f>
        <v>0</v>
      </c>
      <c r="K934" s="61"/>
      <c r="L934" s="1">
        <v>2213581100</v>
      </c>
    </row>
    <row r="935" spans="1:12" ht="18" customHeight="1" x14ac:dyDescent="0.45">
      <c r="A935" s="31">
        <v>929</v>
      </c>
      <c r="B935" s="35" t="str">
        <f t="shared" si="385"/>
        <v>埼玉千葉本部</v>
      </c>
      <c r="C935" s="35" t="str">
        <f t="shared" si="385"/>
        <v>ラヴィーレ流山おおたかの森</v>
      </c>
      <c r="D935" s="9" t="s">
        <v>6</v>
      </c>
      <c r="E935" s="10">
        <v>4</v>
      </c>
      <c r="F935" s="12">
        <v>5</v>
      </c>
      <c r="G935" s="12">
        <v>1.3</v>
      </c>
      <c r="H935" s="10">
        <f t="shared" si="373"/>
        <v>5</v>
      </c>
      <c r="I935" s="38"/>
      <c r="J935" s="19" cm="1">
        <f t="array" ref="J935">IFERROR(IF(_xlfn.XLOOKUP(L935,NC導入施設!B:B,NC導入施設!E:E)=0,_xlfn.IFS(H935&lt;=5,0,H935&lt;=10,1,H935&lt;=15,2,H935&gt;=16,3),"Null"),"-")</f>
        <v>0</v>
      </c>
      <c r="K935" s="61"/>
      <c r="L935" s="1">
        <v>2213581100</v>
      </c>
    </row>
    <row r="936" spans="1:12" ht="18" customHeight="1" x14ac:dyDescent="0.45">
      <c r="A936" s="31">
        <v>930</v>
      </c>
      <c r="B936" s="36" t="str">
        <f t="shared" si="385"/>
        <v>埼玉千葉本部</v>
      </c>
      <c r="C936" s="36" t="str">
        <f t="shared" si="385"/>
        <v>ラヴィーレ流山おおたかの森</v>
      </c>
      <c r="D936" s="9" t="s">
        <v>2</v>
      </c>
      <c r="E936" s="10">
        <v>1</v>
      </c>
      <c r="F936" s="12">
        <v>6</v>
      </c>
      <c r="G936" s="12">
        <v>6</v>
      </c>
      <c r="H936" s="10">
        <f t="shared" si="373"/>
        <v>6</v>
      </c>
      <c r="I936" s="39"/>
      <c r="J936" s="19" cm="1">
        <f t="array" ref="J936">IFERROR(IF(_xlfn.XLOOKUP(L936,NC導入施設!B:B,NC導入施設!E:E)=0,_xlfn.IFS(H936&lt;=5,0,H936&lt;=10,1,H936&lt;=15,2,H936&gt;=16,3),"Null"),"-")</f>
        <v>1</v>
      </c>
      <c r="K936" s="62"/>
      <c r="L936" s="1">
        <v>2213581100</v>
      </c>
    </row>
    <row r="937" spans="1:12" ht="18" customHeight="1" x14ac:dyDescent="0.45">
      <c r="A937" s="13">
        <v>931</v>
      </c>
      <c r="B937" s="40" t="s">
        <v>71</v>
      </c>
      <c r="C937" s="40" t="s">
        <v>79</v>
      </c>
      <c r="D937" s="14" t="s">
        <v>3</v>
      </c>
      <c r="E937" s="15">
        <v>2</v>
      </c>
      <c r="F937" s="17">
        <v>3</v>
      </c>
      <c r="G937" s="17">
        <v>1.5</v>
      </c>
      <c r="H937" s="15">
        <f t="shared" si="373"/>
        <v>3</v>
      </c>
      <c r="I937" s="43" cm="1">
        <f t="array" ref="I937">IF(J937="-","-",_xlfn.IFS(K937&lt;=5,0,K937&lt;=10,1,K937&lt;=15,2,K937&gt;=16,3))</f>
        <v>3</v>
      </c>
      <c r="J937" s="19" cm="1">
        <f t="array" ref="J937">IFERROR(IF(_xlfn.XLOOKUP(L937,NC導入施設!B:B,NC導入施設!E:E)=0,_xlfn.IFS(H937&lt;=5,0,H937&lt;=10,1,H937&lt;=15,2,H937&gt;=16,3),"Null"),"-")</f>
        <v>0</v>
      </c>
      <c r="K937" s="60">
        <f t="shared" ref="K937" si="386">IFERROR(SUM(H937:H941),"-")</f>
        <v>20</v>
      </c>
      <c r="L937" s="1">
        <v>2213621200</v>
      </c>
    </row>
    <row r="938" spans="1:12" ht="18" customHeight="1" x14ac:dyDescent="0.45">
      <c r="A938" s="13">
        <v>932</v>
      </c>
      <c r="B938" s="41" t="str">
        <f t="shared" ref="B938:C941" si="387">B937</f>
        <v>埼玉千葉本部</v>
      </c>
      <c r="C938" s="41" t="str">
        <f t="shared" si="387"/>
        <v>そんぽの家　市川</v>
      </c>
      <c r="D938" s="14" t="s">
        <v>4</v>
      </c>
      <c r="E938" s="15">
        <v>5</v>
      </c>
      <c r="F938" s="17">
        <v>2</v>
      </c>
      <c r="G938" s="17">
        <v>0.4</v>
      </c>
      <c r="H938" s="15">
        <f t="shared" si="373"/>
        <v>2</v>
      </c>
      <c r="I938" s="44"/>
      <c r="J938" s="19" cm="1">
        <f t="array" ref="J938">IFERROR(IF(_xlfn.XLOOKUP(L938,NC導入施設!B:B,NC導入施設!E:E)=0,_xlfn.IFS(H938&lt;=5,0,H938&lt;=10,1,H938&lt;=15,2,H938&gt;=16,3),"Null"),"-")</f>
        <v>0</v>
      </c>
      <c r="K938" s="61"/>
      <c r="L938" s="1">
        <v>2213621200</v>
      </c>
    </row>
    <row r="939" spans="1:12" ht="18" customHeight="1" x14ac:dyDescent="0.45">
      <c r="A939" s="13">
        <v>933</v>
      </c>
      <c r="B939" s="41" t="str">
        <f t="shared" si="387"/>
        <v>埼玉千葉本部</v>
      </c>
      <c r="C939" s="41" t="str">
        <f t="shared" si="387"/>
        <v>そんぽの家　市川</v>
      </c>
      <c r="D939" s="14" t="s">
        <v>5</v>
      </c>
      <c r="E939" s="15">
        <v>6</v>
      </c>
      <c r="F939" s="17">
        <v>0</v>
      </c>
      <c r="G939" s="17">
        <v>0</v>
      </c>
      <c r="H939" s="15">
        <f t="shared" si="373"/>
        <v>0</v>
      </c>
      <c r="I939" s="44"/>
      <c r="J939" s="19" cm="1">
        <f t="array" ref="J939">IFERROR(IF(_xlfn.XLOOKUP(L939,NC導入施設!B:B,NC導入施設!E:E)=0,_xlfn.IFS(H939&lt;=5,0,H939&lt;=10,1,H939&lt;=15,2,H939&gt;=16,3),"Null"),"-")</f>
        <v>0</v>
      </c>
      <c r="K939" s="61"/>
      <c r="L939" s="1">
        <v>2213621200</v>
      </c>
    </row>
    <row r="940" spans="1:12" ht="18" customHeight="1" x14ac:dyDescent="0.45">
      <c r="A940" s="13">
        <v>934</v>
      </c>
      <c r="B940" s="41" t="str">
        <f t="shared" si="387"/>
        <v>埼玉千葉本部</v>
      </c>
      <c r="C940" s="41" t="str">
        <f t="shared" si="387"/>
        <v>そんぽの家　市川</v>
      </c>
      <c r="D940" s="14" t="s">
        <v>6</v>
      </c>
      <c r="E940" s="15">
        <v>16</v>
      </c>
      <c r="F940" s="17">
        <v>1</v>
      </c>
      <c r="G940" s="17">
        <v>0.1</v>
      </c>
      <c r="H940" s="15">
        <f t="shared" si="373"/>
        <v>1</v>
      </c>
      <c r="I940" s="44"/>
      <c r="J940" s="19" cm="1">
        <f t="array" ref="J940">IFERROR(IF(_xlfn.XLOOKUP(L940,NC導入施設!B:B,NC導入施設!E:E)=0,_xlfn.IFS(H940&lt;=5,0,H940&lt;=10,1,H940&lt;=15,2,H940&gt;=16,3),"Null"),"-")</f>
        <v>0</v>
      </c>
      <c r="K940" s="61"/>
      <c r="L940" s="1">
        <v>2213621200</v>
      </c>
    </row>
    <row r="941" spans="1:12" ht="18" customHeight="1" x14ac:dyDescent="0.45">
      <c r="A941" s="13">
        <v>935</v>
      </c>
      <c r="B941" s="42" t="str">
        <f t="shared" si="387"/>
        <v>埼玉千葉本部</v>
      </c>
      <c r="C941" s="42" t="str">
        <f t="shared" si="387"/>
        <v>そんぽの家　市川</v>
      </c>
      <c r="D941" s="14" t="s">
        <v>2</v>
      </c>
      <c r="E941" s="15">
        <v>9</v>
      </c>
      <c r="F941" s="17">
        <v>14</v>
      </c>
      <c r="G941" s="17">
        <v>1.6</v>
      </c>
      <c r="H941" s="15">
        <f t="shared" si="373"/>
        <v>14</v>
      </c>
      <c r="I941" s="45"/>
      <c r="J941" s="19" cm="1">
        <f t="array" ref="J941">IFERROR(IF(_xlfn.XLOOKUP(L941,NC導入施設!B:B,NC導入施設!E:E)=0,_xlfn.IFS(H941&lt;=5,0,H941&lt;=10,1,H941&lt;=15,2,H941&gt;=16,3),"Null"),"-")</f>
        <v>2</v>
      </c>
      <c r="K941" s="62"/>
      <c r="L941" s="1">
        <v>2213621200</v>
      </c>
    </row>
    <row r="942" spans="1:12" ht="18" customHeight="1" x14ac:dyDescent="0.45">
      <c r="A942" s="8">
        <v>936</v>
      </c>
      <c r="B942" s="34" t="s">
        <v>71</v>
      </c>
      <c r="C942" s="34" t="s">
        <v>301</v>
      </c>
      <c r="D942" s="9" t="s">
        <v>3</v>
      </c>
      <c r="E942" s="10">
        <v>1</v>
      </c>
      <c r="F942" s="12">
        <v>0</v>
      </c>
      <c r="G942" s="12">
        <v>0</v>
      </c>
      <c r="H942" s="10">
        <f t="shared" si="373"/>
        <v>0</v>
      </c>
      <c r="I942" s="37" cm="1">
        <f t="array" ref="I942">IF(J942="-","-",_xlfn.IFS(K942&lt;=5,0,K942&lt;=10,1,K942&lt;=15,2,K942&gt;=16,3))</f>
        <v>2</v>
      </c>
      <c r="J942" s="19" cm="1">
        <f t="array" ref="J942">IFERROR(IF(_xlfn.XLOOKUP(L942,NC導入施設!B:B,NC導入施設!E:E)=0,_xlfn.IFS(H942&lt;=5,0,H942&lt;=10,1,H942&lt;=15,2,H942&gt;=16,3),"Null"),"-")</f>
        <v>0</v>
      </c>
      <c r="K942" s="60">
        <f t="shared" ref="K942" si="388">IFERROR(SUM(H942:H946),"-")</f>
        <v>12</v>
      </c>
      <c r="L942" s="1">
        <v>2213711100</v>
      </c>
    </row>
    <row r="943" spans="1:12" ht="18" customHeight="1" x14ac:dyDescent="0.45">
      <c r="A943" s="8">
        <v>937</v>
      </c>
      <c r="B943" s="35" t="str">
        <f t="shared" ref="B943:C946" si="389">B942</f>
        <v>埼玉千葉本部</v>
      </c>
      <c r="C943" s="35" t="str">
        <f t="shared" si="389"/>
        <v>ラヴィーレ西船橋</v>
      </c>
      <c r="D943" s="9" t="s">
        <v>4</v>
      </c>
      <c r="E943" s="10">
        <v>2</v>
      </c>
      <c r="F943" s="12">
        <v>4</v>
      </c>
      <c r="G943" s="12">
        <v>2</v>
      </c>
      <c r="H943" s="10">
        <f t="shared" si="373"/>
        <v>4</v>
      </c>
      <c r="I943" s="38"/>
      <c r="J943" s="19" cm="1">
        <f t="array" ref="J943">IFERROR(IF(_xlfn.XLOOKUP(L943,NC導入施設!B:B,NC導入施設!E:E)=0,_xlfn.IFS(H943&lt;=5,0,H943&lt;=10,1,H943&lt;=15,2,H943&gt;=16,3),"Null"),"-")</f>
        <v>0</v>
      </c>
      <c r="K943" s="61"/>
      <c r="L943" s="1">
        <v>2213711100</v>
      </c>
    </row>
    <row r="944" spans="1:12" ht="18" customHeight="1" x14ac:dyDescent="0.45">
      <c r="A944" s="8">
        <v>938</v>
      </c>
      <c r="B944" s="35" t="str">
        <f t="shared" si="389"/>
        <v>埼玉千葉本部</v>
      </c>
      <c r="C944" s="35" t="str">
        <f t="shared" si="389"/>
        <v>ラヴィーレ西船橋</v>
      </c>
      <c r="D944" s="9" t="s">
        <v>5</v>
      </c>
      <c r="E944" s="10">
        <v>2</v>
      </c>
      <c r="F944" s="12">
        <v>8</v>
      </c>
      <c r="G944" s="12">
        <v>4</v>
      </c>
      <c r="H944" s="10">
        <f t="shared" si="373"/>
        <v>8</v>
      </c>
      <c r="I944" s="38"/>
      <c r="J944" s="19" cm="1">
        <f t="array" ref="J944">IFERROR(IF(_xlfn.XLOOKUP(L944,NC導入施設!B:B,NC導入施設!E:E)=0,_xlfn.IFS(H944&lt;=5,0,H944&lt;=10,1,H944&lt;=15,2,H944&gt;=16,3),"Null"),"-")</f>
        <v>1</v>
      </c>
      <c r="K944" s="61"/>
      <c r="L944" s="1">
        <v>2213711100</v>
      </c>
    </row>
    <row r="945" spans="1:12" ht="18" customHeight="1" x14ac:dyDescent="0.45">
      <c r="A945" s="8">
        <v>939</v>
      </c>
      <c r="B945" s="35" t="str">
        <f t="shared" si="389"/>
        <v>埼玉千葉本部</v>
      </c>
      <c r="C945" s="35" t="str">
        <f t="shared" si="389"/>
        <v>ラヴィーレ西船橋</v>
      </c>
      <c r="D945" s="9" t="s">
        <v>6</v>
      </c>
      <c r="E945" s="10">
        <v>5</v>
      </c>
      <c r="F945" s="12">
        <v>0</v>
      </c>
      <c r="G945" s="12">
        <v>0</v>
      </c>
      <c r="H945" s="10">
        <f t="shared" si="373"/>
        <v>0</v>
      </c>
      <c r="I945" s="38"/>
      <c r="J945" s="19" cm="1">
        <f t="array" ref="J945">IFERROR(IF(_xlfn.XLOOKUP(L945,NC導入施設!B:B,NC導入施設!E:E)=0,_xlfn.IFS(H945&lt;=5,0,H945&lt;=10,1,H945&lt;=15,2,H945&gt;=16,3),"Null"),"-")</f>
        <v>0</v>
      </c>
      <c r="K945" s="61"/>
      <c r="L945" s="1">
        <v>2213711100</v>
      </c>
    </row>
    <row r="946" spans="1:12" ht="18" customHeight="1" x14ac:dyDescent="0.45">
      <c r="A946" s="8">
        <v>940</v>
      </c>
      <c r="B946" s="36" t="str">
        <f t="shared" si="389"/>
        <v>埼玉千葉本部</v>
      </c>
      <c r="C946" s="36" t="str">
        <f t="shared" si="389"/>
        <v>ラヴィーレ西船橋</v>
      </c>
      <c r="D946" s="9" t="s">
        <v>2</v>
      </c>
      <c r="E946" s="10">
        <v>1</v>
      </c>
      <c r="F946" s="12">
        <v>0</v>
      </c>
      <c r="G946" s="12">
        <v>0</v>
      </c>
      <c r="H946" s="10">
        <f t="shared" si="373"/>
        <v>0</v>
      </c>
      <c r="I946" s="39"/>
      <c r="J946" s="19" cm="1">
        <f t="array" ref="J946">IFERROR(IF(_xlfn.XLOOKUP(L946,NC導入施設!B:B,NC導入施設!E:E)=0,_xlfn.IFS(H946&lt;=5,0,H946&lt;=10,1,H946&lt;=15,2,H946&gt;=16,3),"Null"),"-")</f>
        <v>0</v>
      </c>
      <c r="K946" s="62"/>
      <c r="L946" s="1">
        <v>2213711100</v>
      </c>
    </row>
    <row r="947" spans="1:12" ht="18" customHeight="1" x14ac:dyDescent="0.45">
      <c r="A947" s="13">
        <v>941</v>
      </c>
      <c r="B947" s="40" t="s">
        <v>71</v>
      </c>
      <c r="C947" s="40" t="s">
        <v>302</v>
      </c>
      <c r="D947" s="14" t="s">
        <v>3</v>
      </c>
      <c r="E947" s="15">
        <v>1</v>
      </c>
      <c r="F947" s="17">
        <v>4</v>
      </c>
      <c r="G947" s="17">
        <v>4</v>
      </c>
      <c r="H947" s="15">
        <f t="shared" si="373"/>
        <v>4</v>
      </c>
      <c r="I947" s="43" cm="1">
        <f t="array" ref="I947">IF(J947="-","-",_xlfn.IFS(K947&lt;=5,0,K947&lt;=10,1,K947&lt;=15,2,K947&gt;=16,3))</f>
        <v>3</v>
      </c>
      <c r="J947" s="19" cm="1">
        <f t="array" ref="J947">IFERROR(IF(_xlfn.XLOOKUP(L947,NC導入施設!B:B,NC導入施設!E:E)=0,_xlfn.IFS(H947&lt;=5,0,H947&lt;=10,1,H947&lt;=15,2,H947&gt;=16,3),"Null"),"-")</f>
        <v>0</v>
      </c>
      <c r="K947" s="60">
        <f t="shared" ref="K947" si="390">IFERROR(SUM(H947:H951),"-")</f>
        <v>36</v>
      </c>
      <c r="L947" s="1">
        <v>2213731100</v>
      </c>
    </row>
    <row r="948" spans="1:12" ht="18" customHeight="1" x14ac:dyDescent="0.45">
      <c r="A948" s="13">
        <v>942</v>
      </c>
      <c r="B948" s="41" t="str">
        <f t="shared" ref="B948:C951" si="391">B947</f>
        <v>埼玉千葉本部</v>
      </c>
      <c r="C948" s="41" t="str">
        <f t="shared" si="391"/>
        <v>ラヴィーレ習志野台</v>
      </c>
      <c r="D948" s="14" t="s">
        <v>4</v>
      </c>
      <c r="E948" s="15">
        <v>1</v>
      </c>
      <c r="F948" s="17">
        <v>0</v>
      </c>
      <c r="G948" s="17">
        <v>0</v>
      </c>
      <c r="H948" s="15">
        <f t="shared" si="373"/>
        <v>0</v>
      </c>
      <c r="I948" s="44"/>
      <c r="J948" s="19" cm="1">
        <f t="array" ref="J948">IFERROR(IF(_xlfn.XLOOKUP(L948,NC導入施設!B:B,NC導入施設!E:E)=0,_xlfn.IFS(H948&lt;=5,0,H948&lt;=10,1,H948&lt;=15,2,H948&gt;=16,3),"Null"),"-")</f>
        <v>0</v>
      </c>
      <c r="K948" s="61"/>
      <c r="L948" s="1">
        <v>2213731100</v>
      </c>
    </row>
    <row r="949" spans="1:12" ht="18" customHeight="1" x14ac:dyDescent="0.45">
      <c r="A949" s="13">
        <v>943</v>
      </c>
      <c r="B949" s="41" t="str">
        <f t="shared" si="391"/>
        <v>埼玉千葉本部</v>
      </c>
      <c r="C949" s="41" t="str">
        <f t="shared" si="391"/>
        <v>ラヴィーレ習志野台</v>
      </c>
      <c r="D949" s="14" t="s">
        <v>5</v>
      </c>
      <c r="E949" s="15">
        <v>2</v>
      </c>
      <c r="F949" s="17">
        <v>24</v>
      </c>
      <c r="G949" s="17">
        <v>12</v>
      </c>
      <c r="H949" s="15">
        <f t="shared" si="373"/>
        <v>24</v>
      </c>
      <c r="I949" s="44"/>
      <c r="J949" s="19" cm="1">
        <f t="array" ref="J949">IFERROR(IF(_xlfn.XLOOKUP(L949,NC導入施設!B:B,NC導入施設!E:E)=0,_xlfn.IFS(H949&lt;=5,0,H949&lt;=10,1,H949&lt;=15,2,H949&gt;=16,3),"Null"),"-")</f>
        <v>3</v>
      </c>
      <c r="K949" s="61"/>
      <c r="L949" s="1">
        <v>2213731100</v>
      </c>
    </row>
    <row r="950" spans="1:12" ht="18" customHeight="1" x14ac:dyDescent="0.45">
      <c r="A950" s="13">
        <v>944</v>
      </c>
      <c r="B950" s="41" t="str">
        <f t="shared" si="391"/>
        <v>埼玉千葉本部</v>
      </c>
      <c r="C950" s="41" t="str">
        <f t="shared" si="391"/>
        <v>ラヴィーレ習志野台</v>
      </c>
      <c r="D950" s="14" t="s">
        <v>6</v>
      </c>
      <c r="E950" s="15">
        <v>3</v>
      </c>
      <c r="F950" s="17">
        <v>0</v>
      </c>
      <c r="G950" s="17">
        <v>0</v>
      </c>
      <c r="H950" s="15">
        <f t="shared" si="373"/>
        <v>0</v>
      </c>
      <c r="I950" s="44"/>
      <c r="J950" s="19" cm="1">
        <f t="array" ref="J950">IFERROR(IF(_xlfn.XLOOKUP(L950,NC導入施設!B:B,NC導入施設!E:E)=0,_xlfn.IFS(H950&lt;=5,0,H950&lt;=10,1,H950&lt;=15,2,H950&gt;=16,3),"Null"),"-")</f>
        <v>0</v>
      </c>
      <c r="K950" s="61"/>
      <c r="L950" s="1">
        <v>2213731100</v>
      </c>
    </row>
    <row r="951" spans="1:12" ht="18" customHeight="1" x14ac:dyDescent="0.45">
      <c r="A951" s="13">
        <v>945</v>
      </c>
      <c r="B951" s="42" t="str">
        <f t="shared" si="391"/>
        <v>埼玉千葉本部</v>
      </c>
      <c r="C951" s="42" t="str">
        <f t="shared" si="391"/>
        <v>ラヴィーレ習志野台</v>
      </c>
      <c r="D951" s="14" t="s">
        <v>2</v>
      </c>
      <c r="E951" s="15">
        <v>3</v>
      </c>
      <c r="F951" s="17">
        <v>8</v>
      </c>
      <c r="G951" s="17">
        <v>2.7</v>
      </c>
      <c r="H951" s="15">
        <f t="shared" si="373"/>
        <v>8</v>
      </c>
      <c r="I951" s="45"/>
      <c r="J951" s="19" cm="1">
        <f t="array" ref="J951">IFERROR(IF(_xlfn.XLOOKUP(L951,NC導入施設!B:B,NC導入施設!E:E)=0,_xlfn.IFS(H951&lt;=5,0,H951&lt;=10,1,H951&lt;=15,2,H951&gt;=16,3),"Null"),"-")</f>
        <v>1</v>
      </c>
      <c r="K951" s="62"/>
      <c r="L951" s="1">
        <v>2213731100</v>
      </c>
    </row>
    <row r="952" spans="1:12" ht="18" customHeight="1" x14ac:dyDescent="0.45">
      <c r="A952" s="8">
        <v>946</v>
      </c>
      <c r="B952" s="34" t="s">
        <v>71</v>
      </c>
      <c r="C952" s="34" t="s">
        <v>303</v>
      </c>
      <c r="D952" s="9" t="s">
        <v>3</v>
      </c>
      <c r="E952" s="10">
        <v>1</v>
      </c>
      <c r="F952" s="12">
        <v>4</v>
      </c>
      <c r="G952" s="12">
        <v>4</v>
      </c>
      <c r="H952" s="10">
        <f t="shared" si="373"/>
        <v>4</v>
      </c>
      <c r="I952" s="37" cm="1">
        <f t="array" ref="I952">IF(J952="-","-",_xlfn.IFS(K952&lt;=5,0,K952&lt;=10,1,K952&lt;=15,2,K952&gt;=16,3))</f>
        <v>3</v>
      </c>
      <c r="J952" s="19" cm="1">
        <f t="array" ref="J952">IFERROR(IF(_xlfn.XLOOKUP(L952,NC導入施設!B:B,NC導入施設!E:E)=0,_xlfn.IFS(H952&lt;=5,0,H952&lt;=10,1,H952&lt;=15,2,H952&gt;=16,3),"Null"),"-")</f>
        <v>0</v>
      </c>
      <c r="K952" s="60">
        <f t="shared" ref="K952" si="392">IFERROR(SUM(H952:H956),"-")</f>
        <v>29</v>
      </c>
      <c r="L952" s="1">
        <v>2213741100</v>
      </c>
    </row>
    <row r="953" spans="1:12" ht="18" customHeight="1" x14ac:dyDescent="0.45">
      <c r="A953" s="8">
        <v>947</v>
      </c>
      <c r="B953" s="35" t="str">
        <f t="shared" ref="B953:C956" si="393">B952</f>
        <v>埼玉千葉本部</v>
      </c>
      <c r="C953" s="35" t="str">
        <f t="shared" si="393"/>
        <v>ラヴィーレ津田沼</v>
      </c>
      <c r="D953" s="9" t="s">
        <v>4</v>
      </c>
      <c r="E953" s="10">
        <v>1</v>
      </c>
      <c r="F953" s="12">
        <v>6</v>
      </c>
      <c r="G953" s="12">
        <v>6</v>
      </c>
      <c r="H953" s="10">
        <f t="shared" si="373"/>
        <v>6</v>
      </c>
      <c r="I953" s="38"/>
      <c r="J953" s="19" cm="1">
        <f t="array" ref="J953">IFERROR(IF(_xlfn.XLOOKUP(L953,NC導入施設!B:B,NC導入施設!E:E)=0,_xlfn.IFS(H953&lt;=5,0,H953&lt;=10,1,H953&lt;=15,2,H953&gt;=16,3),"Null"),"-")</f>
        <v>1</v>
      </c>
      <c r="K953" s="61"/>
      <c r="L953" s="1">
        <v>2213741100</v>
      </c>
    </row>
    <row r="954" spans="1:12" ht="18" customHeight="1" x14ac:dyDescent="0.45">
      <c r="A954" s="8">
        <v>948</v>
      </c>
      <c r="B954" s="35" t="str">
        <f t="shared" si="393"/>
        <v>埼玉千葉本部</v>
      </c>
      <c r="C954" s="35" t="str">
        <f t="shared" si="393"/>
        <v>ラヴィーレ津田沼</v>
      </c>
      <c r="D954" s="9" t="s">
        <v>5</v>
      </c>
      <c r="E954" s="10">
        <v>2</v>
      </c>
      <c r="F954" s="12">
        <v>2</v>
      </c>
      <c r="G954" s="12">
        <v>1</v>
      </c>
      <c r="H954" s="10">
        <f t="shared" si="373"/>
        <v>2</v>
      </c>
      <c r="I954" s="38"/>
      <c r="J954" s="19" cm="1">
        <f t="array" ref="J954">IFERROR(IF(_xlfn.XLOOKUP(L954,NC導入施設!B:B,NC導入施設!E:E)=0,_xlfn.IFS(H954&lt;=5,0,H954&lt;=10,1,H954&lt;=15,2,H954&gt;=16,3),"Null"),"-")</f>
        <v>0</v>
      </c>
      <c r="K954" s="61"/>
      <c r="L954" s="1">
        <v>2213741100</v>
      </c>
    </row>
    <row r="955" spans="1:12" ht="18" customHeight="1" x14ac:dyDescent="0.45">
      <c r="A955" s="8">
        <v>949</v>
      </c>
      <c r="B955" s="35" t="str">
        <f t="shared" si="393"/>
        <v>埼玉千葉本部</v>
      </c>
      <c r="C955" s="35" t="str">
        <f t="shared" si="393"/>
        <v>ラヴィーレ津田沼</v>
      </c>
      <c r="D955" s="9" t="s">
        <v>6</v>
      </c>
      <c r="E955" s="10">
        <v>3</v>
      </c>
      <c r="F955" s="12">
        <v>5</v>
      </c>
      <c r="G955" s="12">
        <v>1.7</v>
      </c>
      <c r="H955" s="10">
        <f t="shared" si="373"/>
        <v>5</v>
      </c>
      <c r="I955" s="38"/>
      <c r="J955" s="19" cm="1">
        <f t="array" ref="J955">IFERROR(IF(_xlfn.XLOOKUP(L955,NC導入施設!B:B,NC導入施設!E:E)=0,_xlfn.IFS(H955&lt;=5,0,H955&lt;=10,1,H955&lt;=15,2,H955&gt;=16,3),"Null"),"-")</f>
        <v>0</v>
      </c>
      <c r="K955" s="61"/>
      <c r="L955" s="1">
        <v>2213741100</v>
      </c>
    </row>
    <row r="956" spans="1:12" ht="18" customHeight="1" x14ac:dyDescent="0.45">
      <c r="A956" s="8">
        <v>950</v>
      </c>
      <c r="B956" s="36" t="str">
        <f t="shared" si="393"/>
        <v>埼玉千葉本部</v>
      </c>
      <c r="C956" s="36" t="str">
        <f t="shared" si="393"/>
        <v>ラヴィーレ津田沼</v>
      </c>
      <c r="D956" s="9" t="s">
        <v>2</v>
      </c>
      <c r="E956" s="10">
        <v>2</v>
      </c>
      <c r="F956" s="12">
        <v>12</v>
      </c>
      <c r="G956" s="12">
        <v>6</v>
      </c>
      <c r="H956" s="10">
        <f t="shared" si="373"/>
        <v>12</v>
      </c>
      <c r="I956" s="39"/>
      <c r="J956" s="19" cm="1">
        <f t="array" ref="J956">IFERROR(IF(_xlfn.XLOOKUP(L956,NC導入施設!B:B,NC導入施設!E:E)=0,_xlfn.IFS(H956&lt;=5,0,H956&lt;=10,1,H956&lt;=15,2,H956&gt;=16,3),"Null"),"-")</f>
        <v>2</v>
      </c>
      <c r="K956" s="62"/>
      <c r="L956" s="1">
        <v>2213741100</v>
      </c>
    </row>
    <row r="957" spans="1:12" ht="18" customHeight="1" x14ac:dyDescent="0.45">
      <c r="A957" s="13">
        <v>951</v>
      </c>
      <c r="B957" s="40" t="s">
        <v>71</v>
      </c>
      <c r="C957" s="40" t="s">
        <v>80</v>
      </c>
      <c r="D957" s="14" t="s">
        <v>3</v>
      </c>
      <c r="E957" s="15">
        <v>1</v>
      </c>
      <c r="F957" s="17">
        <v>10</v>
      </c>
      <c r="G957" s="17">
        <v>10</v>
      </c>
      <c r="H957" s="15">
        <f t="shared" si="373"/>
        <v>10</v>
      </c>
      <c r="I957" s="43" cm="1">
        <f t="array" ref="I957">IF(J957="-","-",_xlfn.IFS(K957&lt;=5,0,K957&lt;=10,1,K957&lt;=15,2,K957&gt;=16,3))</f>
        <v>3</v>
      </c>
      <c r="J957" s="19" cm="1">
        <f t="array" ref="J957">IFERROR(IF(_xlfn.XLOOKUP(L957,NC導入施設!B:B,NC導入施設!E:E)=0,_xlfn.IFS(H957&lt;=5,0,H957&lt;=10,1,H957&lt;=15,2,H957&gt;=16,3),"Null"),"-")</f>
        <v>1</v>
      </c>
      <c r="K957" s="60">
        <f t="shared" ref="K957" si="394">IFERROR(SUM(H957:H961),"-")</f>
        <v>42</v>
      </c>
      <c r="L957" s="1">
        <v>2213761200</v>
      </c>
    </row>
    <row r="958" spans="1:12" ht="18" customHeight="1" x14ac:dyDescent="0.45">
      <c r="A958" s="13">
        <v>952</v>
      </c>
      <c r="B958" s="41" t="str">
        <f t="shared" ref="B958:C961" si="395">B957</f>
        <v>埼玉千葉本部</v>
      </c>
      <c r="C958" s="41" t="str">
        <f t="shared" si="395"/>
        <v>そんぽの家　京成大久保</v>
      </c>
      <c r="D958" s="14" t="s">
        <v>4</v>
      </c>
      <c r="E958" s="15">
        <v>2</v>
      </c>
      <c r="F958" s="17">
        <v>3</v>
      </c>
      <c r="G958" s="17">
        <v>1.5</v>
      </c>
      <c r="H958" s="15">
        <f t="shared" si="373"/>
        <v>3</v>
      </c>
      <c r="I958" s="44"/>
      <c r="J958" s="19" cm="1">
        <f t="array" ref="J958">IFERROR(IF(_xlfn.XLOOKUP(L958,NC導入施設!B:B,NC導入施設!E:E)=0,_xlfn.IFS(H958&lt;=5,0,H958&lt;=10,1,H958&lt;=15,2,H958&gt;=16,3),"Null"),"-")</f>
        <v>0</v>
      </c>
      <c r="K958" s="61"/>
      <c r="L958" s="1">
        <v>2213761200</v>
      </c>
    </row>
    <row r="959" spans="1:12" ht="18" customHeight="1" x14ac:dyDescent="0.45">
      <c r="A959" s="13">
        <v>953</v>
      </c>
      <c r="B959" s="41" t="str">
        <f t="shared" si="395"/>
        <v>埼玉千葉本部</v>
      </c>
      <c r="C959" s="41" t="str">
        <f t="shared" si="395"/>
        <v>そんぽの家　京成大久保</v>
      </c>
      <c r="D959" s="14" t="s">
        <v>5</v>
      </c>
      <c r="E959" s="15">
        <v>1</v>
      </c>
      <c r="F959" s="17">
        <v>25</v>
      </c>
      <c r="G959" s="17">
        <v>25</v>
      </c>
      <c r="H959" s="15">
        <f t="shared" si="373"/>
        <v>25</v>
      </c>
      <c r="I959" s="44"/>
      <c r="J959" s="19" cm="1">
        <f t="array" ref="J959">IFERROR(IF(_xlfn.XLOOKUP(L959,NC導入施設!B:B,NC導入施設!E:E)=0,_xlfn.IFS(H959&lt;=5,0,H959&lt;=10,1,H959&lt;=15,2,H959&gt;=16,3),"Null"),"-")</f>
        <v>3</v>
      </c>
      <c r="K959" s="61"/>
      <c r="L959" s="1">
        <v>2213761200</v>
      </c>
    </row>
    <row r="960" spans="1:12" ht="18" customHeight="1" x14ac:dyDescent="0.45">
      <c r="A960" s="13">
        <v>954</v>
      </c>
      <c r="B960" s="41" t="str">
        <f t="shared" si="395"/>
        <v>埼玉千葉本部</v>
      </c>
      <c r="C960" s="41" t="str">
        <f t="shared" si="395"/>
        <v>そんぽの家　京成大久保</v>
      </c>
      <c r="D960" s="14" t="s">
        <v>6</v>
      </c>
      <c r="E960" s="15">
        <v>3</v>
      </c>
      <c r="F960" s="17">
        <v>0</v>
      </c>
      <c r="G960" s="17">
        <v>0</v>
      </c>
      <c r="H960" s="15">
        <f t="shared" si="373"/>
        <v>0</v>
      </c>
      <c r="I960" s="44"/>
      <c r="J960" s="19" cm="1">
        <f t="array" ref="J960">IFERROR(IF(_xlfn.XLOOKUP(L960,NC導入施設!B:B,NC導入施設!E:E)=0,_xlfn.IFS(H960&lt;=5,0,H960&lt;=10,1,H960&lt;=15,2,H960&gt;=16,3),"Null"),"-")</f>
        <v>0</v>
      </c>
      <c r="K960" s="61"/>
      <c r="L960" s="1">
        <v>2213761200</v>
      </c>
    </row>
    <row r="961" spans="1:12" ht="18" customHeight="1" x14ac:dyDescent="0.45">
      <c r="A961" s="13">
        <v>955</v>
      </c>
      <c r="B961" s="42" t="str">
        <f t="shared" si="395"/>
        <v>埼玉千葉本部</v>
      </c>
      <c r="C961" s="42" t="str">
        <f t="shared" si="395"/>
        <v>そんぽの家　京成大久保</v>
      </c>
      <c r="D961" s="14" t="s">
        <v>2</v>
      </c>
      <c r="E961" s="15">
        <v>1</v>
      </c>
      <c r="F961" s="17">
        <v>4</v>
      </c>
      <c r="G961" s="17">
        <v>4</v>
      </c>
      <c r="H961" s="15">
        <f t="shared" si="373"/>
        <v>4</v>
      </c>
      <c r="I961" s="45"/>
      <c r="J961" s="19" cm="1">
        <f t="array" ref="J961">IFERROR(IF(_xlfn.XLOOKUP(L961,NC導入施設!B:B,NC導入施設!E:E)=0,_xlfn.IFS(H961&lt;=5,0,H961&lt;=10,1,H961&lt;=15,2,H961&gt;=16,3),"Null"),"-")</f>
        <v>0</v>
      </c>
      <c r="K961" s="62"/>
      <c r="L961" s="1">
        <v>2213761200</v>
      </c>
    </row>
    <row r="962" spans="1:12" ht="18" customHeight="1" x14ac:dyDescent="0.45">
      <c r="A962" s="8">
        <v>956</v>
      </c>
      <c r="B962" s="34" t="s">
        <v>71</v>
      </c>
      <c r="C962" s="34" t="s">
        <v>81</v>
      </c>
      <c r="D962" s="9" t="s">
        <v>3</v>
      </c>
      <c r="E962" s="10">
        <v>1</v>
      </c>
      <c r="F962" s="12">
        <v>21</v>
      </c>
      <c r="G962" s="12">
        <v>21</v>
      </c>
      <c r="H962" s="10">
        <f t="shared" si="373"/>
        <v>21</v>
      </c>
      <c r="I962" s="37" cm="1">
        <f t="array" ref="I962">IF(J962="-","-",_xlfn.IFS(K962&lt;=5,0,K962&lt;=10,1,K962&lt;=15,2,K962&gt;=16,3))</f>
        <v>3</v>
      </c>
      <c r="J962" s="19" cm="1">
        <f t="array" ref="J962">IFERROR(IF(_xlfn.XLOOKUP(L962,NC導入施設!B:B,NC導入施設!E:E)=0,_xlfn.IFS(H962&lt;=5,0,H962&lt;=10,1,H962&lt;=15,2,H962&gt;=16,3),"Null"),"-")</f>
        <v>3</v>
      </c>
      <c r="K962" s="60">
        <f t="shared" ref="K962" si="396">IFERROR(SUM(H962:H966),"-")</f>
        <v>55</v>
      </c>
      <c r="L962" s="1">
        <v>2213771200</v>
      </c>
    </row>
    <row r="963" spans="1:12" ht="18" customHeight="1" x14ac:dyDescent="0.45">
      <c r="A963" s="8">
        <v>957</v>
      </c>
      <c r="B963" s="35" t="str">
        <f t="shared" ref="B963:C966" si="397">B962</f>
        <v>埼玉千葉本部</v>
      </c>
      <c r="C963" s="35" t="str">
        <f t="shared" si="397"/>
        <v>そんぽの家　津田沼</v>
      </c>
      <c r="D963" s="9" t="s">
        <v>4</v>
      </c>
      <c r="E963" s="10">
        <v>1</v>
      </c>
      <c r="F963" s="12">
        <v>10</v>
      </c>
      <c r="G963" s="12">
        <v>10</v>
      </c>
      <c r="H963" s="10">
        <f t="shared" si="373"/>
        <v>10</v>
      </c>
      <c r="I963" s="38"/>
      <c r="J963" s="19" cm="1">
        <f t="array" ref="J963">IFERROR(IF(_xlfn.XLOOKUP(L963,NC導入施設!B:B,NC導入施設!E:E)=0,_xlfn.IFS(H963&lt;=5,0,H963&lt;=10,1,H963&lt;=15,2,H963&gt;=16,3),"Null"),"-")</f>
        <v>1</v>
      </c>
      <c r="K963" s="61"/>
      <c r="L963" s="1">
        <v>2213771200</v>
      </c>
    </row>
    <row r="964" spans="1:12" ht="18" customHeight="1" x14ac:dyDescent="0.45">
      <c r="A964" s="8">
        <v>958</v>
      </c>
      <c r="B964" s="35" t="str">
        <f t="shared" si="397"/>
        <v>埼玉千葉本部</v>
      </c>
      <c r="C964" s="35" t="str">
        <f t="shared" si="397"/>
        <v>そんぽの家　津田沼</v>
      </c>
      <c r="D964" s="9" t="s">
        <v>5</v>
      </c>
      <c r="E964" s="10">
        <v>1</v>
      </c>
      <c r="F964" s="12">
        <v>15</v>
      </c>
      <c r="G964" s="12">
        <v>15</v>
      </c>
      <c r="H964" s="10">
        <f t="shared" si="373"/>
        <v>15</v>
      </c>
      <c r="I964" s="38"/>
      <c r="J964" s="19" cm="1">
        <f t="array" ref="J964">IFERROR(IF(_xlfn.XLOOKUP(L964,NC導入施設!B:B,NC導入施設!E:E)=0,_xlfn.IFS(H964&lt;=5,0,H964&lt;=10,1,H964&lt;=15,2,H964&gt;=16,3),"Null"),"-")</f>
        <v>2</v>
      </c>
      <c r="K964" s="61"/>
      <c r="L964" s="1">
        <v>2213771200</v>
      </c>
    </row>
    <row r="965" spans="1:12" ht="18" customHeight="1" x14ac:dyDescent="0.45">
      <c r="A965" s="8">
        <v>959</v>
      </c>
      <c r="B965" s="35" t="str">
        <f t="shared" si="397"/>
        <v>埼玉千葉本部</v>
      </c>
      <c r="C965" s="35" t="str">
        <f t="shared" si="397"/>
        <v>そんぽの家　津田沼</v>
      </c>
      <c r="D965" s="9" t="s">
        <v>6</v>
      </c>
      <c r="E965" s="10">
        <v>3</v>
      </c>
      <c r="F965" s="12">
        <v>3</v>
      </c>
      <c r="G965" s="12">
        <v>1</v>
      </c>
      <c r="H965" s="10">
        <f t="shared" si="373"/>
        <v>3</v>
      </c>
      <c r="I965" s="38"/>
      <c r="J965" s="19" cm="1">
        <f t="array" ref="J965">IFERROR(IF(_xlfn.XLOOKUP(L965,NC導入施設!B:B,NC導入施設!E:E)=0,_xlfn.IFS(H965&lt;=5,0,H965&lt;=10,1,H965&lt;=15,2,H965&gt;=16,3),"Null"),"-")</f>
        <v>0</v>
      </c>
      <c r="K965" s="61"/>
      <c r="L965" s="1">
        <v>2213771200</v>
      </c>
    </row>
    <row r="966" spans="1:12" ht="18" customHeight="1" x14ac:dyDescent="0.45">
      <c r="A966" s="8">
        <v>960</v>
      </c>
      <c r="B966" s="36" t="str">
        <f t="shared" si="397"/>
        <v>埼玉千葉本部</v>
      </c>
      <c r="C966" s="36" t="str">
        <f t="shared" si="397"/>
        <v>そんぽの家　津田沼</v>
      </c>
      <c r="D966" s="9" t="s">
        <v>2</v>
      </c>
      <c r="E966" s="10">
        <v>1</v>
      </c>
      <c r="F966" s="12">
        <v>6</v>
      </c>
      <c r="G966" s="12">
        <v>6</v>
      </c>
      <c r="H966" s="10">
        <f t="shared" si="373"/>
        <v>6</v>
      </c>
      <c r="I966" s="39"/>
      <c r="J966" s="19" cm="1">
        <f t="array" ref="J966">IFERROR(IF(_xlfn.XLOOKUP(L966,NC導入施設!B:B,NC導入施設!E:E)=0,_xlfn.IFS(H966&lt;=5,0,H966&lt;=10,1,H966&lt;=15,2,H966&gt;=16,3),"Null"),"-")</f>
        <v>1</v>
      </c>
      <c r="K966" s="62"/>
      <c r="L966" s="1">
        <v>2213771200</v>
      </c>
    </row>
    <row r="967" spans="1:12" ht="18" customHeight="1" x14ac:dyDescent="0.45">
      <c r="A967" s="13">
        <v>961</v>
      </c>
      <c r="B967" s="40" t="s">
        <v>71</v>
      </c>
      <c r="C967" s="40" t="s">
        <v>304</v>
      </c>
      <c r="D967" s="14" t="s">
        <v>3</v>
      </c>
      <c r="E967" s="15">
        <v>1</v>
      </c>
      <c r="F967" s="17">
        <v>3</v>
      </c>
      <c r="G967" s="17">
        <v>3</v>
      </c>
      <c r="H967" s="15">
        <f t="shared" si="373"/>
        <v>3</v>
      </c>
      <c r="I967" s="43" cm="1">
        <f t="array" ref="I967">IF(J967="-","-",_xlfn.IFS(K967&lt;=5,0,K967&lt;=10,1,K967&lt;=15,2,K967&gt;=16,3))</f>
        <v>1</v>
      </c>
      <c r="J967" s="19" cm="1">
        <f t="array" ref="J967">IFERROR(IF(_xlfn.XLOOKUP(L967,NC導入施設!B:B,NC導入施設!E:E)=0,_xlfn.IFS(H967&lt;=5,0,H967&lt;=10,1,H967&lt;=15,2,H967&gt;=16,3),"Null"),"-")</f>
        <v>0</v>
      </c>
      <c r="K967" s="60">
        <f t="shared" ref="K967" si="398">IFERROR(SUM(H967:H971),"-")</f>
        <v>10</v>
      </c>
      <c r="L967" s="1">
        <v>2213781100</v>
      </c>
    </row>
    <row r="968" spans="1:12" ht="18" customHeight="1" x14ac:dyDescent="0.45">
      <c r="A968" s="13">
        <v>962</v>
      </c>
      <c r="B968" s="41" t="str">
        <f t="shared" ref="B968:C971" si="399">B967</f>
        <v>埼玉千葉本部</v>
      </c>
      <c r="C968" s="41" t="str">
        <f t="shared" si="399"/>
        <v>ラヴィーレ勝田台</v>
      </c>
      <c r="D968" s="14" t="s">
        <v>4</v>
      </c>
      <c r="E968" s="15">
        <v>1</v>
      </c>
      <c r="F968" s="17">
        <v>7</v>
      </c>
      <c r="G968" s="17">
        <v>7</v>
      </c>
      <c r="H968" s="15">
        <f t="shared" ref="H968:H1031" si="400">F968</f>
        <v>7</v>
      </c>
      <c r="I968" s="44"/>
      <c r="J968" s="19" cm="1">
        <f t="array" ref="J968">IFERROR(IF(_xlfn.XLOOKUP(L968,NC導入施設!B:B,NC導入施設!E:E)=0,_xlfn.IFS(H968&lt;=5,0,H968&lt;=10,1,H968&lt;=15,2,H968&gt;=16,3),"Null"),"-")</f>
        <v>1</v>
      </c>
      <c r="K968" s="61"/>
      <c r="L968" s="1">
        <v>2213781100</v>
      </c>
    </row>
    <row r="969" spans="1:12" ht="18" customHeight="1" x14ac:dyDescent="0.45">
      <c r="A969" s="13">
        <v>963</v>
      </c>
      <c r="B969" s="41" t="str">
        <f t="shared" si="399"/>
        <v>埼玉千葉本部</v>
      </c>
      <c r="C969" s="41" t="str">
        <f t="shared" si="399"/>
        <v>ラヴィーレ勝田台</v>
      </c>
      <c r="D969" s="14" t="s">
        <v>5</v>
      </c>
      <c r="E969" s="15">
        <v>2</v>
      </c>
      <c r="F969" s="17">
        <v>0</v>
      </c>
      <c r="G969" s="17">
        <v>0</v>
      </c>
      <c r="H969" s="15">
        <f t="shared" si="400"/>
        <v>0</v>
      </c>
      <c r="I969" s="44"/>
      <c r="J969" s="19" cm="1">
        <f t="array" ref="J969">IFERROR(IF(_xlfn.XLOOKUP(L969,NC導入施設!B:B,NC導入施設!E:E)=0,_xlfn.IFS(H969&lt;=5,0,H969&lt;=10,1,H969&lt;=15,2,H969&gt;=16,3),"Null"),"-")</f>
        <v>0</v>
      </c>
      <c r="K969" s="61"/>
      <c r="L969" s="1">
        <v>2213781100</v>
      </c>
    </row>
    <row r="970" spans="1:12" ht="18" customHeight="1" x14ac:dyDescent="0.45">
      <c r="A970" s="13">
        <v>964</v>
      </c>
      <c r="B970" s="41" t="str">
        <f t="shared" si="399"/>
        <v>埼玉千葉本部</v>
      </c>
      <c r="C970" s="41" t="str">
        <f t="shared" si="399"/>
        <v>ラヴィーレ勝田台</v>
      </c>
      <c r="D970" s="14" t="s">
        <v>6</v>
      </c>
      <c r="E970" s="15">
        <v>4</v>
      </c>
      <c r="F970" s="17">
        <v>0</v>
      </c>
      <c r="G970" s="17">
        <v>0</v>
      </c>
      <c r="H970" s="15">
        <f t="shared" si="400"/>
        <v>0</v>
      </c>
      <c r="I970" s="44"/>
      <c r="J970" s="19" cm="1">
        <f t="array" ref="J970">IFERROR(IF(_xlfn.XLOOKUP(L970,NC導入施設!B:B,NC導入施設!E:E)=0,_xlfn.IFS(H970&lt;=5,0,H970&lt;=10,1,H970&lt;=15,2,H970&gt;=16,3),"Null"),"-")</f>
        <v>0</v>
      </c>
      <c r="K970" s="61"/>
      <c r="L970" s="1">
        <v>2213781100</v>
      </c>
    </row>
    <row r="971" spans="1:12" ht="18" customHeight="1" x14ac:dyDescent="0.45">
      <c r="A971" s="13">
        <v>965</v>
      </c>
      <c r="B971" s="42" t="str">
        <f t="shared" si="399"/>
        <v>埼玉千葉本部</v>
      </c>
      <c r="C971" s="42" t="str">
        <f t="shared" si="399"/>
        <v>ラヴィーレ勝田台</v>
      </c>
      <c r="D971" s="14" t="s">
        <v>2</v>
      </c>
      <c r="E971" s="15">
        <v>2</v>
      </c>
      <c r="F971" s="17">
        <v>0</v>
      </c>
      <c r="G971" s="17">
        <v>0</v>
      </c>
      <c r="H971" s="15">
        <f t="shared" si="400"/>
        <v>0</v>
      </c>
      <c r="I971" s="45"/>
      <c r="J971" s="19" cm="1">
        <f t="array" ref="J971">IFERROR(IF(_xlfn.XLOOKUP(L971,NC導入施設!B:B,NC導入施設!E:E)=0,_xlfn.IFS(H971&lt;=5,0,H971&lt;=10,1,H971&lt;=15,2,H971&gt;=16,3),"Null"),"-")</f>
        <v>0</v>
      </c>
      <c r="K971" s="62"/>
      <c r="L971" s="1">
        <v>2213781100</v>
      </c>
    </row>
    <row r="972" spans="1:12" ht="18" customHeight="1" x14ac:dyDescent="0.45">
      <c r="A972" s="8">
        <v>966</v>
      </c>
      <c r="B972" s="34" t="s">
        <v>71</v>
      </c>
      <c r="C972" s="34" t="s">
        <v>305</v>
      </c>
      <c r="D972" s="9" t="s">
        <v>3</v>
      </c>
      <c r="E972" s="10">
        <v>1</v>
      </c>
      <c r="F972" s="12">
        <v>14</v>
      </c>
      <c r="G972" s="12">
        <v>14</v>
      </c>
      <c r="H972" s="10">
        <f t="shared" si="400"/>
        <v>14</v>
      </c>
      <c r="I972" s="37" cm="1">
        <f t="array" ref="I972">IF(J972="-","-",_xlfn.IFS(K972&lt;=5,0,K972&lt;=10,1,K972&lt;=15,2,K972&gt;=16,3))</f>
        <v>3</v>
      </c>
      <c r="J972" s="19" cm="1">
        <f t="array" ref="J972">IFERROR(IF(_xlfn.XLOOKUP(L972,NC導入施設!B:B,NC導入施設!E:E)=0,_xlfn.IFS(H972&lt;=5,0,H972&lt;=10,1,H972&lt;=15,2,H972&gt;=16,3),"Null"),"-")</f>
        <v>2</v>
      </c>
      <c r="K972" s="60">
        <f t="shared" ref="K972" si="401">IFERROR(SUM(H972:H976),"-")</f>
        <v>23</v>
      </c>
      <c r="L972" s="1">
        <v>2213801100</v>
      </c>
    </row>
    <row r="973" spans="1:12" ht="18" customHeight="1" x14ac:dyDescent="0.45">
      <c r="A973" s="8">
        <v>967</v>
      </c>
      <c r="B973" s="35" t="str">
        <f t="shared" ref="B973:C976" si="402">B972</f>
        <v>埼玉千葉本部</v>
      </c>
      <c r="C973" s="35" t="str">
        <f t="shared" si="402"/>
        <v>ラヴィーレ八千代</v>
      </c>
      <c r="D973" s="9" t="s">
        <v>4</v>
      </c>
      <c r="E973" s="10">
        <v>1</v>
      </c>
      <c r="F973" s="12">
        <v>5</v>
      </c>
      <c r="G973" s="12">
        <v>5</v>
      </c>
      <c r="H973" s="10">
        <f t="shared" si="400"/>
        <v>5</v>
      </c>
      <c r="I973" s="38"/>
      <c r="J973" s="19" cm="1">
        <f t="array" ref="J973">IFERROR(IF(_xlfn.XLOOKUP(L973,NC導入施設!B:B,NC導入施設!E:E)=0,_xlfn.IFS(H973&lt;=5,0,H973&lt;=10,1,H973&lt;=15,2,H973&gt;=16,3),"Null"),"-")</f>
        <v>0</v>
      </c>
      <c r="K973" s="61"/>
      <c r="L973" s="1">
        <v>2213801100</v>
      </c>
    </row>
    <row r="974" spans="1:12" ht="18" customHeight="1" x14ac:dyDescent="0.45">
      <c r="A974" s="8">
        <v>968</v>
      </c>
      <c r="B974" s="35" t="str">
        <f t="shared" si="402"/>
        <v>埼玉千葉本部</v>
      </c>
      <c r="C974" s="35" t="str">
        <f t="shared" si="402"/>
        <v>ラヴィーレ八千代</v>
      </c>
      <c r="D974" s="9" t="s">
        <v>5</v>
      </c>
      <c r="E974" s="10">
        <v>2</v>
      </c>
      <c r="F974" s="12">
        <v>0</v>
      </c>
      <c r="G974" s="12">
        <v>0</v>
      </c>
      <c r="H974" s="10">
        <f t="shared" si="400"/>
        <v>0</v>
      </c>
      <c r="I974" s="38"/>
      <c r="J974" s="19" cm="1">
        <f t="array" ref="J974">IFERROR(IF(_xlfn.XLOOKUP(L974,NC導入施設!B:B,NC導入施設!E:E)=0,_xlfn.IFS(H974&lt;=5,0,H974&lt;=10,1,H974&lt;=15,2,H974&gt;=16,3),"Null"),"-")</f>
        <v>0</v>
      </c>
      <c r="K974" s="61"/>
      <c r="L974" s="1">
        <v>2213801100</v>
      </c>
    </row>
    <row r="975" spans="1:12" ht="18" customHeight="1" x14ac:dyDescent="0.45">
      <c r="A975" s="8">
        <v>969</v>
      </c>
      <c r="B975" s="35" t="str">
        <f t="shared" si="402"/>
        <v>埼玉千葉本部</v>
      </c>
      <c r="C975" s="35" t="str">
        <f t="shared" si="402"/>
        <v>ラヴィーレ八千代</v>
      </c>
      <c r="D975" s="9" t="s">
        <v>6</v>
      </c>
      <c r="E975" s="10">
        <v>3</v>
      </c>
      <c r="F975" s="12">
        <v>2</v>
      </c>
      <c r="G975" s="12">
        <v>0.7</v>
      </c>
      <c r="H975" s="10">
        <f t="shared" si="400"/>
        <v>2</v>
      </c>
      <c r="I975" s="38"/>
      <c r="J975" s="19" cm="1">
        <f t="array" ref="J975">IFERROR(IF(_xlfn.XLOOKUP(L975,NC導入施設!B:B,NC導入施設!E:E)=0,_xlfn.IFS(H975&lt;=5,0,H975&lt;=10,1,H975&lt;=15,2,H975&gt;=16,3),"Null"),"-")</f>
        <v>0</v>
      </c>
      <c r="K975" s="61"/>
      <c r="L975" s="1">
        <v>2213801100</v>
      </c>
    </row>
    <row r="976" spans="1:12" ht="18" customHeight="1" x14ac:dyDescent="0.45">
      <c r="A976" s="8">
        <v>970</v>
      </c>
      <c r="B976" s="36" t="str">
        <f t="shared" si="402"/>
        <v>埼玉千葉本部</v>
      </c>
      <c r="C976" s="36" t="str">
        <f t="shared" si="402"/>
        <v>ラヴィーレ八千代</v>
      </c>
      <c r="D976" s="9" t="s">
        <v>2</v>
      </c>
      <c r="E976" s="10">
        <v>2</v>
      </c>
      <c r="F976" s="12">
        <v>2</v>
      </c>
      <c r="G976" s="12">
        <v>1</v>
      </c>
      <c r="H976" s="10">
        <f t="shared" si="400"/>
        <v>2</v>
      </c>
      <c r="I976" s="39"/>
      <c r="J976" s="19" cm="1">
        <f t="array" ref="J976">IFERROR(IF(_xlfn.XLOOKUP(L976,NC導入施設!B:B,NC導入施設!E:E)=0,_xlfn.IFS(H976&lt;=5,0,H976&lt;=10,1,H976&lt;=15,2,H976&gt;=16,3),"Null"),"-")</f>
        <v>0</v>
      </c>
      <c r="K976" s="62"/>
      <c r="L976" s="1">
        <v>2213801100</v>
      </c>
    </row>
    <row r="977" spans="1:12" ht="18" customHeight="1" x14ac:dyDescent="0.45">
      <c r="A977" s="13">
        <v>971</v>
      </c>
      <c r="B977" s="40" t="s">
        <v>71</v>
      </c>
      <c r="C977" s="40" t="s">
        <v>306</v>
      </c>
      <c r="D977" s="14" t="s">
        <v>3</v>
      </c>
      <c r="E977" s="15">
        <v>1</v>
      </c>
      <c r="F977" s="17">
        <v>4</v>
      </c>
      <c r="G977" s="17">
        <v>4</v>
      </c>
      <c r="H977" s="15">
        <f t="shared" si="400"/>
        <v>4</v>
      </c>
      <c r="I977" s="43" cm="1">
        <f t="array" ref="I977">IF(J977="-","-",_xlfn.IFS(K977&lt;=5,0,K977&lt;=10,1,K977&lt;=15,2,K977&gt;=16,3))</f>
        <v>3</v>
      </c>
      <c r="J977" s="19" cm="1">
        <f t="array" ref="J977">IFERROR(IF(_xlfn.XLOOKUP(L977,NC導入施設!B:B,NC導入施設!E:E)=0,_xlfn.IFS(H977&lt;=5,0,H977&lt;=10,1,H977&lt;=15,2,H977&gt;=16,3),"Null"),"-")</f>
        <v>0</v>
      </c>
      <c r="K977" s="60">
        <f t="shared" ref="K977" si="403">IFERROR(SUM(H977:H981),"-")</f>
        <v>25</v>
      </c>
      <c r="L977" s="1">
        <v>2213841100</v>
      </c>
    </row>
    <row r="978" spans="1:12" ht="18" customHeight="1" x14ac:dyDescent="0.45">
      <c r="A978" s="13">
        <v>972</v>
      </c>
      <c r="B978" s="41" t="str">
        <f t="shared" ref="B978:C981" si="404">B977</f>
        <v>埼玉千葉本部</v>
      </c>
      <c r="C978" s="41" t="str">
        <f t="shared" si="404"/>
        <v>ラヴィーレ成田</v>
      </c>
      <c r="D978" s="14" t="s">
        <v>4</v>
      </c>
      <c r="E978" s="15">
        <v>1</v>
      </c>
      <c r="F978" s="17">
        <v>21</v>
      </c>
      <c r="G978" s="17">
        <v>21</v>
      </c>
      <c r="H978" s="15">
        <f t="shared" si="400"/>
        <v>21</v>
      </c>
      <c r="I978" s="44"/>
      <c r="J978" s="19" cm="1">
        <f t="array" ref="J978">IFERROR(IF(_xlfn.XLOOKUP(L978,NC導入施設!B:B,NC導入施設!E:E)=0,_xlfn.IFS(H978&lt;=5,0,H978&lt;=10,1,H978&lt;=15,2,H978&gt;=16,3),"Null"),"-")</f>
        <v>3</v>
      </c>
      <c r="K978" s="61"/>
      <c r="L978" s="1">
        <v>2213841100</v>
      </c>
    </row>
    <row r="979" spans="1:12" ht="18" customHeight="1" x14ac:dyDescent="0.45">
      <c r="A979" s="13">
        <v>973</v>
      </c>
      <c r="B979" s="41" t="str">
        <f t="shared" si="404"/>
        <v>埼玉千葉本部</v>
      </c>
      <c r="C979" s="41" t="str">
        <f t="shared" si="404"/>
        <v>ラヴィーレ成田</v>
      </c>
      <c r="D979" s="14" t="s">
        <v>5</v>
      </c>
      <c r="E979" s="15">
        <v>2</v>
      </c>
      <c r="F979" s="17">
        <v>0</v>
      </c>
      <c r="G979" s="17">
        <v>0</v>
      </c>
      <c r="H979" s="15">
        <f t="shared" si="400"/>
        <v>0</v>
      </c>
      <c r="I979" s="44"/>
      <c r="J979" s="19" cm="1">
        <f t="array" ref="J979">IFERROR(IF(_xlfn.XLOOKUP(L979,NC導入施設!B:B,NC導入施設!E:E)=0,_xlfn.IFS(H979&lt;=5,0,H979&lt;=10,1,H979&lt;=15,2,H979&gt;=16,3),"Null"),"-")</f>
        <v>0</v>
      </c>
      <c r="K979" s="61"/>
      <c r="L979" s="1">
        <v>2213841100</v>
      </c>
    </row>
    <row r="980" spans="1:12" ht="18" customHeight="1" x14ac:dyDescent="0.45">
      <c r="A980" s="13">
        <v>974</v>
      </c>
      <c r="B980" s="41" t="str">
        <f t="shared" si="404"/>
        <v>埼玉千葉本部</v>
      </c>
      <c r="C980" s="41" t="str">
        <f t="shared" si="404"/>
        <v>ラヴィーレ成田</v>
      </c>
      <c r="D980" s="14" t="s">
        <v>6</v>
      </c>
      <c r="E980" s="15">
        <v>4</v>
      </c>
      <c r="F980" s="17">
        <v>0</v>
      </c>
      <c r="G980" s="17">
        <v>0</v>
      </c>
      <c r="H980" s="15">
        <f t="shared" si="400"/>
        <v>0</v>
      </c>
      <c r="I980" s="44"/>
      <c r="J980" s="19" cm="1">
        <f t="array" ref="J980">IFERROR(IF(_xlfn.XLOOKUP(L980,NC導入施設!B:B,NC導入施設!E:E)=0,_xlfn.IFS(H980&lt;=5,0,H980&lt;=10,1,H980&lt;=15,2,H980&gt;=16,3),"Null"),"-")</f>
        <v>0</v>
      </c>
      <c r="K980" s="61"/>
      <c r="L980" s="1">
        <v>2213841100</v>
      </c>
    </row>
    <row r="981" spans="1:12" ht="18" customHeight="1" x14ac:dyDescent="0.45">
      <c r="A981" s="13">
        <v>975</v>
      </c>
      <c r="B981" s="42" t="str">
        <f t="shared" si="404"/>
        <v>埼玉千葉本部</v>
      </c>
      <c r="C981" s="42" t="str">
        <f t="shared" si="404"/>
        <v>ラヴィーレ成田</v>
      </c>
      <c r="D981" s="14" t="s">
        <v>2</v>
      </c>
      <c r="E981" s="15">
        <v>2</v>
      </c>
      <c r="F981" s="17">
        <v>0</v>
      </c>
      <c r="G981" s="17">
        <v>0</v>
      </c>
      <c r="H981" s="15">
        <f t="shared" si="400"/>
        <v>0</v>
      </c>
      <c r="I981" s="45"/>
      <c r="J981" s="19" cm="1">
        <f t="array" ref="J981">IFERROR(IF(_xlfn.XLOOKUP(L981,NC導入施設!B:B,NC導入施設!E:E)=0,_xlfn.IFS(H981&lt;=5,0,H981&lt;=10,1,H981&lt;=15,2,H981&gt;=16,3),"Null"),"-")</f>
        <v>0</v>
      </c>
      <c r="K981" s="62"/>
      <c r="L981" s="1">
        <v>2213841100</v>
      </c>
    </row>
    <row r="982" spans="1:12" ht="18" customHeight="1" x14ac:dyDescent="0.45">
      <c r="A982" s="8">
        <v>976</v>
      </c>
      <c r="B982" s="34" t="s">
        <v>71</v>
      </c>
      <c r="C982" s="34" t="s">
        <v>82</v>
      </c>
      <c r="D982" s="9" t="s">
        <v>3</v>
      </c>
      <c r="E982" s="10">
        <v>1</v>
      </c>
      <c r="F982" s="12">
        <v>13</v>
      </c>
      <c r="G982" s="12">
        <v>13</v>
      </c>
      <c r="H982" s="10">
        <f t="shared" si="400"/>
        <v>13</v>
      </c>
      <c r="I982" s="37" cm="1">
        <f t="array" ref="I982">IF(J982="-","-",_xlfn.IFS(K982&lt;=5,0,K982&lt;=10,1,K982&lt;=15,2,K982&gt;=16,3))</f>
        <v>3</v>
      </c>
      <c r="J982" s="19" cm="1">
        <f t="array" ref="J982">IFERROR(IF(_xlfn.XLOOKUP(L982,NC導入施設!B:B,NC導入施設!E:E)=0,_xlfn.IFS(H982&lt;=5,0,H982&lt;=10,1,H982&lt;=15,2,H982&gt;=16,3),"Null"),"-")</f>
        <v>2</v>
      </c>
      <c r="K982" s="60">
        <f t="shared" ref="K982" si="405">IFERROR(SUM(H982:H986),"-")</f>
        <v>24</v>
      </c>
      <c r="L982" s="1">
        <v>2213871200</v>
      </c>
    </row>
    <row r="983" spans="1:12" ht="18" customHeight="1" x14ac:dyDescent="0.45">
      <c r="A983" s="8">
        <v>977</v>
      </c>
      <c r="B983" s="35" t="str">
        <f t="shared" ref="B983:C986" si="406">B982</f>
        <v>埼玉千葉本部</v>
      </c>
      <c r="C983" s="35" t="str">
        <f t="shared" si="406"/>
        <v>そんぽの家　朝日ヶ丘</v>
      </c>
      <c r="D983" s="9" t="s">
        <v>4</v>
      </c>
      <c r="E983" s="10">
        <v>1</v>
      </c>
      <c r="F983" s="12">
        <v>10</v>
      </c>
      <c r="G983" s="12">
        <v>10</v>
      </c>
      <c r="H983" s="10">
        <f t="shared" si="400"/>
        <v>10</v>
      </c>
      <c r="I983" s="38"/>
      <c r="J983" s="19" cm="1">
        <f t="array" ref="J983">IFERROR(IF(_xlfn.XLOOKUP(L983,NC導入施設!B:B,NC導入施設!E:E)=0,_xlfn.IFS(H983&lt;=5,0,H983&lt;=10,1,H983&lt;=15,2,H983&gt;=16,3),"Null"),"-")</f>
        <v>1</v>
      </c>
      <c r="K983" s="61"/>
      <c r="L983" s="1">
        <v>2213871200</v>
      </c>
    </row>
    <row r="984" spans="1:12" ht="18" customHeight="1" x14ac:dyDescent="0.45">
      <c r="A984" s="8">
        <v>978</v>
      </c>
      <c r="B984" s="35" t="str">
        <f t="shared" si="406"/>
        <v>埼玉千葉本部</v>
      </c>
      <c r="C984" s="35" t="str">
        <f t="shared" si="406"/>
        <v>そんぽの家　朝日ヶ丘</v>
      </c>
      <c r="D984" s="9" t="s">
        <v>5</v>
      </c>
      <c r="E984" s="10">
        <v>1</v>
      </c>
      <c r="F984" s="12">
        <v>0</v>
      </c>
      <c r="G984" s="12">
        <v>0</v>
      </c>
      <c r="H984" s="10">
        <f t="shared" si="400"/>
        <v>0</v>
      </c>
      <c r="I984" s="38"/>
      <c r="J984" s="19" cm="1">
        <f t="array" ref="J984">IFERROR(IF(_xlfn.XLOOKUP(L984,NC導入施設!B:B,NC導入施設!E:E)=0,_xlfn.IFS(H984&lt;=5,0,H984&lt;=10,1,H984&lt;=15,2,H984&gt;=16,3),"Null"),"-")</f>
        <v>0</v>
      </c>
      <c r="K984" s="61"/>
      <c r="L984" s="1">
        <v>2213871200</v>
      </c>
    </row>
    <row r="985" spans="1:12" ht="18" customHeight="1" x14ac:dyDescent="0.45">
      <c r="A985" s="8">
        <v>979</v>
      </c>
      <c r="B985" s="35" t="str">
        <f t="shared" si="406"/>
        <v>埼玉千葉本部</v>
      </c>
      <c r="C985" s="35" t="str">
        <f t="shared" si="406"/>
        <v>そんぽの家　朝日ヶ丘</v>
      </c>
      <c r="D985" s="9" t="s">
        <v>6</v>
      </c>
      <c r="E985" s="10">
        <v>3</v>
      </c>
      <c r="F985" s="12">
        <v>1</v>
      </c>
      <c r="G985" s="12">
        <v>0.3</v>
      </c>
      <c r="H985" s="10">
        <f t="shared" si="400"/>
        <v>1</v>
      </c>
      <c r="I985" s="38"/>
      <c r="J985" s="19" cm="1">
        <f t="array" ref="J985">IFERROR(IF(_xlfn.XLOOKUP(L985,NC導入施設!B:B,NC導入施設!E:E)=0,_xlfn.IFS(H985&lt;=5,0,H985&lt;=10,1,H985&lt;=15,2,H985&gt;=16,3),"Null"),"-")</f>
        <v>0</v>
      </c>
      <c r="K985" s="61"/>
      <c r="L985" s="1">
        <v>2213871200</v>
      </c>
    </row>
    <row r="986" spans="1:12" ht="18" customHeight="1" x14ac:dyDescent="0.45">
      <c r="A986" s="8">
        <v>980</v>
      </c>
      <c r="B986" s="36" t="str">
        <f t="shared" si="406"/>
        <v>埼玉千葉本部</v>
      </c>
      <c r="C986" s="36" t="str">
        <f t="shared" si="406"/>
        <v>そんぽの家　朝日ヶ丘</v>
      </c>
      <c r="D986" s="9" t="s">
        <v>2</v>
      </c>
      <c r="E986" s="10">
        <v>2</v>
      </c>
      <c r="F986" s="12">
        <v>0</v>
      </c>
      <c r="G986" s="12">
        <v>0</v>
      </c>
      <c r="H986" s="10">
        <f t="shared" si="400"/>
        <v>0</v>
      </c>
      <c r="I986" s="39"/>
      <c r="J986" s="19" cm="1">
        <f t="array" ref="J986">IFERROR(IF(_xlfn.XLOOKUP(L986,NC導入施設!B:B,NC導入施設!E:E)=0,_xlfn.IFS(H986&lt;=5,0,H986&lt;=10,1,H986&lt;=15,2,H986&gt;=16,3),"Null"),"-")</f>
        <v>0</v>
      </c>
      <c r="K986" s="62"/>
      <c r="L986" s="1">
        <v>2213871200</v>
      </c>
    </row>
    <row r="987" spans="1:12" ht="18" customHeight="1" x14ac:dyDescent="0.45">
      <c r="A987" s="13">
        <v>981</v>
      </c>
      <c r="B987" s="40" t="s">
        <v>71</v>
      </c>
      <c r="C987" s="40" t="s">
        <v>83</v>
      </c>
      <c r="D987" s="14" t="s">
        <v>3</v>
      </c>
      <c r="E987" s="15">
        <v>1</v>
      </c>
      <c r="F987" s="17">
        <v>21</v>
      </c>
      <c r="G987" s="17">
        <v>21</v>
      </c>
      <c r="H987" s="15">
        <f t="shared" si="400"/>
        <v>21</v>
      </c>
      <c r="I987" s="43" cm="1">
        <f t="array" ref="I987">IF(J987="-","-",_xlfn.IFS(K987&lt;=5,0,K987&lt;=10,1,K987&lt;=15,2,K987&gt;=16,3))</f>
        <v>3</v>
      </c>
      <c r="J987" s="19" cm="1">
        <f t="array" ref="J987">IFERROR(IF(_xlfn.XLOOKUP(L987,NC導入施設!B:B,NC導入施設!E:E)=0,_xlfn.IFS(H987&lt;=5,0,H987&lt;=10,1,H987&lt;=15,2,H987&gt;=16,3),"Null"),"-")</f>
        <v>3</v>
      </c>
      <c r="K987" s="60">
        <f t="shared" ref="K987" si="407">IFERROR(SUM(H987:H991),"-")</f>
        <v>59</v>
      </c>
      <c r="L987" s="1">
        <v>2213911200</v>
      </c>
    </row>
    <row r="988" spans="1:12" ht="18" customHeight="1" x14ac:dyDescent="0.45">
      <c r="A988" s="13">
        <v>982</v>
      </c>
      <c r="B988" s="41" t="str">
        <f t="shared" ref="B988:C991" si="408">B987</f>
        <v>埼玉千葉本部</v>
      </c>
      <c r="C988" s="41" t="str">
        <f t="shared" si="408"/>
        <v>そんぽの家　都賀</v>
      </c>
      <c r="D988" s="14" t="s">
        <v>4</v>
      </c>
      <c r="E988" s="15">
        <v>1</v>
      </c>
      <c r="F988" s="17">
        <v>19</v>
      </c>
      <c r="G988" s="17">
        <v>19</v>
      </c>
      <c r="H988" s="15">
        <f t="shared" si="400"/>
        <v>19</v>
      </c>
      <c r="I988" s="44"/>
      <c r="J988" s="19" cm="1">
        <f t="array" ref="J988">IFERROR(IF(_xlfn.XLOOKUP(L988,NC導入施設!B:B,NC導入施設!E:E)=0,_xlfn.IFS(H988&lt;=5,0,H988&lt;=10,1,H988&lt;=15,2,H988&gt;=16,3),"Null"),"-")</f>
        <v>3</v>
      </c>
      <c r="K988" s="61"/>
      <c r="L988" s="1">
        <v>2213911200</v>
      </c>
    </row>
    <row r="989" spans="1:12" ht="18" customHeight="1" x14ac:dyDescent="0.45">
      <c r="A989" s="13">
        <v>983</v>
      </c>
      <c r="B989" s="41" t="str">
        <f t="shared" si="408"/>
        <v>埼玉千葉本部</v>
      </c>
      <c r="C989" s="41" t="str">
        <f t="shared" si="408"/>
        <v>そんぽの家　都賀</v>
      </c>
      <c r="D989" s="14" t="s">
        <v>5</v>
      </c>
      <c r="E989" s="15">
        <v>1</v>
      </c>
      <c r="F989" s="17">
        <v>13</v>
      </c>
      <c r="G989" s="17">
        <v>13</v>
      </c>
      <c r="H989" s="15">
        <f t="shared" si="400"/>
        <v>13</v>
      </c>
      <c r="I989" s="44"/>
      <c r="J989" s="19" cm="1">
        <f t="array" ref="J989">IFERROR(IF(_xlfn.XLOOKUP(L989,NC導入施設!B:B,NC導入施設!E:E)=0,_xlfn.IFS(H989&lt;=5,0,H989&lt;=10,1,H989&lt;=15,2,H989&gt;=16,3),"Null"),"-")</f>
        <v>2</v>
      </c>
      <c r="K989" s="61"/>
      <c r="L989" s="1">
        <v>2213911200</v>
      </c>
    </row>
    <row r="990" spans="1:12" ht="18" customHeight="1" x14ac:dyDescent="0.45">
      <c r="A990" s="13">
        <v>984</v>
      </c>
      <c r="B990" s="41" t="str">
        <f t="shared" si="408"/>
        <v>埼玉千葉本部</v>
      </c>
      <c r="C990" s="41" t="str">
        <f t="shared" si="408"/>
        <v>そんぽの家　都賀</v>
      </c>
      <c r="D990" s="14" t="s">
        <v>6</v>
      </c>
      <c r="E990" s="15">
        <v>3</v>
      </c>
      <c r="F990" s="17">
        <v>2</v>
      </c>
      <c r="G990" s="17">
        <v>0.7</v>
      </c>
      <c r="H990" s="15">
        <f t="shared" si="400"/>
        <v>2</v>
      </c>
      <c r="I990" s="44"/>
      <c r="J990" s="19" cm="1">
        <f t="array" ref="J990">IFERROR(IF(_xlfn.XLOOKUP(L990,NC導入施設!B:B,NC導入施設!E:E)=0,_xlfn.IFS(H990&lt;=5,0,H990&lt;=10,1,H990&lt;=15,2,H990&gt;=16,3),"Null"),"-")</f>
        <v>0</v>
      </c>
      <c r="K990" s="61"/>
      <c r="L990" s="1">
        <v>2213911200</v>
      </c>
    </row>
    <row r="991" spans="1:12" ht="18" customHeight="1" x14ac:dyDescent="0.45">
      <c r="A991" s="13">
        <v>985</v>
      </c>
      <c r="B991" s="42" t="str">
        <f t="shared" si="408"/>
        <v>埼玉千葉本部</v>
      </c>
      <c r="C991" s="42" t="str">
        <f t="shared" si="408"/>
        <v>そんぽの家　都賀</v>
      </c>
      <c r="D991" s="14" t="s">
        <v>2</v>
      </c>
      <c r="E991" s="15">
        <v>2</v>
      </c>
      <c r="F991" s="17">
        <v>4</v>
      </c>
      <c r="G991" s="17">
        <v>2</v>
      </c>
      <c r="H991" s="15">
        <f t="shared" si="400"/>
        <v>4</v>
      </c>
      <c r="I991" s="45"/>
      <c r="J991" s="19" cm="1">
        <f t="array" ref="J991">IFERROR(IF(_xlfn.XLOOKUP(L991,NC導入施設!B:B,NC導入施設!E:E)=0,_xlfn.IFS(H991&lt;=5,0,H991&lt;=10,1,H991&lt;=15,2,H991&gt;=16,3),"Null"),"-")</f>
        <v>0</v>
      </c>
      <c r="K991" s="62"/>
      <c r="L991" s="1">
        <v>2213911200</v>
      </c>
    </row>
    <row r="992" spans="1:12" ht="18" customHeight="1" x14ac:dyDescent="0.45">
      <c r="A992" s="8">
        <v>986</v>
      </c>
      <c r="B992" s="34" t="s">
        <v>71</v>
      </c>
      <c r="C992" s="34" t="s">
        <v>307</v>
      </c>
      <c r="D992" s="9" t="s">
        <v>3</v>
      </c>
      <c r="E992" s="10">
        <v>1</v>
      </c>
      <c r="F992" s="12">
        <v>7</v>
      </c>
      <c r="G992" s="12">
        <v>7</v>
      </c>
      <c r="H992" s="10">
        <f t="shared" si="400"/>
        <v>7</v>
      </c>
      <c r="I992" s="37" cm="1">
        <f t="array" ref="I992">IF(J992="-","-",_xlfn.IFS(K992&lt;=5,0,K992&lt;=10,1,K992&lt;=15,2,K992&gt;=16,3))</f>
        <v>1</v>
      </c>
      <c r="J992" s="19" cm="1">
        <f t="array" ref="J992">IFERROR(IF(_xlfn.XLOOKUP(L992,NC導入施設!B:B,NC導入施設!E:E)=0,_xlfn.IFS(H992&lt;=5,0,H992&lt;=10,1,H992&lt;=15,2,H992&gt;=16,3),"Null"),"-")</f>
        <v>1</v>
      </c>
      <c r="K992" s="60">
        <f t="shared" ref="K992" si="409">IFERROR(SUM(H992:H996),"-")</f>
        <v>9</v>
      </c>
      <c r="L992" s="1">
        <v>2213921200</v>
      </c>
    </row>
    <row r="993" spans="1:12" ht="18" customHeight="1" x14ac:dyDescent="0.45">
      <c r="A993" s="8">
        <v>987</v>
      </c>
      <c r="B993" s="35" t="str">
        <f t="shared" ref="B993:C996" si="410">B992</f>
        <v>埼玉千葉本部</v>
      </c>
      <c r="C993" s="35" t="str">
        <f t="shared" si="410"/>
        <v>ラヴィーレみつわ台</v>
      </c>
      <c r="D993" s="9" t="s">
        <v>4</v>
      </c>
      <c r="E993" s="10">
        <v>2</v>
      </c>
      <c r="F993" s="12">
        <v>2</v>
      </c>
      <c r="G993" s="12">
        <v>1</v>
      </c>
      <c r="H993" s="10">
        <f t="shared" si="400"/>
        <v>2</v>
      </c>
      <c r="I993" s="38"/>
      <c r="J993" s="19" cm="1">
        <f t="array" ref="J993">IFERROR(IF(_xlfn.XLOOKUP(L993,NC導入施設!B:B,NC導入施設!E:E)=0,_xlfn.IFS(H993&lt;=5,0,H993&lt;=10,1,H993&lt;=15,2,H993&gt;=16,3),"Null"),"-")</f>
        <v>0</v>
      </c>
      <c r="K993" s="61"/>
      <c r="L993" s="1">
        <v>2213921200</v>
      </c>
    </row>
    <row r="994" spans="1:12" ht="18" customHeight="1" x14ac:dyDescent="0.45">
      <c r="A994" s="8">
        <v>988</v>
      </c>
      <c r="B994" s="35" t="str">
        <f t="shared" si="410"/>
        <v>埼玉千葉本部</v>
      </c>
      <c r="C994" s="35" t="str">
        <f t="shared" si="410"/>
        <v>ラヴィーレみつわ台</v>
      </c>
      <c r="D994" s="9" t="s">
        <v>5</v>
      </c>
      <c r="E994" s="10">
        <v>2</v>
      </c>
      <c r="F994" s="12">
        <v>0</v>
      </c>
      <c r="G994" s="12">
        <v>0</v>
      </c>
      <c r="H994" s="10">
        <f t="shared" si="400"/>
        <v>0</v>
      </c>
      <c r="I994" s="38"/>
      <c r="J994" s="19" cm="1">
        <f t="array" ref="J994">IFERROR(IF(_xlfn.XLOOKUP(L994,NC導入施設!B:B,NC導入施設!E:E)=0,_xlfn.IFS(H994&lt;=5,0,H994&lt;=10,1,H994&lt;=15,2,H994&gt;=16,3),"Null"),"-")</f>
        <v>0</v>
      </c>
      <c r="K994" s="61"/>
      <c r="L994" s="1">
        <v>2213921200</v>
      </c>
    </row>
    <row r="995" spans="1:12" ht="18" customHeight="1" x14ac:dyDescent="0.45">
      <c r="A995" s="8">
        <v>989</v>
      </c>
      <c r="B995" s="35" t="str">
        <f t="shared" si="410"/>
        <v>埼玉千葉本部</v>
      </c>
      <c r="C995" s="35" t="str">
        <f t="shared" si="410"/>
        <v>ラヴィーレみつわ台</v>
      </c>
      <c r="D995" s="9" t="s">
        <v>6</v>
      </c>
      <c r="E995" s="10">
        <v>4</v>
      </c>
      <c r="F995" s="12">
        <v>0</v>
      </c>
      <c r="G995" s="12">
        <v>0</v>
      </c>
      <c r="H995" s="10">
        <f t="shared" si="400"/>
        <v>0</v>
      </c>
      <c r="I995" s="38"/>
      <c r="J995" s="19" cm="1">
        <f t="array" ref="J995">IFERROR(IF(_xlfn.XLOOKUP(L995,NC導入施設!B:B,NC導入施設!E:E)=0,_xlfn.IFS(H995&lt;=5,0,H995&lt;=10,1,H995&lt;=15,2,H995&gt;=16,3),"Null"),"-")</f>
        <v>0</v>
      </c>
      <c r="K995" s="61"/>
      <c r="L995" s="1">
        <v>2213921200</v>
      </c>
    </row>
    <row r="996" spans="1:12" ht="18" customHeight="1" x14ac:dyDescent="0.45">
      <c r="A996" s="8">
        <v>990</v>
      </c>
      <c r="B996" s="36" t="str">
        <f t="shared" si="410"/>
        <v>埼玉千葉本部</v>
      </c>
      <c r="C996" s="36" t="str">
        <f t="shared" si="410"/>
        <v>ラヴィーレみつわ台</v>
      </c>
      <c r="D996" s="9" t="s">
        <v>2</v>
      </c>
      <c r="E996" s="10">
        <v>1</v>
      </c>
      <c r="F996" s="12">
        <v>0</v>
      </c>
      <c r="G996" s="12">
        <v>0</v>
      </c>
      <c r="H996" s="10">
        <f t="shared" si="400"/>
        <v>0</v>
      </c>
      <c r="I996" s="39"/>
      <c r="J996" s="19" cm="1">
        <f t="array" ref="J996">IFERROR(IF(_xlfn.XLOOKUP(L996,NC導入施設!B:B,NC導入施設!E:E)=0,_xlfn.IFS(H996&lt;=5,0,H996&lt;=10,1,H996&lt;=15,2,H996&gt;=16,3),"Null"),"-")</f>
        <v>0</v>
      </c>
      <c r="K996" s="62"/>
      <c r="L996" s="1">
        <v>2213921200</v>
      </c>
    </row>
    <row r="997" spans="1:12" ht="18" customHeight="1" x14ac:dyDescent="0.45">
      <c r="A997" s="13">
        <v>991</v>
      </c>
      <c r="B997" s="40" t="s">
        <v>71</v>
      </c>
      <c r="C997" s="40" t="s">
        <v>308</v>
      </c>
      <c r="D997" s="14" t="s">
        <v>3</v>
      </c>
      <c r="E997" s="15">
        <v>1</v>
      </c>
      <c r="F997" s="17">
        <v>1</v>
      </c>
      <c r="G997" s="17">
        <v>1</v>
      </c>
      <c r="H997" s="15">
        <f t="shared" si="400"/>
        <v>1</v>
      </c>
      <c r="I997" s="43" cm="1">
        <f t="array" ref="I997">IF(J997="-","-",_xlfn.IFS(K997&lt;=5,0,K997&lt;=10,1,K997&lt;=15,2,K997&gt;=16,3))</f>
        <v>1</v>
      </c>
      <c r="J997" s="19" cm="1">
        <f t="array" ref="J997">IFERROR(IF(_xlfn.XLOOKUP(L997,NC導入施設!B:B,NC導入施設!E:E)=0,_xlfn.IFS(H997&lt;=5,0,H997&lt;=10,1,H997&lt;=15,2,H997&gt;=16,3),"Null"),"-")</f>
        <v>0</v>
      </c>
      <c r="K997" s="60">
        <f t="shared" ref="K997" si="411">IFERROR(SUM(H997:H1001),"-")</f>
        <v>8</v>
      </c>
      <c r="L997" s="1">
        <v>2213941100</v>
      </c>
    </row>
    <row r="998" spans="1:12" ht="18" customHeight="1" x14ac:dyDescent="0.45">
      <c r="A998" s="13">
        <v>992</v>
      </c>
      <c r="B998" s="41" t="str">
        <f t="shared" ref="B998:C1001" si="412">B997</f>
        <v>埼玉千葉本部</v>
      </c>
      <c r="C998" s="41" t="str">
        <f t="shared" si="412"/>
        <v>ラヴィーレ千葉椿森</v>
      </c>
      <c r="D998" s="14" t="s">
        <v>4</v>
      </c>
      <c r="E998" s="15">
        <v>1</v>
      </c>
      <c r="F998" s="17">
        <v>4</v>
      </c>
      <c r="G998" s="17">
        <v>4</v>
      </c>
      <c r="H998" s="15">
        <f t="shared" si="400"/>
        <v>4</v>
      </c>
      <c r="I998" s="44"/>
      <c r="J998" s="19" cm="1">
        <f t="array" ref="J998">IFERROR(IF(_xlfn.XLOOKUP(L998,NC導入施設!B:B,NC導入施設!E:E)=0,_xlfn.IFS(H998&lt;=5,0,H998&lt;=10,1,H998&lt;=15,2,H998&gt;=16,3),"Null"),"-")</f>
        <v>0</v>
      </c>
      <c r="K998" s="61"/>
      <c r="L998" s="1">
        <v>2213941100</v>
      </c>
    </row>
    <row r="999" spans="1:12" ht="18" customHeight="1" x14ac:dyDescent="0.45">
      <c r="A999" s="13">
        <v>993</v>
      </c>
      <c r="B999" s="41" t="str">
        <f t="shared" si="412"/>
        <v>埼玉千葉本部</v>
      </c>
      <c r="C999" s="41" t="str">
        <f t="shared" si="412"/>
        <v>ラヴィーレ千葉椿森</v>
      </c>
      <c r="D999" s="14" t="s">
        <v>5</v>
      </c>
      <c r="E999" s="15">
        <v>2</v>
      </c>
      <c r="F999" s="17">
        <v>0</v>
      </c>
      <c r="G999" s="17">
        <v>0</v>
      </c>
      <c r="H999" s="15">
        <f t="shared" si="400"/>
        <v>0</v>
      </c>
      <c r="I999" s="44"/>
      <c r="J999" s="19" cm="1">
        <f t="array" ref="J999">IFERROR(IF(_xlfn.XLOOKUP(L999,NC導入施設!B:B,NC導入施設!E:E)=0,_xlfn.IFS(H999&lt;=5,0,H999&lt;=10,1,H999&lt;=15,2,H999&gt;=16,3),"Null"),"-")</f>
        <v>0</v>
      </c>
      <c r="K999" s="61"/>
      <c r="L999" s="1">
        <v>2213941100</v>
      </c>
    </row>
    <row r="1000" spans="1:12" ht="18" customHeight="1" x14ac:dyDescent="0.45">
      <c r="A1000" s="13">
        <v>994</v>
      </c>
      <c r="B1000" s="41" t="str">
        <f t="shared" si="412"/>
        <v>埼玉千葉本部</v>
      </c>
      <c r="C1000" s="41" t="str">
        <f t="shared" si="412"/>
        <v>ラヴィーレ千葉椿森</v>
      </c>
      <c r="D1000" s="14" t="s">
        <v>6</v>
      </c>
      <c r="E1000" s="15">
        <v>20</v>
      </c>
      <c r="F1000" s="17">
        <v>1</v>
      </c>
      <c r="G1000" s="17">
        <v>0.1</v>
      </c>
      <c r="H1000" s="15">
        <f t="shared" si="400"/>
        <v>1</v>
      </c>
      <c r="I1000" s="44"/>
      <c r="J1000" s="19" cm="1">
        <f t="array" ref="J1000">IFERROR(IF(_xlfn.XLOOKUP(L1000,NC導入施設!B:B,NC導入施設!E:E)=0,_xlfn.IFS(H1000&lt;=5,0,H1000&lt;=10,1,H1000&lt;=15,2,H1000&gt;=16,3),"Null"),"-")</f>
        <v>0</v>
      </c>
      <c r="K1000" s="61"/>
      <c r="L1000" s="1">
        <v>2213941100</v>
      </c>
    </row>
    <row r="1001" spans="1:12" ht="18" customHeight="1" x14ac:dyDescent="0.45">
      <c r="A1001" s="13">
        <v>995</v>
      </c>
      <c r="B1001" s="42" t="str">
        <f t="shared" si="412"/>
        <v>埼玉千葉本部</v>
      </c>
      <c r="C1001" s="42" t="str">
        <f t="shared" si="412"/>
        <v>ラヴィーレ千葉椿森</v>
      </c>
      <c r="D1001" s="14" t="s">
        <v>2</v>
      </c>
      <c r="E1001" s="15">
        <v>3</v>
      </c>
      <c r="F1001" s="17">
        <v>2</v>
      </c>
      <c r="G1001" s="17">
        <v>0.7</v>
      </c>
      <c r="H1001" s="15">
        <f t="shared" si="400"/>
        <v>2</v>
      </c>
      <c r="I1001" s="45"/>
      <c r="J1001" s="19" cm="1">
        <f t="array" ref="J1001">IFERROR(IF(_xlfn.XLOOKUP(L1001,NC導入施設!B:B,NC導入施設!E:E)=0,_xlfn.IFS(H1001&lt;=5,0,H1001&lt;=10,1,H1001&lt;=15,2,H1001&gt;=16,3),"Null"),"-")</f>
        <v>0</v>
      </c>
      <c r="K1001" s="62"/>
      <c r="L1001" s="1">
        <v>2213941100</v>
      </c>
    </row>
    <row r="1002" spans="1:12" ht="18" customHeight="1" x14ac:dyDescent="0.45">
      <c r="A1002" s="8">
        <v>996</v>
      </c>
      <c r="B1002" s="34" t="s">
        <v>71</v>
      </c>
      <c r="C1002" s="34" t="s">
        <v>84</v>
      </c>
      <c r="D1002" s="9" t="s">
        <v>3</v>
      </c>
      <c r="E1002" s="10">
        <v>1</v>
      </c>
      <c r="F1002" s="12">
        <v>2</v>
      </c>
      <c r="G1002" s="12">
        <v>2</v>
      </c>
      <c r="H1002" s="10">
        <f t="shared" si="400"/>
        <v>2</v>
      </c>
      <c r="I1002" s="37" cm="1">
        <f t="array" ref="I1002">IF(J1002="-","-",_xlfn.IFS(K1002&lt;=5,0,K1002&lt;=10,1,K1002&lt;=15,2,K1002&gt;=16,3))</f>
        <v>1</v>
      </c>
      <c r="J1002" s="19" cm="1">
        <f t="array" ref="J1002">IFERROR(IF(_xlfn.XLOOKUP(L1002,NC導入施設!B:B,NC導入施設!E:E)=0,_xlfn.IFS(H1002&lt;=5,0,H1002&lt;=10,1,H1002&lt;=15,2,H1002&gt;=16,3),"Null"),"-")</f>
        <v>0</v>
      </c>
      <c r="K1002" s="60">
        <f t="shared" ref="K1002" si="413">IFERROR(SUM(H1002:H1006),"-")</f>
        <v>10</v>
      </c>
      <c r="L1002" s="1">
        <v>2213951200</v>
      </c>
    </row>
    <row r="1003" spans="1:12" ht="18" customHeight="1" x14ac:dyDescent="0.45">
      <c r="A1003" s="8">
        <v>997</v>
      </c>
      <c r="B1003" s="35" t="str">
        <f t="shared" ref="B1003:C1006" si="414">B1002</f>
        <v>埼玉千葉本部</v>
      </c>
      <c r="C1003" s="35" t="str">
        <f t="shared" si="414"/>
        <v>そんぽの家　蘇我</v>
      </c>
      <c r="D1003" s="9" t="s">
        <v>4</v>
      </c>
      <c r="E1003" s="10">
        <v>1</v>
      </c>
      <c r="F1003" s="12">
        <v>8</v>
      </c>
      <c r="G1003" s="12">
        <v>8</v>
      </c>
      <c r="H1003" s="10">
        <f t="shared" si="400"/>
        <v>8</v>
      </c>
      <c r="I1003" s="38"/>
      <c r="J1003" s="19" cm="1">
        <f t="array" ref="J1003">IFERROR(IF(_xlfn.XLOOKUP(L1003,NC導入施設!B:B,NC導入施設!E:E)=0,_xlfn.IFS(H1003&lt;=5,0,H1003&lt;=10,1,H1003&lt;=15,2,H1003&gt;=16,3),"Null"),"-")</f>
        <v>1</v>
      </c>
      <c r="K1003" s="61"/>
      <c r="L1003" s="1">
        <v>2213951200</v>
      </c>
    </row>
    <row r="1004" spans="1:12" ht="18" customHeight="1" x14ac:dyDescent="0.45">
      <c r="A1004" s="8">
        <v>998</v>
      </c>
      <c r="B1004" s="35" t="str">
        <f t="shared" si="414"/>
        <v>埼玉千葉本部</v>
      </c>
      <c r="C1004" s="35" t="str">
        <f t="shared" si="414"/>
        <v>そんぽの家　蘇我</v>
      </c>
      <c r="D1004" s="9" t="s">
        <v>5</v>
      </c>
      <c r="E1004" s="10">
        <v>1</v>
      </c>
      <c r="F1004" s="12">
        <v>0</v>
      </c>
      <c r="G1004" s="12">
        <v>0</v>
      </c>
      <c r="H1004" s="10">
        <f t="shared" si="400"/>
        <v>0</v>
      </c>
      <c r="I1004" s="38"/>
      <c r="J1004" s="19" cm="1">
        <f t="array" ref="J1004">IFERROR(IF(_xlfn.XLOOKUP(L1004,NC導入施設!B:B,NC導入施設!E:E)=0,_xlfn.IFS(H1004&lt;=5,0,H1004&lt;=10,1,H1004&lt;=15,2,H1004&gt;=16,3),"Null"),"-")</f>
        <v>0</v>
      </c>
      <c r="K1004" s="61"/>
      <c r="L1004" s="1">
        <v>2213951200</v>
      </c>
    </row>
    <row r="1005" spans="1:12" ht="18" customHeight="1" x14ac:dyDescent="0.45">
      <c r="A1005" s="8">
        <v>999</v>
      </c>
      <c r="B1005" s="35" t="str">
        <f t="shared" si="414"/>
        <v>埼玉千葉本部</v>
      </c>
      <c r="C1005" s="35" t="str">
        <f t="shared" si="414"/>
        <v>そんぽの家　蘇我</v>
      </c>
      <c r="D1005" s="9" t="s">
        <v>6</v>
      </c>
      <c r="E1005" s="10">
        <v>3</v>
      </c>
      <c r="F1005" s="12">
        <v>0</v>
      </c>
      <c r="G1005" s="12">
        <v>0</v>
      </c>
      <c r="H1005" s="10">
        <f t="shared" si="400"/>
        <v>0</v>
      </c>
      <c r="I1005" s="38"/>
      <c r="J1005" s="19" cm="1">
        <f t="array" ref="J1005">IFERROR(IF(_xlfn.XLOOKUP(L1005,NC導入施設!B:B,NC導入施設!E:E)=0,_xlfn.IFS(H1005&lt;=5,0,H1005&lt;=10,1,H1005&lt;=15,2,H1005&gt;=16,3),"Null"),"-")</f>
        <v>0</v>
      </c>
      <c r="K1005" s="61"/>
      <c r="L1005" s="1">
        <v>2213951200</v>
      </c>
    </row>
    <row r="1006" spans="1:12" ht="18" customHeight="1" x14ac:dyDescent="0.45">
      <c r="A1006" s="8">
        <v>1000</v>
      </c>
      <c r="B1006" s="36" t="str">
        <f t="shared" si="414"/>
        <v>埼玉千葉本部</v>
      </c>
      <c r="C1006" s="36" t="str">
        <f t="shared" si="414"/>
        <v>そんぽの家　蘇我</v>
      </c>
      <c r="D1006" s="9" t="s">
        <v>2</v>
      </c>
      <c r="E1006" s="10">
        <v>1</v>
      </c>
      <c r="F1006" s="12">
        <v>0</v>
      </c>
      <c r="G1006" s="12">
        <v>0</v>
      </c>
      <c r="H1006" s="10">
        <f t="shared" si="400"/>
        <v>0</v>
      </c>
      <c r="I1006" s="39"/>
      <c r="J1006" s="19" cm="1">
        <f t="array" ref="J1006">IFERROR(IF(_xlfn.XLOOKUP(L1006,NC導入施設!B:B,NC導入施設!E:E)=0,_xlfn.IFS(H1006&lt;=5,0,H1006&lt;=10,1,H1006&lt;=15,2,H1006&gt;=16,3),"Null"),"-")</f>
        <v>0</v>
      </c>
      <c r="K1006" s="62"/>
      <c r="L1006" s="1">
        <v>2213951200</v>
      </c>
    </row>
    <row r="1007" spans="1:12" ht="18" customHeight="1" x14ac:dyDescent="0.45">
      <c r="A1007" s="13">
        <v>1001</v>
      </c>
      <c r="B1007" s="40" t="s">
        <v>85</v>
      </c>
      <c r="C1007" s="40" t="s">
        <v>88</v>
      </c>
      <c r="D1007" s="14" t="s">
        <v>3</v>
      </c>
      <c r="E1007" s="15">
        <v>1</v>
      </c>
      <c r="F1007" s="17">
        <v>1</v>
      </c>
      <c r="G1007" s="17">
        <v>1</v>
      </c>
      <c r="H1007" s="15">
        <f t="shared" si="400"/>
        <v>1</v>
      </c>
      <c r="I1007" s="43" cm="1">
        <f t="array" ref="I1007">IF(J1007="-","-",_xlfn.IFS(K1007&lt;=5,0,K1007&lt;=10,1,K1007&lt;=15,2,K1007&gt;=16,3))</f>
        <v>3</v>
      </c>
      <c r="J1007" s="19" cm="1">
        <f t="array" ref="J1007">IFERROR(IF(_xlfn.XLOOKUP(L1007,NC導入施設!B:B,NC導入施設!E:E)=0,_xlfn.IFS(H1007&lt;=5,0,H1007&lt;=10,1,H1007&lt;=15,2,H1007&gt;=16,3),"Null"),"-")</f>
        <v>0</v>
      </c>
      <c r="K1007" s="60">
        <f t="shared" ref="K1007" si="415">IFERROR(SUM(H1007:H1011),"-")</f>
        <v>17</v>
      </c>
      <c r="L1007" s="1">
        <v>3315851200</v>
      </c>
    </row>
    <row r="1008" spans="1:12" ht="18" customHeight="1" x14ac:dyDescent="0.45">
      <c r="A1008" s="13">
        <v>1002</v>
      </c>
      <c r="B1008" s="41" t="str">
        <f t="shared" ref="B1008:C1011" si="416">B1007</f>
        <v>西日本第一本部</v>
      </c>
      <c r="C1008" s="41" t="str">
        <f t="shared" si="416"/>
        <v>そんぽの家　上飯田</v>
      </c>
      <c r="D1008" s="14" t="s">
        <v>4</v>
      </c>
      <c r="E1008" s="15">
        <v>1</v>
      </c>
      <c r="F1008" s="17">
        <v>9</v>
      </c>
      <c r="G1008" s="17">
        <v>9</v>
      </c>
      <c r="H1008" s="15">
        <f t="shared" si="400"/>
        <v>9</v>
      </c>
      <c r="I1008" s="44"/>
      <c r="J1008" s="19" cm="1">
        <f t="array" ref="J1008">IFERROR(IF(_xlfn.XLOOKUP(L1008,NC導入施設!B:B,NC導入施設!E:E)=0,_xlfn.IFS(H1008&lt;=5,0,H1008&lt;=10,1,H1008&lt;=15,2,H1008&gt;=16,3),"Null"),"-")</f>
        <v>1</v>
      </c>
      <c r="K1008" s="61"/>
      <c r="L1008" s="1">
        <v>3315851200</v>
      </c>
    </row>
    <row r="1009" spans="1:12" ht="18" customHeight="1" x14ac:dyDescent="0.45">
      <c r="A1009" s="13">
        <v>1003</v>
      </c>
      <c r="B1009" s="41" t="str">
        <f t="shared" si="416"/>
        <v>西日本第一本部</v>
      </c>
      <c r="C1009" s="41" t="str">
        <f t="shared" si="416"/>
        <v>そんぽの家　上飯田</v>
      </c>
      <c r="D1009" s="14" t="s">
        <v>5</v>
      </c>
      <c r="E1009" s="15">
        <v>1</v>
      </c>
      <c r="F1009" s="17">
        <v>0</v>
      </c>
      <c r="G1009" s="17">
        <v>0</v>
      </c>
      <c r="H1009" s="15">
        <f t="shared" si="400"/>
        <v>0</v>
      </c>
      <c r="I1009" s="44"/>
      <c r="J1009" s="19" cm="1">
        <f t="array" ref="J1009">IFERROR(IF(_xlfn.XLOOKUP(L1009,NC導入施設!B:B,NC導入施設!E:E)=0,_xlfn.IFS(H1009&lt;=5,0,H1009&lt;=10,1,H1009&lt;=15,2,H1009&gt;=16,3),"Null"),"-")</f>
        <v>0</v>
      </c>
      <c r="K1009" s="61"/>
      <c r="L1009" s="1">
        <v>3315851200</v>
      </c>
    </row>
    <row r="1010" spans="1:12" ht="18" customHeight="1" x14ac:dyDescent="0.45">
      <c r="A1010" s="13">
        <v>1004</v>
      </c>
      <c r="B1010" s="41" t="str">
        <f t="shared" si="416"/>
        <v>西日本第一本部</v>
      </c>
      <c r="C1010" s="41" t="str">
        <f t="shared" si="416"/>
        <v>そんぽの家　上飯田</v>
      </c>
      <c r="D1010" s="14" t="s">
        <v>6</v>
      </c>
      <c r="E1010" s="15">
        <v>3</v>
      </c>
      <c r="F1010" s="17">
        <v>7</v>
      </c>
      <c r="G1010" s="17">
        <v>2.2999999999999998</v>
      </c>
      <c r="H1010" s="15">
        <f t="shared" si="400"/>
        <v>7</v>
      </c>
      <c r="I1010" s="44"/>
      <c r="J1010" s="19" cm="1">
        <f t="array" ref="J1010">IFERROR(IF(_xlfn.XLOOKUP(L1010,NC導入施設!B:B,NC導入施設!E:E)=0,_xlfn.IFS(H1010&lt;=5,0,H1010&lt;=10,1,H1010&lt;=15,2,H1010&gt;=16,3),"Null"),"-")</f>
        <v>1</v>
      </c>
      <c r="K1010" s="61"/>
      <c r="L1010" s="1">
        <v>3315851200</v>
      </c>
    </row>
    <row r="1011" spans="1:12" ht="18" customHeight="1" x14ac:dyDescent="0.45">
      <c r="A1011" s="13">
        <v>1005</v>
      </c>
      <c r="B1011" s="42" t="str">
        <f t="shared" si="416"/>
        <v>西日本第一本部</v>
      </c>
      <c r="C1011" s="42" t="str">
        <f t="shared" si="416"/>
        <v>そんぽの家　上飯田</v>
      </c>
      <c r="D1011" s="14" t="s">
        <v>2</v>
      </c>
      <c r="E1011" s="15">
        <v>0</v>
      </c>
      <c r="F1011" s="17">
        <v>0</v>
      </c>
      <c r="G1011" s="17">
        <v>0</v>
      </c>
      <c r="H1011" s="15">
        <f t="shared" si="400"/>
        <v>0</v>
      </c>
      <c r="I1011" s="45"/>
      <c r="J1011" s="19" cm="1">
        <f t="array" ref="J1011">IFERROR(IF(_xlfn.XLOOKUP(L1011,NC導入施設!B:B,NC導入施設!E:E)=0,_xlfn.IFS(H1011&lt;=5,0,H1011&lt;=10,1,H1011&lt;=15,2,H1011&gt;=16,3),"Null"),"-")</f>
        <v>0</v>
      </c>
      <c r="K1011" s="62"/>
      <c r="L1011" s="1">
        <v>3315851200</v>
      </c>
    </row>
    <row r="1012" spans="1:12" ht="18" customHeight="1" x14ac:dyDescent="0.45">
      <c r="A1012" s="8">
        <v>1006</v>
      </c>
      <c r="B1012" s="34" t="s">
        <v>85</v>
      </c>
      <c r="C1012" s="34" t="s">
        <v>89</v>
      </c>
      <c r="D1012" s="9" t="s">
        <v>3</v>
      </c>
      <c r="E1012" s="10">
        <v>1</v>
      </c>
      <c r="F1012" s="12">
        <v>3</v>
      </c>
      <c r="G1012" s="12">
        <v>3</v>
      </c>
      <c r="H1012" s="10">
        <f t="shared" si="400"/>
        <v>3</v>
      </c>
      <c r="I1012" s="37" cm="1">
        <f t="array" ref="I1012">IF(J1012="-","-",_xlfn.IFS(K1012&lt;=5,0,K1012&lt;=10,1,K1012&lt;=15,2,K1012&gt;=16,3))</f>
        <v>1</v>
      </c>
      <c r="J1012" s="19" cm="1">
        <f t="array" ref="J1012">IFERROR(IF(_xlfn.XLOOKUP(L1012,NC導入施設!B:B,NC導入施設!E:E)=0,_xlfn.IFS(H1012&lt;=5,0,H1012&lt;=10,1,H1012&lt;=15,2,H1012&gt;=16,3),"Null"),"-")</f>
        <v>0</v>
      </c>
      <c r="K1012" s="60">
        <f t="shared" ref="K1012" si="417">IFERROR(SUM(H1012:H1016),"-")</f>
        <v>6</v>
      </c>
      <c r="L1012" s="1">
        <v>3315881200</v>
      </c>
    </row>
    <row r="1013" spans="1:12" ht="18" customHeight="1" x14ac:dyDescent="0.45">
      <c r="A1013" s="8">
        <v>1007</v>
      </c>
      <c r="B1013" s="35" t="str">
        <f t="shared" ref="B1013:C1016" si="418">B1012</f>
        <v>西日本第一本部</v>
      </c>
      <c r="C1013" s="35" t="str">
        <f t="shared" si="418"/>
        <v>そんぽの家　茶屋が坂</v>
      </c>
      <c r="D1013" s="9" t="s">
        <v>4</v>
      </c>
      <c r="E1013" s="10">
        <v>1</v>
      </c>
      <c r="F1013" s="12">
        <v>2</v>
      </c>
      <c r="G1013" s="12">
        <v>2</v>
      </c>
      <c r="H1013" s="10">
        <f t="shared" si="400"/>
        <v>2</v>
      </c>
      <c r="I1013" s="38"/>
      <c r="J1013" s="19" cm="1">
        <f t="array" ref="J1013">IFERROR(IF(_xlfn.XLOOKUP(L1013,NC導入施設!B:B,NC導入施設!E:E)=0,_xlfn.IFS(H1013&lt;=5,0,H1013&lt;=10,1,H1013&lt;=15,2,H1013&gt;=16,3),"Null"),"-")</f>
        <v>0</v>
      </c>
      <c r="K1013" s="61"/>
      <c r="L1013" s="1">
        <v>3315881200</v>
      </c>
    </row>
    <row r="1014" spans="1:12" ht="18" customHeight="1" x14ac:dyDescent="0.45">
      <c r="A1014" s="8">
        <v>1008</v>
      </c>
      <c r="B1014" s="35" t="str">
        <f t="shared" si="418"/>
        <v>西日本第一本部</v>
      </c>
      <c r="C1014" s="35" t="str">
        <f t="shared" si="418"/>
        <v>そんぽの家　茶屋が坂</v>
      </c>
      <c r="D1014" s="9" t="s">
        <v>5</v>
      </c>
      <c r="E1014" s="10">
        <v>0</v>
      </c>
      <c r="F1014" s="12">
        <v>0</v>
      </c>
      <c r="G1014" s="12">
        <v>0</v>
      </c>
      <c r="H1014" s="10">
        <f t="shared" si="400"/>
        <v>0</v>
      </c>
      <c r="I1014" s="38"/>
      <c r="J1014" s="19" cm="1">
        <f t="array" ref="J1014">IFERROR(IF(_xlfn.XLOOKUP(L1014,NC導入施設!B:B,NC導入施設!E:E)=0,_xlfn.IFS(H1014&lt;=5,0,H1014&lt;=10,1,H1014&lt;=15,2,H1014&gt;=16,3),"Null"),"-")</f>
        <v>0</v>
      </c>
      <c r="K1014" s="61"/>
      <c r="L1014" s="1">
        <v>3315881200</v>
      </c>
    </row>
    <row r="1015" spans="1:12" ht="18" customHeight="1" x14ac:dyDescent="0.45">
      <c r="A1015" s="8">
        <v>1009</v>
      </c>
      <c r="B1015" s="35" t="str">
        <f t="shared" si="418"/>
        <v>西日本第一本部</v>
      </c>
      <c r="C1015" s="35" t="str">
        <f t="shared" si="418"/>
        <v>そんぽの家　茶屋が坂</v>
      </c>
      <c r="D1015" s="9" t="s">
        <v>6</v>
      </c>
      <c r="E1015" s="10">
        <v>2</v>
      </c>
      <c r="F1015" s="12">
        <v>0</v>
      </c>
      <c r="G1015" s="12">
        <v>0</v>
      </c>
      <c r="H1015" s="10">
        <f t="shared" si="400"/>
        <v>0</v>
      </c>
      <c r="I1015" s="38"/>
      <c r="J1015" s="19" cm="1">
        <f t="array" ref="J1015">IFERROR(IF(_xlfn.XLOOKUP(L1015,NC導入施設!B:B,NC導入施設!E:E)=0,_xlfn.IFS(H1015&lt;=5,0,H1015&lt;=10,1,H1015&lt;=15,2,H1015&gt;=16,3),"Null"),"-")</f>
        <v>0</v>
      </c>
      <c r="K1015" s="61"/>
      <c r="L1015" s="1">
        <v>3315881200</v>
      </c>
    </row>
    <row r="1016" spans="1:12" ht="18" customHeight="1" x14ac:dyDescent="0.45">
      <c r="A1016" s="8">
        <v>1010</v>
      </c>
      <c r="B1016" s="36" t="str">
        <f t="shared" si="418"/>
        <v>西日本第一本部</v>
      </c>
      <c r="C1016" s="36" t="str">
        <f t="shared" si="418"/>
        <v>そんぽの家　茶屋が坂</v>
      </c>
      <c r="D1016" s="9" t="s">
        <v>2</v>
      </c>
      <c r="E1016" s="10">
        <v>1</v>
      </c>
      <c r="F1016" s="12">
        <v>1</v>
      </c>
      <c r="G1016" s="12">
        <v>1</v>
      </c>
      <c r="H1016" s="10">
        <f t="shared" si="400"/>
        <v>1</v>
      </c>
      <c r="I1016" s="39"/>
      <c r="J1016" s="19" cm="1">
        <f t="array" ref="J1016">IFERROR(IF(_xlfn.XLOOKUP(L1016,NC導入施設!B:B,NC導入施設!E:E)=0,_xlfn.IFS(H1016&lt;=5,0,H1016&lt;=10,1,H1016&lt;=15,2,H1016&gt;=16,3),"Null"),"-")</f>
        <v>0</v>
      </c>
      <c r="K1016" s="62"/>
      <c r="L1016" s="1">
        <v>3315881200</v>
      </c>
    </row>
    <row r="1017" spans="1:12" ht="18" customHeight="1" x14ac:dyDescent="0.45">
      <c r="A1017" s="13">
        <v>1011</v>
      </c>
      <c r="B1017" s="40" t="s">
        <v>85</v>
      </c>
      <c r="C1017" s="40" t="s">
        <v>90</v>
      </c>
      <c r="D1017" s="14" t="s">
        <v>3</v>
      </c>
      <c r="E1017" s="15">
        <v>1</v>
      </c>
      <c r="F1017" s="17">
        <v>4</v>
      </c>
      <c r="G1017" s="17">
        <v>4</v>
      </c>
      <c r="H1017" s="15">
        <f t="shared" si="400"/>
        <v>4</v>
      </c>
      <c r="I1017" s="43" cm="1">
        <f t="array" ref="I1017">IF(J1017="-","-",_xlfn.IFS(K1017&lt;=5,0,K1017&lt;=10,1,K1017&lt;=15,2,K1017&gt;=16,3))</f>
        <v>3</v>
      </c>
      <c r="J1017" s="19" cm="1">
        <f t="array" ref="J1017">IFERROR(IF(_xlfn.XLOOKUP(L1017,NC導入施設!B:B,NC導入施設!E:E)=0,_xlfn.IFS(H1017&lt;=5,0,H1017&lt;=10,1,H1017&lt;=15,2,H1017&gt;=16,3),"Null"),"-")</f>
        <v>0</v>
      </c>
      <c r="K1017" s="60">
        <f t="shared" ref="K1017" si="419">IFERROR(SUM(H1017:H1021),"-")</f>
        <v>34</v>
      </c>
      <c r="L1017" s="1">
        <v>3315901200</v>
      </c>
    </row>
    <row r="1018" spans="1:12" ht="18" customHeight="1" x14ac:dyDescent="0.45">
      <c r="A1018" s="13">
        <v>1012</v>
      </c>
      <c r="B1018" s="41" t="str">
        <f t="shared" ref="B1018:C1021" si="420">B1017</f>
        <v>西日本第一本部</v>
      </c>
      <c r="C1018" s="41" t="str">
        <f t="shared" si="420"/>
        <v>そんぽの家　黒川</v>
      </c>
      <c r="D1018" s="14" t="s">
        <v>4</v>
      </c>
      <c r="E1018" s="15">
        <v>1</v>
      </c>
      <c r="F1018" s="17">
        <v>2</v>
      </c>
      <c r="G1018" s="17">
        <v>2</v>
      </c>
      <c r="H1018" s="15">
        <f t="shared" si="400"/>
        <v>2</v>
      </c>
      <c r="I1018" s="44"/>
      <c r="J1018" s="19" cm="1">
        <f t="array" ref="J1018">IFERROR(IF(_xlfn.XLOOKUP(L1018,NC導入施設!B:B,NC導入施設!E:E)=0,_xlfn.IFS(H1018&lt;=5,0,H1018&lt;=10,1,H1018&lt;=15,2,H1018&gt;=16,3),"Null"),"-")</f>
        <v>0</v>
      </c>
      <c r="K1018" s="61"/>
      <c r="L1018" s="1">
        <v>3315901200</v>
      </c>
    </row>
    <row r="1019" spans="1:12" ht="18" customHeight="1" x14ac:dyDescent="0.45">
      <c r="A1019" s="13">
        <v>1013</v>
      </c>
      <c r="B1019" s="41" t="str">
        <f t="shared" si="420"/>
        <v>西日本第一本部</v>
      </c>
      <c r="C1019" s="41" t="str">
        <f t="shared" si="420"/>
        <v>そんぽの家　黒川</v>
      </c>
      <c r="D1019" s="14" t="s">
        <v>5</v>
      </c>
      <c r="E1019" s="15">
        <v>1</v>
      </c>
      <c r="F1019" s="17">
        <v>17</v>
      </c>
      <c r="G1019" s="17">
        <v>17</v>
      </c>
      <c r="H1019" s="15">
        <f t="shared" si="400"/>
        <v>17</v>
      </c>
      <c r="I1019" s="44"/>
      <c r="J1019" s="19" cm="1">
        <f t="array" ref="J1019">IFERROR(IF(_xlfn.XLOOKUP(L1019,NC導入施設!B:B,NC導入施設!E:E)=0,_xlfn.IFS(H1019&lt;=5,0,H1019&lt;=10,1,H1019&lt;=15,2,H1019&gt;=16,3),"Null"),"-")</f>
        <v>3</v>
      </c>
      <c r="K1019" s="61"/>
      <c r="L1019" s="1">
        <v>3315901200</v>
      </c>
    </row>
    <row r="1020" spans="1:12" ht="18" customHeight="1" x14ac:dyDescent="0.45">
      <c r="A1020" s="13">
        <v>1014</v>
      </c>
      <c r="B1020" s="41" t="str">
        <f t="shared" si="420"/>
        <v>西日本第一本部</v>
      </c>
      <c r="C1020" s="41" t="str">
        <f t="shared" si="420"/>
        <v>そんぽの家　黒川</v>
      </c>
      <c r="D1020" s="14" t="s">
        <v>6</v>
      </c>
      <c r="E1020" s="15">
        <v>3</v>
      </c>
      <c r="F1020" s="17">
        <v>3</v>
      </c>
      <c r="G1020" s="17">
        <v>1</v>
      </c>
      <c r="H1020" s="15">
        <f t="shared" si="400"/>
        <v>3</v>
      </c>
      <c r="I1020" s="44"/>
      <c r="J1020" s="19" cm="1">
        <f t="array" ref="J1020">IFERROR(IF(_xlfn.XLOOKUP(L1020,NC導入施設!B:B,NC導入施設!E:E)=0,_xlfn.IFS(H1020&lt;=5,0,H1020&lt;=10,1,H1020&lt;=15,2,H1020&gt;=16,3),"Null"),"-")</f>
        <v>0</v>
      </c>
      <c r="K1020" s="61"/>
      <c r="L1020" s="1">
        <v>3315901200</v>
      </c>
    </row>
    <row r="1021" spans="1:12" ht="18" customHeight="1" x14ac:dyDescent="0.45">
      <c r="A1021" s="13">
        <v>1015</v>
      </c>
      <c r="B1021" s="42" t="str">
        <f t="shared" si="420"/>
        <v>西日本第一本部</v>
      </c>
      <c r="C1021" s="42" t="str">
        <f t="shared" si="420"/>
        <v>そんぽの家　黒川</v>
      </c>
      <c r="D1021" s="14" t="s">
        <v>2</v>
      </c>
      <c r="E1021" s="15">
        <v>1</v>
      </c>
      <c r="F1021" s="17">
        <v>8</v>
      </c>
      <c r="G1021" s="17">
        <v>8</v>
      </c>
      <c r="H1021" s="15">
        <f t="shared" si="400"/>
        <v>8</v>
      </c>
      <c r="I1021" s="45"/>
      <c r="J1021" s="19" cm="1">
        <f t="array" ref="J1021">IFERROR(IF(_xlfn.XLOOKUP(L1021,NC導入施設!B:B,NC導入施設!E:E)=0,_xlfn.IFS(H1021&lt;=5,0,H1021&lt;=10,1,H1021&lt;=15,2,H1021&gt;=16,3),"Null"),"-")</f>
        <v>1</v>
      </c>
      <c r="K1021" s="62"/>
      <c r="L1021" s="1">
        <v>3315901200</v>
      </c>
    </row>
    <row r="1022" spans="1:12" ht="18" customHeight="1" x14ac:dyDescent="0.45">
      <c r="A1022" s="8">
        <v>1016</v>
      </c>
      <c r="B1022" s="34" t="s">
        <v>85</v>
      </c>
      <c r="C1022" s="34" t="s">
        <v>91</v>
      </c>
      <c r="D1022" s="9" t="s">
        <v>3</v>
      </c>
      <c r="E1022" s="10">
        <v>1</v>
      </c>
      <c r="F1022" s="12">
        <v>2</v>
      </c>
      <c r="G1022" s="12">
        <v>2</v>
      </c>
      <c r="H1022" s="10">
        <f t="shared" si="400"/>
        <v>2</v>
      </c>
      <c r="I1022" s="37" cm="1">
        <f t="array" ref="I1022">IF(J1022="-","-",_xlfn.IFS(K1022&lt;=5,0,K1022&lt;=10,1,K1022&lt;=15,2,K1022&gt;=16,3))</f>
        <v>3</v>
      </c>
      <c r="J1022" s="19" cm="1">
        <f t="array" ref="J1022">IFERROR(IF(_xlfn.XLOOKUP(L1022,NC導入施設!B:B,NC導入施設!E:E)=0,_xlfn.IFS(H1022&lt;=5,0,H1022&lt;=10,1,H1022&lt;=15,2,H1022&gt;=16,3),"Null"),"-")</f>
        <v>0</v>
      </c>
      <c r="K1022" s="60">
        <f t="shared" ref="K1022" si="421">IFERROR(SUM(H1022:H1026),"-")</f>
        <v>42</v>
      </c>
      <c r="L1022" s="1">
        <v>3315911200</v>
      </c>
    </row>
    <row r="1023" spans="1:12" ht="18" customHeight="1" x14ac:dyDescent="0.45">
      <c r="A1023" s="8">
        <v>1017</v>
      </c>
      <c r="B1023" s="35" t="str">
        <f t="shared" ref="B1023:C1026" si="422">B1022</f>
        <v>西日本第一本部</v>
      </c>
      <c r="C1023" s="35" t="str">
        <f t="shared" si="422"/>
        <v>そんぽの家　豊山</v>
      </c>
      <c r="D1023" s="9" t="s">
        <v>4</v>
      </c>
      <c r="E1023" s="10">
        <v>1</v>
      </c>
      <c r="F1023" s="12">
        <v>8</v>
      </c>
      <c r="G1023" s="12">
        <v>8</v>
      </c>
      <c r="H1023" s="10">
        <f t="shared" si="400"/>
        <v>8</v>
      </c>
      <c r="I1023" s="38"/>
      <c r="J1023" s="19" cm="1">
        <f t="array" ref="J1023">IFERROR(IF(_xlfn.XLOOKUP(L1023,NC導入施設!B:B,NC導入施設!E:E)=0,_xlfn.IFS(H1023&lt;=5,0,H1023&lt;=10,1,H1023&lt;=15,2,H1023&gt;=16,3),"Null"),"-")</f>
        <v>1</v>
      </c>
      <c r="K1023" s="61"/>
      <c r="L1023" s="1">
        <v>3315911200</v>
      </c>
    </row>
    <row r="1024" spans="1:12" ht="18" customHeight="1" x14ac:dyDescent="0.45">
      <c r="A1024" s="8">
        <v>1018</v>
      </c>
      <c r="B1024" s="35" t="str">
        <f t="shared" si="422"/>
        <v>西日本第一本部</v>
      </c>
      <c r="C1024" s="35" t="str">
        <f t="shared" si="422"/>
        <v>そんぽの家　豊山</v>
      </c>
      <c r="D1024" s="9" t="s">
        <v>5</v>
      </c>
      <c r="E1024" s="10">
        <v>1</v>
      </c>
      <c r="F1024" s="12">
        <v>28</v>
      </c>
      <c r="G1024" s="12">
        <v>28</v>
      </c>
      <c r="H1024" s="10">
        <f t="shared" si="400"/>
        <v>28</v>
      </c>
      <c r="I1024" s="38"/>
      <c r="J1024" s="19" cm="1">
        <f t="array" ref="J1024">IFERROR(IF(_xlfn.XLOOKUP(L1024,NC導入施設!B:B,NC導入施設!E:E)=0,_xlfn.IFS(H1024&lt;=5,0,H1024&lt;=10,1,H1024&lt;=15,2,H1024&gt;=16,3),"Null"),"-")</f>
        <v>3</v>
      </c>
      <c r="K1024" s="61"/>
      <c r="L1024" s="1">
        <v>3315911200</v>
      </c>
    </row>
    <row r="1025" spans="1:12" ht="18" customHeight="1" x14ac:dyDescent="0.45">
      <c r="A1025" s="8">
        <v>1019</v>
      </c>
      <c r="B1025" s="35" t="str">
        <f t="shared" si="422"/>
        <v>西日本第一本部</v>
      </c>
      <c r="C1025" s="35" t="str">
        <f t="shared" si="422"/>
        <v>そんぽの家　豊山</v>
      </c>
      <c r="D1025" s="9" t="s">
        <v>6</v>
      </c>
      <c r="E1025" s="10">
        <v>3</v>
      </c>
      <c r="F1025" s="12">
        <v>0</v>
      </c>
      <c r="G1025" s="12">
        <v>0</v>
      </c>
      <c r="H1025" s="10">
        <f t="shared" si="400"/>
        <v>0</v>
      </c>
      <c r="I1025" s="38"/>
      <c r="J1025" s="19" cm="1">
        <f t="array" ref="J1025">IFERROR(IF(_xlfn.XLOOKUP(L1025,NC導入施設!B:B,NC導入施設!E:E)=0,_xlfn.IFS(H1025&lt;=5,0,H1025&lt;=10,1,H1025&lt;=15,2,H1025&gt;=16,3),"Null"),"-")</f>
        <v>0</v>
      </c>
      <c r="K1025" s="61"/>
      <c r="L1025" s="1">
        <v>3315911200</v>
      </c>
    </row>
    <row r="1026" spans="1:12" ht="18" customHeight="1" x14ac:dyDescent="0.45">
      <c r="A1026" s="8">
        <v>1020</v>
      </c>
      <c r="B1026" s="36" t="str">
        <f t="shared" si="422"/>
        <v>西日本第一本部</v>
      </c>
      <c r="C1026" s="36" t="str">
        <f t="shared" si="422"/>
        <v>そんぽの家　豊山</v>
      </c>
      <c r="D1026" s="9" t="s">
        <v>2</v>
      </c>
      <c r="E1026" s="10">
        <v>2</v>
      </c>
      <c r="F1026" s="12">
        <v>4</v>
      </c>
      <c r="G1026" s="12">
        <v>2</v>
      </c>
      <c r="H1026" s="10">
        <f t="shared" si="400"/>
        <v>4</v>
      </c>
      <c r="I1026" s="39"/>
      <c r="J1026" s="19" cm="1">
        <f t="array" ref="J1026">IFERROR(IF(_xlfn.XLOOKUP(L1026,NC導入施設!B:B,NC導入施設!E:E)=0,_xlfn.IFS(H1026&lt;=5,0,H1026&lt;=10,1,H1026&lt;=15,2,H1026&gt;=16,3),"Null"),"-")</f>
        <v>0</v>
      </c>
      <c r="K1026" s="62"/>
      <c r="L1026" s="1">
        <v>3315911200</v>
      </c>
    </row>
    <row r="1027" spans="1:12" ht="18" customHeight="1" x14ac:dyDescent="0.45">
      <c r="A1027" s="13">
        <v>1021</v>
      </c>
      <c r="B1027" s="40" t="s">
        <v>85</v>
      </c>
      <c r="C1027" s="40" t="s">
        <v>92</v>
      </c>
      <c r="D1027" s="14" t="s">
        <v>3</v>
      </c>
      <c r="E1027" s="15">
        <v>1</v>
      </c>
      <c r="F1027" s="17">
        <v>14</v>
      </c>
      <c r="G1027" s="17">
        <v>14</v>
      </c>
      <c r="H1027" s="15">
        <f t="shared" si="400"/>
        <v>14</v>
      </c>
      <c r="I1027" s="43" cm="1">
        <f t="array" ref="I1027">IF(J1027="-","-",_xlfn.IFS(K1027&lt;=5,0,K1027&lt;=10,1,K1027&lt;=15,2,K1027&gt;=16,3))</f>
        <v>3</v>
      </c>
      <c r="J1027" s="19" cm="1">
        <f t="array" ref="J1027">IFERROR(IF(_xlfn.XLOOKUP(L1027,NC導入施設!B:B,NC導入施設!E:E)=0,_xlfn.IFS(H1027&lt;=5,0,H1027&lt;=10,1,H1027&lt;=15,2,H1027&gt;=16,3),"Null"),"-")</f>
        <v>2</v>
      </c>
      <c r="K1027" s="60">
        <f t="shared" ref="K1027" si="423">IFERROR(SUM(H1027:H1031),"-")</f>
        <v>24</v>
      </c>
      <c r="L1027" s="1">
        <v>3315921200</v>
      </c>
    </row>
    <row r="1028" spans="1:12" ht="18" customHeight="1" x14ac:dyDescent="0.45">
      <c r="A1028" s="13">
        <v>1022</v>
      </c>
      <c r="B1028" s="41" t="str">
        <f t="shared" ref="B1028:C1031" si="424">B1027</f>
        <v>西日本第一本部</v>
      </c>
      <c r="C1028" s="41" t="str">
        <f t="shared" si="424"/>
        <v>そんぽの家　丸の内</v>
      </c>
      <c r="D1028" s="14" t="s">
        <v>4</v>
      </c>
      <c r="E1028" s="15">
        <v>1</v>
      </c>
      <c r="F1028" s="17">
        <v>3</v>
      </c>
      <c r="G1028" s="17">
        <v>3</v>
      </c>
      <c r="H1028" s="15">
        <f t="shared" si="400"/>
        <v>3</v>
      </c>
      <c r="I1028" s="44"/>
      <c r="J1028" s="19" cm="1">
        <f t="array" ref="J1028">IFERROR(IF(_xlfn.XLOOKUP(L1028,NC導入施設!B:B,NC導入施設!E:E)=0,_xlfn.IFS(H1028&lt;=5,0,H1028&lt;=10,1,H1028&lt;=15,2,H1028&gt;=16,3),"Null"),"-")</f>
        <v>0</v>
      </c>
      <c r="K1028" s="61"/>
      <c r="L1028" s="1">
        <v>3315921200</v>
      </c>
    </row>
    <row r="1029" spans="1:12" ht="18" customHeight="1" x14ac:dyDescent="0.45">
      <c r="A1029" s="13">
        <v>1023</v>
      </c>
      <c r="B1029" s="41" t="str">
        <f t="shared" si="424"/>
        <v>西日本第一本部</v>
      </c>
      <c r="C1029" s="41" t="str">
        <f t="shared" si="424"/>
        <v>そんぽの家　丸の内</v>
      </c>
      <c r="D1029" s="14" t="s">
        <v>5</v>
      </c>
      <c r="E1029" s="15">
        <v>1</v>
      </c>
      <c r="F1029" s="17">
        <v>0</v>
      </c>
      <c r="G1029" s="17">
        <v>0</v>
      </c>
      <c r="H1029" s="15">
        <f t="shared" si="400"/>
        <v>0</v>
      </c>
      <c r="I1029" s="44"/>
      <c r="J1029" s="19" cm="1">
        <f t="array" ref="J1029">IFERROR(IF(_xlfn.XLOOKUP(L1029,NC導入施設!B:B,NC導入施設!E:E)=0,_xlfn.IFS(H1029&lt;=5,0,H1029&lt;=10,1,H1029&lt;=15,2,H1029&gt;=16,3),"Null"),"-")</f>
        <v>0</v>
      </c>
      <c r="K1029" s="61"/>
      <c r="L1029" s="1">
        <v>3315921200</v>
      </c>
    </row>
    <row r="1030" spans="1:12" ht="18" customHeight="1" x14ac:dyDescent="0.45">
      <c r="A1030" s="13">
        <v>1024</v>
      </c>
      <c r="B1030" s="41" t="str">
        <f t="shared" si="424"/>
        <v>西日本第一本部</v>
      </c>
      <c r="C1030" s="41" t="str">
        <f t="shared" si="424"/>
        <v>そんぽの家　丸の内</v>
      </c>
      <c r="D1030" s="14" t="s">
        <v>6</v>
      </c>
      <c r="E1030" s="15">
        <v>2</v>
      </c>
      <c r="F1030" s="17">
        <v>4</v>
      </c>
      <c r="G1030" s="17">
        <v>2</v>
      </c>
      <c r="H1030" s="15">
        <f t="shared" si="400"/>
        <v>4</v>
      </c>
      <c r="I1030" s="44"/>
      <c r="J1030" s="19" cm="1">
        <f t="array" ref="J1030">IFERROR(IF(_xlfn.XLOOKUP(L1030,NC導入施設!B:B,NC導入施設!E:E)=0,_xlfn.IFS(H1030&lt;=5,0,H1030&lt;=10,1,H1030&lt;=15,2,H1030&gt;=16,3),"Null"),"-")</f>
        <v>0</v>
      </c>
      <c r="K1030" s="61"/>
      <c r="L1030" s="1">
        <v>3315921200</v>
      </c>
    </row>
    <row r="1031" spans="1:12" ht="18" customHeight="1" x14ac:dyDescent="0.45">
      <c r="A1031" s="13">
        <v>1025</v>
      </c>
      <c r="B1031" s="42" t="str">
        <f t="shared" si="424"/>
        <v>西日本第一本部</v>
      </c>
      <c r="C1031" s="42" t="str">
        <f t="shared" si="424"/>
        <v>そんぽの家　丸の内</v>
      </c>
      <c r="D1031" s="14" t="s">
        <v>2</v>
      </c>
      <c r="E1031" s="15">
        <v>1</v>
      </c>
      <c r="F1031" s="17">
        <v>3</v>
      </c>
      <c r="G1031" s="17">
        <v>3</v>
      </c>
      <c r="H1031" s="15">
        <f t="shared" si="400"/>
        <v>3</v>
      </c>
      <c r="I1031" s="45"/>
      <c r="J1031" s="19" cm="1">
        <f t="array" ref="J1031">IFERROR(IF(_xlfn.XLOOKUP(L1031,NC導入施設!B:B,NC導入施設!E:E)=0,_xlfn.IFS(H1031&lt;=5,0,H1031&lt;=10,1,H1031&lt;=15,2,H1031&gt;=16,3),"Null"),"-")</f>
        <v>0</v>
      </c>
      <c r="K1031" s="62"/>
      <c r="L1031" s="1">
        <v>3315921200</v>
      </c>
    </row>
    <row r="1032" spans="1:12" ht="18" customHeight="1" x14ac:dyDescent="0.45">
      <c r="A1032" s="8">
        <v>1026</v>
      </c>
      <c r="B1032" s="34" t="s">
        <v>85</v>
      </c>
      <c r="C1032" s="34" t="s">
        <v>93</v>
      </c>
      <c r="D1032" s="9" t="s">
        <v>3</v>
      </c>
      <c r="E1032" s="10">
        <v>1</v>
      </c>
      <c r="F1032" s="12">
        <v>11</v>
      </c>
      <c r="G1032" s="12">
        <v>11</v>
      </c>
      <c r="H1032" s="10">
        <f t="shared" ref="H1032:H1095" si="425">F1032</f>
        <v>11</v>
      </c>
      <c r="I1032" s="37" cm="1">
        <f t="array" ref="I1032">IF(J1032="-","-",_xlfn.IFS(K1032&lt;=5,0,K1032&lt;=10,1,K1032&lt;=15,2,K1032&gt;=16,3))</f>
        <v>2</v>
      </c>
      <c r="J1032" s="19" cm="1">
        <f t="array" ref="J1032">IFERROR(IF(_xlfn.XLOOKUP(L1032,NC導入施設!B:B,NC導入施設!E:E)=0,_xlfn.IFS(H1032&lt;=5,0,H1032&lt;=10,1,H1032&lt;=15,2,H1032&gt;=16,3),"Null"),"-")</f>
        <v>2</v>
      </c>
      <c r="K1032" s="60">
        <f t="shared" ref="K1032" si="426">IFERROR(SUM(H1032:H1036),"-")</f>
        <v>13</v>
      </c>
      <c r="L1032" s="1">
        <v>3315931200</v>
      </c>
    </row>
    <row r="1033" spans="1:12" ht="18" customHeight="1" x14ac:dyDescent="0.45">
      <c r="A1033" s="8">
        <v>1027</v>
      </c>
      <c r="B1033" s="35" t="str">
        <f t="shared" ref="B1033:C1036" si="427">B1032</f>
        <v>西日本第一本部</v>
      </c>
      <c r="C1033" s="35" t="str">
        <f t="shared" si="427"/>
        <v>そんぽの家　吹上</v>
      </c>
      <c r="D1033" s="9" t="s">
        <v>4</v>
      </c>
      <c r="E1033" s="10">
        <v>1</v>
      </c>
      <c r="F1033" s="12">
        <v>2</v>
      </c>
      <c r="G1033" s="12">
        <v>2</v>
      </c>
      <c r="H1033" s="10">
        <f t="shared" si="425"/>
        <v>2</v>
      </c>
      <c r="I1033" s="38"/>
      <c r="J1033" s="19" cm="1">
        <f t="array" ref="J1033">IFERROR(IF(_xlfn.XLOOKUP(L1033,NC導入施設!B:B,NC導入施設!E:E)=0,_xlfn.IFS(H1033&lt;=5,0,H1033&lt;=10,1,H1033&lt;=15,2,H1033&gt;=16,3),"Null"),"-")</f>
        <v>0</v>
      </c>
      <c r="K1033" s="61"/>
      <c r="L1033" s="1">
        <v>3315931200</v>
      </c>
    </row>
    <row r="1034" spans="1:12" ht="18" customHeight="1" x14ac:dyDescent="0.45">
      <c r="A1034" s="8">
        <v>1028</v>
      </c>
      <c r="B1034" s="35" t="str">
        <f t="shared" si="427"/>
        <v>西日本第一本部</v>
      </c>
      <c r="C1034" s="35" t="str">
        <f t="shared" si="427"/>
        <v>そんぽの家　吹上</v>
      </c>
      <c r="D1034" s="9" t="s">
        <v>5</v>
      </c>
      <c r="E1034" s="10">
        <v>2</v>
      </c>
      <c r="F1034" s="12">
        <v>0</v>
      </c>
      <c r="G1034" s="12">
        <v>0</v>
      </c>
      <c r="H1034" s="10">
        <f t="shared" si="425"/>
        <v>0</v>
      </c>
      <c r="I1034" s="38"/>
      <c r="J1034" s="19" cm="1">
        <f t="array" ref="J1034">IFERROR(IF(_xlfn.XLOOKUP(L1034,NC導入施設!B:B,NC導入施設!E:E)=0,_xlfn.IFS(H1034&lt;=5,0,H1034&lt;=10,1,H1034&lt;=15,2,H1034&gt;=16,3),"Null"),"-")</f>
        <v>0</v>
      </c>
      <c r="K1034" s="61"/>
      <c r="L1034" s="1">
        <v>3315931200</v>
      </c>
    </row>
    <row r="1035" spans="1:12" ht="18" customHeight="1" x14ac:dyDescent="0.45">
      <c r="A1035" s="8">
        <v>1029</v>
      </c>
      <c r="B1035" s="35" t="str">
        <f t="shared" si="427"/>
        <v>西日本第一本部</v>
      </c>
      <c r="C1035" s="35" t="str">
        <f t="shared" si="427"/>
        <v>そんぽの家　吹上</v>
      </c>
      <c r="D1035" s="9" t="s">
        <v>6</v>
      </c>
      <c r="E1035" s="10">
        <v>4</v>
      </c>
      <c r="F1035" s="12">
        <v>0</v>
      </c>
      <c r="G1035" s="12">
        <v>0</v>
      </c>
      <c r="H1035" s="10">
        <f t="shared" si="425"/>
        <v>0</v>
      </c>
      <c r="I1035" s="38"/>
      <c r="J1035" s="19" cm="1">
        <f t="array" ref="J1035">IFERROR(IF(_xlfn.XLOOKUP(L1035,NC導入施設!B:B,NC導入施設!E:E)=0,_xlfn.IFS(H1035&lt;=5,0,H1035&lt;=10,1,H1035&lt;=15,2,H1035&gt;=16,3),"Null"),"-")</f>
        <v>0</v>
      </c>
      <c r="K1035" s="61"/>
      <c r="L1035" s="1">
        <v>3315931200</v>
      </c>
    </row>
    <row r="1036" spans="1:12" ht="18" customHeight="1" x14ac:dyDescent="0.45">
      <c r="A1036" s="8">
        <v>1030</v>
      </c>
      <c r="B1036" s="36" t="str">
        <f t="shared" si="427"/>
        <v>西日本第一本部</v>
      </c>
      <c r="C1036" s="36" t="str">
        <f t="shared" si="427"/>
        <v>そんぽの家　吹上</v>
      </c>
      <c r="D1036" s="9" t="s">
        <v>2</v>
      </c>
      <c r="E1036" s="10">
        <v>0</v>
      </c>
      <c r="F1036" s="12">
        <v>0</v>
      </c>
      <c r="G1036" s="12">
        <v>0</v>
      </c>
      <c r="H1036" s="10">
        <f t="shared" si="425"/>
        <v>0</v>
      </c>
      <c r="I1036" s="39"/>
      <c r="J1036" s="19" cm="1">
        <f t="array" ref="J1036">IFERROR(IF(_xlfn.XLOOKUP(L1036,NC導入施設!B:B,NC導入施設!E:E)=0,_xlfn.IFS(H1036&lt;=5,0,H1036&lt;=10,1,H1036&lt;=15,2,H1036&gt;=16,3),"Null"),"-")</f>
        <v>0</v>
      </c>
      <c r="K1036" s="62"/>
      <c r="L1036" s="1">
        <v>3315931200</v>
      </c>
    </row>
    <row r="1037" spans="1:12" ht="18" customHeight="1" x14ac:dyDescent="0.45">
      <c r="A1037" s="13">
        <v>1031</v>
      </c>
      <c r="B1037" s="40" t="s">
        <v>85</v>
      </c>
      <c r="C1037" s="40" t="s">
        <v>94</v>
      </c>
      <c r="D1037" s="14" t="s">
        <v>3</v>
      </c>
      <c r="E1037" s="15">
        <v>1</v>
      </c>
      <c r="F1037" s="17">
        <v>11</v>
      </c>
      <c r="G1037" s="17">
        <v>11</v>
      </c>
      <c r="H1037" s="15">
        <f t="shared" si="425"/>
        <v>11</v>
      </c>
      <c r="I1037" s="43" cm="1">
        <f t="array" ref="I1037">IF(J1037="-","-",_xlfn.IFS(K1037&lt;=5,0,K1037&lt;=10,1,K1037&lt;=15,2,K1037&gt;=16,3))</f>
        <v>3</v>
      </c>
      <c r="J1037" s="19" cm="1">
        <f t="array" ref="J1037">IFERROR(IF(_xlfn.XLOOKUP(L1037,NC導入施設!B:B,NC導入施設!E:E)=0,_xlfn.IFS(H1037&lt;=5,0,H1037&lt;=10,1,H1037&lt;=15,2,H1037&gt;=16,3),"Null"),"-")</f>
        <v>2</v>
      </c>
      <c r="K1037" s="60">
        <f t="shared" ref="K1037" si="428">IFERROR(SUM(H1037:H1041),"-")</f>
        <v>59</v>
      </c>
      <c r="L1037" s="1">
        <v>3315961100</v>
      </c>
    </row>
    <row r="1038" spans="1:12" ht="18" customHeight="1" x14ac:dyDescent="0.45">
      <c r="A1038" s="13">
        <v>1032</v>
      </c>
      <c r="B1038" s="41" t="str">
        <f t="shared" ref="B1038:C1041" si="429">B1037</f>
        <v>西日本第一本部</v>
      </c>
      <c r="C1038" s="41" t="str">
        <f t="shared" si="429"/>
        <v>そんぽの家　高辻</v>
      </c>
      <c r="D1038" s="14" t="s">
        <v>4</v>
      </c>
      <c r="E1038" s="15">
        <v>1</v>
      </c>
      <c r="F1038" s="17">
        <v>11</v>
      </c>
      <c r="G1038" s="17">
        <v>11</v>
      </c>
      <c r="H1038" s="15">
        <f t="shared" si="425"/>
        <v>11</v>
      </c>
      <c r="I1038" s="44"/>
      <c r="J1038" s="19" cm="1">
        <f t="array" ref="J1038">IFERROR(IF(_xlfn.XLOOKUP(L1038,NC導入施設!B:B,NC導入施設!E:E)=0,_xlfn.IFS(H1038&lt;=5,0,H1038&lt;=10,1,H1038&lt;=15,2,H1038&gt;=16,3),"Null"),"-")</f>
        <v>2</v>
      </c>
      <c r="K1038" s="61"/>
      <c r="L1038" s="1">
        <v>3315961100</v>
      </c>
    </row>
    <row r="1039" spans="1:12" ht="18" customHeight="1" x14ac:dyDescent="0.45">
      <c r="A1039" s="13">
        <v>1033</v>
      </c>
      <c r="B1039" s="41" t="str">
        <f t="shared" si="429"/>
        <v>西日本第一本部</v>
      </c>
      <c r="C1039" s="41" t="str">
        <f t="shared" si="429"/>
        <v>そんぽの家　高辻</v>
      </c>
      <c r="D1039" s="14" t="s">
        <v>5</v>
      </c>
      <c r="E1039" s="15">
        <v>1</v>
      </c>
      <c r="F1039" s="17">
        <v>5</v>
      </c>
      <c r="G1039" s="17">
        <v>5</v>
      </c>
      <c r="H1039" s="15">
        <f t="shared" si="425"/>
        <v>5</v>
      </c>
      <c r="I1039" s="44"/>
      <c r="J1039" s="19" cm="1">
        <f t="array" ref="J1039">IFERROR(IF(_xlfn.XLOOKUP(L1039,NC導入施設!B:B,NC導入施設!E:E)=0,_xlfn.IFS(H1039&lt;=5,0,H1039&lt;=10,1,H1039&lt;=15,2,H1039&gt;=16,3),"Null"),"-")</f>
        <v>0</v>
      </c>
      <c r="K1039" s="61"/>
      <c r="L1039" s="1">
        <v>3315961100</v>
      </c>
    </row>
    <row r="1040" spans="1:12" ht="18" customHeight="1" x14ac:dyDescent="0.45">
      <c r="A1040" s="13">
        <v>1034</v>
      </c>
      <c r="B1040" s="41" t="str">
        <f t="shared" si="429"/>
        <v>西日本第一本部</v>
      </c>
      <c r="C1040" s="41" t="str">
        <f t="shared" si="429"/>
        <v>そんぽの家　高辻</v>
      </c>
      <c r="D1040" s="14" t="s">
        <v>6</v>
      </c>
      <c r="E1040" s="15">
        <v>3</v>
      </c>
      <c r="F1040" s="17">
        <v>5</v>
      </c>
      <c r="G1040" s="17">
        <v>1.7</v>
      </c>
      <c r="H1040" s="15">
        <f t="shared" si="425"/>
        <v>5</v>
      </c>
      <c r="I1040" s="44"/>
      <c r="J1040" s="19" cm="1">
        <f t="array" ref="J1040">IFERROR(IF(_xlfn.XLOOKUP(L1040,NC導入施設!B:B,NC導入施設!E:E)=0,_xlfn.IFS(H1040&lt;=5,0,H1040&lt;=10,1,H1040&lt;=15,2,H1040&gt;=16,3),"Null"),"-")</f>
        <v>0</v>
      </c>
      <c r="K1040" s="61"/>
      <c r="L1040" s="1">
        <v>3315961100</v>
      </c>
    </row>
    <row r="1041" spans="1:12" ht="18" customHeight="1" x14ac:dyDescent="0.45">
      <c r="A1041" s="13">
        <v>1035</v>
      </c>
      <c r="B1041" s="42" t="str">
        <f t="shared" si="429"/>
        <v>西日本第一本部</v>
      </c>
      <c r="C1041" s="42" t="str">
        <f t="shared" si="429"/>
        <v>そんぽの家　高辻</v>
      </c>
      <c r="D1041" s="14" t="s">
        <v>2</v>
      </c>
      <c r="E1041" s="15">
        <v>2</v>
      </c>
      <c r="F1041" s="17">
        <v>27</v>
      </c>
      <c r="G1041" s="17">
        <v>13.5</v>
      </c>
      <c r="H1041" s="15">
        <f t="shared" si="425"/>
        <v>27</v>
      </c>
      <c r="I1041" s="45"/>
      <c r="J1041" s="19" cm="1">
        <f t="array" ref="J1041">IFERROR(IF(_xlfn.XLOOKUP(L1041,NC導入施設!B:B,NC導入施設!E:E)=0,_xlfn.IFS(H1041&lt;=5,0,H1041&lt;=10,1,H1041&lt;=15,2,H1041&gt;=16,3),"Null"),"-")</f>
        <v>3</v>
      </c>
      <c r="K1041" s="62"/>
      <c r="L1041" s="1">
        <v>3315961100</v>
      </c>
    </row>
    <row r="1042" spans="1:12" ht="18" customHeight="1" x14ac:dyDescent="0.45">
      <c r="A1042" s="8">
        <v>1036</v>
      </c>
      <c r="B1042" s="34" t="s">
        <v>85</v>
      </c>
      <c r="C1042" s="34" t="s">
        <v>95</v>
      </c>
      <c r="D1042" s="9" t="s">
        <v>3</v>
      </c>
      <c r="E1042" s="10">
        <v>1</v>
      </c>
      <c r="F1042" s="12">
        <v>5</v>
      </c>
      <c r="G1042" s="12">
        <v>5</v>
      </c>
      <c r="H1042" s="10">
        <f t="shared" si="425"/>
        <v>5</v>
      </c>
      <c r="I1042" s="37" cm="1">
        <f t="array" ref="I1042">IF(J1042="-","-",_xlfn.IFS(K1042&lt;=5,0,K1042&lt;=10,1,K1042&lt;=15,2,K1042&gt;=16,3))</f>
        <v>3</v>
      </c>
      <c r="J1042" s="19" cm="1">
        <f t="array" ref="J1042">IFERROR(IF(_xlfn.XLOOKUP(L1042,NC導入施設!B:B,NC導入施設!E:E)=0,_xlfn.IFS(H1042&lt;=5,0,H1042&lt;=10,1,H1042&lt;=15,2,H1042&gt;=16,3),"Null"),"-")</f>
        <v>0</v>
      </c>
      <c r="K1042" s="60">
        <f t="shared" ref="K1042" si="430">IFERROR(SUM(H1042:H1046),"-")</f>
        <v>27</v>
      </c>
      <c r="L1042" s="1">
        <v>3315981200</v>
      </c>
    </row>
    <row r="1043" spans="1:12" ht="18" customHeight="1" x14ac:dyDescent="0.45">
      <c r="A1043" s="8">
        <v>1037</v>
      </c>
      <c r="B1043" s="35" t="str">
        <f t="shared" ref="B1043:C1046" si="431">B1042</f>
        <v>西日本第一本部</v>
      </c>
      <c r="C1043" s="35" t="str">
        <f t="shared" si="431"/>
        <v>そんぽの家　浄心</v>
      </c>
      <c r="D1043" s="9" t="s">
        <v>4</v>
      </c>
      <c r="E1043" s="10">
        <v>1</v>
      </c>
      <c r="F1043" s="12">
        <v>21</v>
      </c>
      <c r="G1043" s="12">
        <v>21</v>
      </c>
      <c r="H1043" s="10">
        <f t="shared" si="425"/>
        <v>21</v>
      </c>
      <c r="I1043" s="38"/>
      <c r="J1043" s="19" cm="1">
        <f t="array" ref="J1043">IFERROR(IF(_xlfn.XLOOKUP(L1043,NC導入施設!B:B,NC導入施設!E:E)=0,_xlfn.IFS(H1043&lt;=5,0,H1043&lt;=10,1,H1043&lt;=15,2,H1043&gt;=16,3),"Null"),"-")</f>
        <v>3</v>
      </c>
      <c r="K1043" s="61"/>
      <c r="L1043" s="1">
        <v>3315981200</v>
      </c>
    </row>
    <row r="1044" spans="1:12" ht="18" customHeight="1" x14ac:dyDescent="0.45">
      <c r="A1044" s="8">
        <v>1038</v>
      </c>
      <c r="B1044" s="35" t="str">
        <f t="shared" si="431"/>
        <v>西日本第一本部</v>
      </c>
      <c r="C1044" s="35" t="str">
        <f t="shared" si="431"/>
        <v>そんぽの家　浄心</v>
      </c>
      <c r="D1044" s="9" t="s">
        <v>5</v>
      </c>
      <c r="E1044" s="10">
        <v>2</v>
      </c>
      <c r="F1044" s="12">
        <v>0</v>
      </c>
      <c r="G1044" s="12">
        <v>0</v>
      </c>
      <c r="H1044" s="10">
        <f t="shared" si="425"/>
        <v>0</v>
      </c>
      <c r="I1044" s="38"/>
      <c r="J1044" s="19" cm="1">
        <f t="array" ref="J1044">IFERROR(IF(_xlfn.XLOOKUP(L1044,NC導入施設!B:B,NC導入施設!E:E)=0,_xlfn.IFS(H1044&lt;=5,0,H1044&lt;=10,1,H1044&lt;=15,2,H1044&gt;=16,3),"Null"),"-")</f>
        <v>0</v>
      </c>
      <c r="K1044" s="61"/>
      <c r="L1044" s="1">
        <v>3315981200</v>
      </c>
    </row>
    <row r="1045" spans="1:12" ht="18" customHeight="1" x14ac:dyDescent="0.45">
      <c r="A1045" s="8">
        <v>1039</v>
      </c>
      <c r="B1045" s="35" t="str">
        <f t="shared" si="431"/>
        <v>西日本第一本部</v>
      </c>
      <c r="C1045" s="35" t="str">
        <f t="shared" si="431"/>
        <v>そんぽの家　浄心</v>
      </c>
      <c r="D1045" s="9" t="s">
        <v>6</v>
      </c>
      <c r="E1045" s="10">
        <v>3</v>
      </c>
      <c r="F1045" s="12">
        <v>0</v>
      </c>
      <c r="G1045" s="12">
        <v>0</v>
      </c>
      <c r="H1045" s="10">
        <f t="shared" si="425"/>
        <v>0</v>
      </c>
      <c r="I1045" s="38"/>
      <c r="J1045" s="19" cm="1">
        <f t="array" ref="J1045">IFERROR(IF(_xlfn.XLOOKUP(L1045,NC導入施設!B:B,NC導入施設!E:E)=0,_xlfn.IFS(H1045&lt;=5,0,H1045&lt;=10,1,H1045&lt;=15,2,H1045&gt;=16,3),"Null"),"-")</f>
        <v>0</v>
      </c>
      <c r="K1045" s="61"/>
      <c r="L1045" s="1">
        <v>3315981200</v>
      </c>
    </row>
    <row r="1046" spans="1:12" ht="18" customHeight="1" x14ac:dyDescent="0.45">
      <c r="A1046" s="8">
        <v>1040</v>
      </c>
      <c r="B1046" s="36" t="str">
        <f t="shared" si="431"/>
        <v>西日本第一本部</v>
      </c>
      <c r="C1046" s="36" t="str">
        <f t="shared" si="431"/>
        <v>そんぽの家　浄心</v>
      </c>
      <c r="D1046" s="9" t="s">
        <v>2</v>
      </c>
      <c r="E1046" s="10">
        <v>2</v>
      </c>
      <c r="F1046" s="12">
        <v>1</v>
      </c>
      <c r="G1046" s="12">
        <v>0.5</v>
      </c>
      <c r="H1046" s="10">
        <f t="shared" si="425"/>
        <v>1</v>
      </c>
      <c r="I1046" s="39"/>
      <c r="J1046" s="19" cm="1">
        <f t="array" ref="J1046">IFERROR(IF(_xlfn.XLOOKUP(L1046,NC導入施設!B:B,NC導入施設!E:E)=0,_xlfn.IFS(H1046&lt;=5,0,H1046&lt;=10,1,H1046&lt;=15,2,H1046&gt;=16,3),"Null"),"-")</f>
        <v>0</v>
      </c>
      <c r="K1046" s="62"/>
      <c r="L1046" s="1">
        <v>3315981200</v>
      </c>
    </row>
    <row r="1047" spans="1:12" ht="18" customHeight="1" x14ac:dyDescent="0.45">
      <c r="A1047" s="13">
        <v>1041</v>
      </c>
      <c r="B1047" s="40" t="s">
        <v>85</v>
      </c>
      <c r="C1047" s="40" t="s">
        <v>309</v>
      </c>
      <c r="D1047" s="14" t="s">
        <v>3</v>
      </c>
      <c r="E1047" s="15">
        <v>1</v>
      </c>
      <c r="F1047" s="17">
        <v>19</v>
      </c>
      <c r="G1047" s="17">
        <v>19</v>
      </c>
      <c r="H1047" s="15">
        <f t="shared" si="425"/>
        <v>19</v>
      </c>
      <c r="I1047" s="43" cm="1">
        <f t="array" ref="I1047">IF(J1047="-","-",_xlfn.IFS(K1047&lt;=5,0,K1047&lt;=10,1,K1047&lt;=15,2,K1047&gt;=16,3))</f>
        <v>3</v>
      </c>
      <c r="J1047" s="19" cm="1">
        <f t="array" ref="J1047">IFERROR(IF(_xlfn.XLOOKUP(L1047,NC導入施設!B:B,NC導入施設!E:E)=0,_xlfn.IFS(H1047&lt;=5,0,H1047&lt;=10,1,H1047&lt;=15,2,H1047&gt;=16,3),"Null"),"-")</f>
        <v>3</v>
      </c>
      <c r="K1047" s="60">
        <f t="shared" ref="K1047" si="432">IFERROR(SUM(H1047:H1051),"-")</f>
        <v>75</v>
      </c>
      <c r="L1047" s="1">
        <v>3315991100</v>
      </c>
    </row>
    <row r="1048" spans="1:12" ht="18" customHeight="1" x14ac:dyDescent="0.45">
      <c r="A1048" s="13">
        <v>1042</v>
      </c>
      <c r="B1048" s="41" t="str">
        <f t="shared" ref="B1048:C1051" si="433">B1047</f>
        <v>西日本第一本部</v>
      </c>
      <c r="C1048" s="41" t="str">
        <f t="shared" si="433"/>
        <v>ラヴィーレ名古屋</v>
      </c>
      <c r="D1048" s="14" t="s">
        <v>4</v>
      </c>
      <c r="E1048" s="15">
        <v>2</v>
      </c>
      <c r="F1048" s="17">
        <v>12</v>
      </c>
      <c r="G1048" s="17">
        <v>6</v>
      </c>
      <c r="H1048" s="15">
        <f t="shared" si="425"/>
        <v>12</v>
      </c>
      <c r="I1048" s="44"/>
      <c r="J1048" s="19" cm="1">
        <f t="array" ref="J1048">IFERROR(IF(_xlfn.XLOOKUP(L1048,NC導入施設!B:B,NC導入施設!E:E)=0,_xlfn.IFS(H1048&lt;=5,0,H1048&lt;=10,1,H1048&lt;=15,2,H1048&gt;=16,3),"Null"),"-")</f>
        <v>2</v>
      </c>
      <c r="K1048" s="61"/>
      <c r="L1048" s="1">
        <v>3315991100</v>
      </c>
    </row>
    <row r="1049" spans="1:12" ht="18" customHeight="1" x14ac:dyDescent="0.45">
      <c r="A1049" s="13">
        <v>1043</v>
      </c>
      <c r="B1049" s="41" t="str">
        <f t="shared" si="433"/>
        <v>西日本第一本部</v>
      </c>
      <c r="C1049" s="41" t="str">
        <f t="shared" si="433"/>
        <v>ラヴィーレ名古屋</v>
      </c>
      <c r="D1049" s="14" t="s">
        <v>5</v>
      </c>
      <c r="E1049" s="15">
        <v>2</v>
      </c>
      <c r="F1049" s="17">
        <v>16</v>
      </c>
      <c r="G1049" s="17">
        <v>8</v>
      </c>
      <c r="H1049" s="15">
        <f t="shared" si="425"/>
        <v>16</v>
      </c>
      <c r="I1049" s="44"/>
      <c r="J1049" s="19" cm="1">
        <f t="array" ref="J1049">IFERROR(IF(_xlfn.XLOOKUP(L1049,NC導入施設!B:B,NC導入施設!E:E)=0,_xlfn.IFS(H1049&lt;=5,0,H1049&lt;=10,1,H1049&lt;=15,2,H1049&gt;=16,3),"Null"),"-")</f>
        <v>3</v>
      </c>
      <c r="K1049" s="61"/>
      <c r="L1049" s="1">
        <v>3315991100</v>
      </c>
    </row>
    <row r="1050" spans="1:12" ht="18" customHeight="1" x14ac:dyDescent="0.45">
      <c r="A1050" s="13">
        <v>1044</v>
      </c>
      <c r="B1050" s="41" t="str">
        <f t="shared" si="433"/>
        <v>西日本第一本部</v>
      </c>
      <c r="C1050" s="41" t="str">
        <f t="shared" si="433"/>
        <v>ラヴィーレ名古屋</v>
      </c>
      <c r="D1050" s="14" t="s">
        <v>6</v>
      </c>
      <c r="E1050" s="15">
        <v>3</v>
      </c>
      <c r="F1050" s="17">
        <v>0</v>
      </c>
      <c r="G1050" s="17">
        <v>0</v>
      </c>
      <c r="H1050" s="15">
        <f t="shared" si="425"/>
        <v>0</v>
      </c>
      <c r="I1050" s="44"/>
      <c r="J1050" s="19" cm="1">
        <f t="array" ref="J1050">IFERROR(IF(_xlfn.XLOOKUP(L1050,NC導入施設!B:B,NC導入施設!E:E)=0,_xlfn.IFS(H1050&lt;=5,0,H1050&lt;=10,1,H1050&lt;=15,2,H1050&gt;=16,3),"Null"),"-")</f>
        <v>0</v>
      </c>
      <c r="K1050" s="61"/>
      <c r="L1050" s="1">
        <v>3315991100</v>
      </c>
    </row>
    <row r="1051" spans="1:12" ht="18" customHeight="1" x14ac:dyDescent="0.45">
      <c r="A1051" s="13">
        <v>1045</v>
      </c>
      <c r="B1051" s="42" t="str">
        <f t="shared" si="433"/>
        <v>西日本第一本部</v>
      </c>
      <c r="C1051" s="42" t="str">
        <f t="shared" si="433"/>
        <v>ラヴィーレ名古屋</v>
      </c>
      <c r="D1051" s="14" t="s">
        <v>2</v>
      </c>
      <c r="E1051" s="15">
        <v>3</v>
      </c>
      <c r="F1051" s="17">
        <v>28</v>
      </c>
      <c r="G1051" s="17">
        <v>9.3000000000000007</v>
      </c>
      <c r="H1051" s="15">
        <f t="shared" si="425"/>
        <v>28</v>
      </c>
      <c r="I1051" s="45"/>
      <c r="J1051" s="19" cm="1">
        <f t="array" ref="J1051">IFERROR(IF(_xlfn.XLOOKUP(L1051,NC導入施設!B:B,NC導入施設!E:E)=0,_xlfn.IFS(H1051&lt;=5,0,H1051&lt;=10,1,H1051&lt;=15,2,H1051&gt;=16,3),"Null"),"-")</f>
        <v>3</v>
      </c>
      <c r="K1051" s="62"/>
      <c r="L1051" s="1">
        <v>3315991100</v>
      </c>
    </row>
    <row r="1052" spans="1:12" ht="18" customHeight="1" x14ac:dyDescent="0.45">
      <c r="A1052" s="8">
        <v>1046</v>
      </c>
      <c r="B1052" s="34" t="s">
        <v>85</v>
      </c>
      <c r="C1052" s="34" t="s">
        <v>96</v>
      </c>
      <c r="D1052" s="9" t="s">
        <v>3</v>
      </c>
      <c r="E1052" s="10">
        <v>1</v>
      </c>
      <c r="F1052" s="12">
        <v>13</v>
      </c>
      <c r="G1052" s="12">
        <v>13</v>
      </c>
      <c r="H1052" s="10">
        <f t="shared" si="425"/>
        <v>13</v>
      </c>
      <c r="I1052" s="37" cm="1">
        <f t="array" ref="I1052">IF(J1052="-","-",_xlfn.IFS(K1052&lt;=5,0,K1052&lt;=10,1,K1052&lt;=15,2,K1052&gt;=16,3))</f>
        <v>3</v>
      </c>
      <c r="J1052" s="19" cm="1">
        <f t="array" ref="J1052">IFERROR(IF(_xlfn.XLOOKUP(L1052,NC導入施設!B:B,NC導入施設!E:E)=0,_xlfn.IFS(H1052&lt;=5,0,H1052&lt;=10,1,H1052&lt;=15,2,H1052&gt;=16,3),"Null"),"-")</f>
        <v>2</v>
      </c>
      <c r="K1052" s="60">
        <f t="shared" ref="K1052" si="434">IFERROR(SUM(H1052:H1056),"-")</f>
        <v>38</v>
      </c>
      <c r="L1052" s="1">
        <v>3316001200</v>
      </c>
    </row>
    <row r="1053" spans="1:12" ht="18" customHeight="1" x14ac:dyDescent="0.45">
      <c r="A1053" s="8">
        <v>1047</v>
      </c>
      <c r="B1053" s="35" t="str">
        <f t="shared" ref="B1053:C1056" si="435">B1052</f>
        <v>西日本第一本部</v>
      </c>
      <c r="C1053" s="35" t="str">
        <f t="shared" si="435"/>
        <v>そんぽの家　中村公園</v>
      </c>
      <c r="D1053" s="9" t="s">
        <v>4</v>
      </c>
      <c r="E1053" s="10">
        <v>1</v>
      </c>
      <c r="F1053" s="12">
        <v>16</v>
      </c>
      <c r="G1053" s="12">
        <v>16</v>
      </c>
      <c r="H1053" s="10">
        <f t="shared" si="425"/>
        <v>16</v>
      </c>
      <c r="I1053" s="38"/>
      <c r="J1053" s="19" cm="1">
        <f t="array" ref="J1053">IFERROR(IF(_xlfn.XLOOKUP(L1053,NC導入施設!B:B,NC導入施設!E:E)=0,_xlfn.IFS(H1053&lt;=5,0,H1053&lt;=10,1,H1053&lt;=15,2,H1053&gt;=16,3),"Null"),"-")</f>
        <v>3</v>
      </c>
      <c r="K1053" s="61"/>
      <c r="L1053" s="1">
        <v>3316001200</v>
      </c>
    </row>
    <row r="1054" spans="1:12" ht="18" customHeight="1" x14ac:dyDescent="0.45">
      <c r="A1054" s="8">
        <v>1048</v>
      </c>
      <c r="B1054" s="35" t="str">
        <f t="shared" si="435"/>
        <v>西日本第一本部</v>
      </c>
      <c r="C1054" s="35" t="str">
        <f t="shared" si="435"/>
        <v>そんぽの家　中村公園</v>
      </c>
      <c r="D1054" s="9" t="s">
        <v>5</v>
      </c>
      <c r="E1054" s="10">
        <v>2</v>
      </c>
      <c r="F1054" s="12">
        <v>9</v>
      </c>
      <c r="G1054" s="12">
        <v>4.5</v>
      </c>
      <c r="H1054" s="10">
        <f t="shared" si="425"/>
        <v>9</v>
      </c>
      <c r="I1054" s="38"/>
      <c r="J1054" s="19" cm="1">
        <f t="array" ref="J1054">IFERROR(IF(_xlfn.XLOOKUP(L1054,NC導入施設!B:B,NC導入施設!E:E)=0,_xlfn.IFS(H1054&lt;=5,0,H1054&lt;=10,1,H1054&lt;=15,2,H1054&gt;=16,3),"Null"),"-")</f>
        <v>1</v>
      </c>
      <c r="K1054" s="61"/>
      <c r="L1054" s="1">
        <v>3316001200</v>
      </c>
    </row>
    <row r="1055" spans="1:12" ht="18" customHeight="1" x14ac:dyDescent="0.45">
      <c r="A1055" s="8">
        <v>1049</v>
      </c>
      <c r="B1055" s="35" t="str">
        <f t="shared" si="435"/>
        <v>西日本第一本部</v>
      </c>
      <c r="C1055" s="35" t="str">
        <f t="shared" si="435"/>
        <v>そんぽの家　中村公園</v>
      </c>
      <c r="D1055" s="9" t="s">
        <v>6</v>
      </c>
      <c r="E1055" s="10">
        <v>3</v>
      </c>
      <c r="F1055" s="12">
        <v>0</v>
      </c>
      <c r="G1055" s="12">
        <v>0</v>
      </c>
      <c r="H1055" s="10">
        <f t="shared" si="425"/>
        <v>0</v>
      </c>
      <c r="I1055" s="38"/>
      <c r="J1055" s="19" cm="1">
        <f t="array" ref="J1055">IFERROR(IF(_xlfn.XLOOKUP(L1055,NC導入施設!B:B,NC導入施設!E:E)=0,_xlfn.IFS(H1055&lt;=5,0,H1055&lt;=10,1,H1055&lt;=15,2,H1055&gt;=16,3),"Null"),"-")</f>
        <v>0</v>
      </c>
      <c r="K1055" s="61"/>
      <c r="L1055" s="1">
        <v>3316001200</v>
      </c>
    </row>
    <row r="1056" spans="1:12" ht="18" customHeight="1" x14ac:dyDescent="0.45">
      <c r="A1056" s="8">
        <v>1050</v>
      </c>
      <c r="B1056" s="36" t="str">
        <f t="shared" si="435"/>
        <v>西日本第一本部</v>
      </c>
      <c r="C1056" s="36" t="str">
        <f t="shared" si="435"/>
        <v>そんぽの家　中村公園</v>
      </c>
      <c r="D1056" s="9" t="s">
        <v>2</v>
      </c>
      <c r="E1056" s="10">
        <v>1</v>
      </c>
      <c r="F1056" s="12">
        <v>0</v>
      </c>
      <c r="G1056" s="12">
        <v>0</v>
      </c>
      <c r="H1056" s="10">
        <f t="shared" si="425"/>
        <v>0</v>
      </c>
      <c r="I1056" s="39"/>
      <c r="J1056" s="19" cm="1">
        <f t="array" ref="J1056">IFERROR(IF(_xlfn.XLOOKUP(L1056,NC導入施設!B:B,NC導入施設!E:E)=0,_xlfn.IFS(H1056&lt;=5,0,H1056&lt;=10,1,H1056&lt;=15,2,H1056&gt;=16,3),"Null"),"-")</f>
        <v>0</v>
      </c>
      <c r="K1056" s="62"/>
      <c r="L1056" s="1">
        <v>3316001200</v>
      </c>
    </row>
    <row r="1057" spans="1:12" ht="18" customHeight="1" x14ac:dyDescent="0.45">
      <c r="A1057" s="13">
        <v>1051</v>
      </c>
      <c r="B1057" s="40" t="s">
        <v>85</v>
      </c>
      <c r="C1057" s="40" t="s">
        <v>97</v>
      </c>
      <c r="D1057" s="14" t="s">
        <v>3</v>
      </c>
      <c r="E1057" s="15">
        <v>1</v>
      </c>
      <c r="F1057" s="17">
        <v>7</v>
      </c>
      <c r="G1057" s="17">
        <v>7</v>
      </c>
      <c r="H1057" s="15">
        <f t="shared" si="425"/>
        <v>7</v>
      </c>
      <c r="I1057" s="43" cm="1">
        <f t="array" ref="I1057">IF(J1057="-","-",_xlfn.IFS(K1057&lt;=5,0,K1057&lt;=10,1,K1057&lt;=15,2,K1057&gt;=16,3))</f>
        <v>2</v>
      </c>
      <c r="J1057" s="19" cm="1">
        <f t="array" ref="J1057">IFERROR(IF(_xlfn.XLOOKUP(L1057,NC導入施設!B:B,NC導入施設!E:E)=0,_xlfn.IFS(H1057&lt;=5,0,H1057&lt;=10,1,H1057&lt;=15,2,H1057&gt;=16,3),"Null"),"-")</f>
        <v>1</v>
      </c>
      <c r="K1057" s="60">
        <f t="shared" ref="K1057" si="436">IFERROR(SUM(H1057:H1061),"-")</f>
        <v>13</v>
      </c>
      <c r="L1057" s="1">
        <v>3316011200</v>
      </c>
    </row>
    <row r="1058" spans="1:12" ht="18" customHeight="1" x14ac:dyDescent="0.45">
      <c r="A1058" s="13">
        <v>1052</v>
      </c>
      <c r="B1058" s="41" t="str">
        <f t="shared" ref="B1058:C1061" si="437">B1057</f>
        <v>西日本第一本部</v>
      </c>
      <c r="C1058" s="41" t="str">
        <f t="shared" si="437"/>
        <v>そんぽの家　植田一本松</v>
      </c>
      <c r="D1058" s="14" t="s">
        <v>4</v>
      </c>
      <c r="E1058" s="15">
        <v>1</v>
      </c>
      <c r="F1058" s="17">
        <v>4</v>
      </c>
      <c r="G1058" s="17">
        <v>4</v>
      </c>
      <c r="H1058" s="15">
        <f t="shared" si="425"/>
        <v>4</v>
      </c>
      <c r="I1058" s="44"/>
      <c r="J1058" s="19" cm="1">
        <f t="array" ref="J1058">IFERROR(IF(_xlfn.XLOOKUP(L1058,NC導入施設!B:B,NC導入施設!E:E)=0,_xlfn.IFS(H1058&lt;=5,0,H1058&lt;=10,1,H1058&lt;=15,2,H1058&gt;=16,3),"Null"),"-")</f>
        <v>0</v>
      </c>
      <c r="K1058" s="61"/>
      <c r="L1058" s="1">
        <v>3316011200</v>
      </c>
    </row>
    <row r="1059" spans="1:12" ht="18" customHeight="1" x14ac:dyDescent="0.45">
      <c r="A1059" s="13">
        <v>1053</v>
      </c>
      <c r="B1059" s="41" t="str">
        <f t="shared" si="437"/>
        <v>西日本第一本部</v>
      </c>
      <c r="C1059" s="41" t="str">
        <f t="shared" si="437"/>
        <v>そんぽの家　植田一本松</v>
      </c>
      <c r="D1059" s="14" t="s">
        <v>5</v>
      </c>
      <c r="E1059" s="15">
        <v>2</v>
      </c>
      <c r="F1059" s="17">
        <v>0</v>
      </c>
      <c r="G1059" s="17">
        <v>0</v>
      </c>
      <c r="H1059" s="15">
        <f t="shared" si="425"/>
        <v>0</v>
      </c>
      <c r="I1059" s="44"/>
      <c r="J1059" s="19" cm="1">
        <f t="array" ref="J1059">IFERROR(IF(_xlfn.XLOOKUP(L1059,NC導入施設!B:B,NC導入施設!E:E)=0,_xlfn.IFS(H1059&lt;=5,0,H1059&lt;=10,1,H1059&lt;=15,2,H1059&gt;=16,3),"Null"),"-")</f>
        <v>0</v>
      </c>
      <c r="K1059" s="61"/>
      <c r="L1059" s="1">
        <v>3316011200</v>
      </c>
    </row>
    <row r="1060" spans="1:12" ht="18" customHeight="1" x14ac:dyDescent="0.45">
      <c r="A1060" s="13">
        <v>1054</v>
      </c>
      <c r="B1060" s="41" t="str">
        <f t="shared" si="437"/>
        <v>西日本第一本部</v>
      </c>
      <c r="C1060" s="41" t="str">
        <f t="shared" si="437"/>
        <v>そんぽの家　植田一本松</v>
      </c>
      <c r="D1060" s="14" t="s">
        <v>6</v>
      </c>
      <c r="E1060" s="15">
        <v>2</v>
      </c>
      <c r="F1060" s="17">
        <v>0</v>
      </c>
      <c r="G1060" s="17">
        <v>0</v>
      </c>
      <c r="H1060" s="15">
        <f t="shared" si="425"/>
        <v>0</v>
      </c>
      <c r="I1060" s="44"/>
      <c r="J1060" s="19" cm="1">
        <f t="array" ref="J1060">IFERROR(IF(_xlfn.XLOOKUP(L1060,NC導入施設!B:B,NC導入施設!E:E)=0,_xlfn.IFS(H1060&lt;=5,0,H1060&lt;=10,1,H1060&lt;=15,2,H1060&gt;=16,3),"Null"),"-")</f>
        <v>0</v>
      </c>
      <c r="K1060" s="61"/>
      <c r="L1060" s="1">
        <v>3316011200</v>
      </c>
    </row>
    <row r="1061" spans="1:12" ht="18" customHeight="1" x14ac:dyDescent="0.45">
      <c r="A1061" s="13">
        <v>1055</v>
      </c>
      <c r="B1061" s="42" t="str">
        <f t="shared" si="437"/>
        <v>西日本第一本部</v>
      </c>
      <c r="C1061" s="42" t="str">
        <f t="shared" si="437"/>
        <v>そんぽの家　植田一本松</v>
      </c>
      <c r="D1061" s="14" t="s">
        <v>2</v>
      </c>
      <c r="E1061" s="15">
        <v>1</v>
      </c>
      <c r="F1061" s="17">
        <v>2</v>
      </c>
      <c r="G1061" s="17">
        <v>2</v>
      </c>
      <c r="H1061" s="15">
        <f t="shared" si="425"/>
        <v>2</v>
      </c>
      <c r="I1061" s="45"/>
      <c r="J1061" s="19" cm="1">
        <f t="array" ref="J1061">IFERROR(IF(_xlfn.XLOOKUP(L1061,NC導入施設!B:B,NC導入施設!E:E)=0,_xlfn.IFS(H1061&lt;=5,0,H1061&lt;=10,1,H1061&lt;=15,2,H1061&gt;=16,3),"Null"),"-")</f>
        <v>0</v>
      </c>
      <c r="K1061" s="62"/>
      <c r="L1061" s="1">
        <v>3316011200</v>
      </c>
    </row>
    <row r="1062" spans="1:12" ht="18" customHeight="1" x14ac:dyDescent="0.45">
      <c r="A1062" s="8">
        <v>1056</v>
      </c>
      <c r="B1062" s="34" t="s">
        <v>85</v>
      </c>
      <c r="C1062" s="34" t="s">
        <v>98</v>
      </c>
      <c r="D1062" s="9" t="s">
        <v>3</v>
      </c>
      <c r="E1062" s="10">
        <v>1</v>
      </c>
      <c r="F1062" s="12">
        <v>8</v>
      </c>
      <c r="G1062" s="12">
        <v>8</v>
      </c>
      <c r="H1062" s="10">
        <f t="shared" si="425"/>
        <v>8</v>
      </c>
      <c r="I1062" s="37" cm="1">
        <f t="array" ref="I1062">IF(J1062="-","-",_xlfn.IFS(K1062&lt;=5,0,K1062&lt;=10,1,K1062&lt;=15,2,K1062&gt;=16,3))</f>
        <v>3</v>
      </c>
      <c r="J1062" s="19" cm="1">
        <f t="array" ref="J1062">IFERROR(IF(_xlfn.XLOOKUP(L1062,NC導入施設!B:B,NC導入施設!E:E)=0,_xlfn.IFS(H1062&lt;=5,0,H1062&lt;=10,1,H1062&lt;=15,2,H1062&gt;=16,3),"Null"),"-")</f>
        <v>1</v>
      </c>
      <c r="K1062" s="60">
        <f t="shared" ref="K1062" si="438">IFERROR(SUM(H1062:H1066),"-")</f>
        <v>54</v>
      </c>
      <c r="L1062" s="1">
        <v>3316041200</v>
      </c>
    </row>
    <row r="1063" spans="1:12" ht="18" customHeight="1" x14ac:dyDescent="0.45">
      <c r="A1063" s="8">
        <v>1057</v>
      </c>
      <c r="B1063" s="35" t="str">
        <f t="shared" ref="B1063:C1066" si="439">B1062</f>
        <v>西日本第一本部</v>
      </c>
      <c r="C1063" s="35" t="str">
        <f t="shared" si="439"/>
        <v>そんぽの家　十番町</v>
      </c>
      <c r="D1063" s="9" t="s">
        <v>4</v>
      </c>
      <c r="E1063" s="10">
        <v>1</v>
      </c>
      <c r="F1063" s="12">
        <v>10</v>
      </c>
      <c r="G1063" s="12">
        <v>10</v>
      </c>
      <c r="H1063" s="10">
        <f t="shared" si="425"/>
        <v>10</v>
      </c>
      <c r="I1063" s="38"/>
      <c r="J1063" s="19" cm="1">
        <f t="array" ref="J1063">IFERROR(IF(_xlfn.XLOOKUP(L1063,NC導入施設!B:B,NC導入施設!E:E)=0,_xlfn.IFS(H1063&lt;=5,0,H1063&lt;=10,1,H1063&lt;=15,2,H1063&gt;=16,3),"Null"),"-")</f>
        <v>1</v>
      </c>
      <c r="K1063" s="61"/>
      <c r="L1063" s="1">
        <v>3316041200</v>
      </c>
    </row>
    <row r="1064" spans="1:12" ht="18" customHeight="1" x14ac:dyDescent="0.45">
      <c r="A1064" s="8">
        <v>1058</v>
      </c>
      <c r="B1064" s="35" t="str">
        <f t="shared" si="439"/>
        <v>西日本第一本部</v>
      </c>
      <c r="C1064" s="35" t="str">
        <f t="shared" si="439"/>
        <v>そんぽの家　十番町</v>
      </c>
      <c r="D1064" s="9" t="s">
        <v>5</v>
      </c>
      <c r="E1064" s="10">
        <v>2</v>
      </c>
      <c r="F1064" s="12">
        <v>34</v>
      </c>
      <c r="G1064" s="12">
        <v>17</v>
      </c>
      <c r="H1064" s="10">
        <f t="shared" si="425"/>
        <v>34</v>
      </c>
      <c r="I1064" s="38"/>
      <c r="J1064" s="19" cm="1">
        <f t="array" ref="J1064">IFERROR(IF(_xlfn.XLOOKUP(L1064,NC導入施設!B:B,NC導入施設!E:E)=0,_xlfn.IFS(H1064&lt;=5,0,H1064&lt;=10,1,H1064&lt;=15,2,H1064&gt;=16,3),"Null"),"-")</f>
        <v>3</v>
      </c>
      <c r="K1064" s="61"/>
      <c r="L1064" s="1">
        <v>3316041200</v>
      </c>
    </row>
    <row r="1065" spans="1:12" ht="18" customHeight="1" x14ac:dyDescent="0.45">
      <c r="A1065" s="8">
        <v>1059</v>
      </c>
      <c r="B1065" s="35" t="str">
        <f t="shared" si="439"/>
        <v>西日本第一本部</v>
      </c>
      <c r="C1065" s="35" t="str">
        <f t="shared" si="439"/>
        <v>そんぽの家　十番町</v>
      </c>
      <c r="D1065" s="9" t="s">
        <v>6</v>
      </c>
      <c r="E1065" s="10">
        <v>3</v>
      </c>
      <c r="F1065" s="12">
        <v>0</v>
      </c>
      <c r="G1065" s="12">
        <v>0</v>
      </c>
      <c r="H1065" s="10">
        <f t="shared" si="425"/>
        <v>0</v>
      </c>
      <c r="I1065" s="38"/>
      <c r="J1065" s="19" cm="1">
        <f t="array" ref="J1065">IFERROR(IF(_xlfn.XLOOKUP(L1065,NC導入施設!B:B,NC導入施設!E:E)=0,_xlfn.IFS(H1065&lt;=5,0,H1065&lt;=10,1,H1065&lt;=15,2,H1065&gt;=16,3),"Null"),"-")</f>
        <v>0</v>
      </c>
      <c r="K1065" s="61"/>
      <c r="L1065" s="1">
        <v>3316041200</v>
      </c>
    </row>
    <row r="1066" spans="1:12" ht="18" customHeight="1" x14ac:dyDescent="0.45">
      <c r="A1066" s="8">
        <v>1060</v>
      </c>
      <c r="B1066" s="36" t="str">
        <f t="shared" si="439"/>
        <v>西日本第一本部</v>
      </c>
      <c r="C1066" s="36" t="str">
        <f t="shared" si="439"/>
        <v>そんぽの家　十番町</v>
      </c>
      <c r="D1066" s="9" t="s">
        <v>2</v>
      </c>
      <c r="E1066" s="10">
        <v>1</v>
      </c>
      <c r="F1066" s="12">
        <v>2</v>
      </c>
      <c r="G1066" s="12">
        <v>2</v>
      </c>
      <c r="H1066" s="10">
        <f t="shared" si="425"/>
        <v>2</v>
      </c>
      <c r="I1066" s="39"/>
      <c r="J1066" s="19" cm="1">
        <f t="array" ref="J1066">IFERROR(IF(_xlfn.XLOOKUP(L1066,NC導入施設!B:B,NC導入施設!E:E)=0,_xlfn.IFS(H1066&lt;=5,0,H1066&lt;=10,1,H1066&lt;=15,2,H1066&gt;=16,3),"Null"),"-")</f>
        <v>0</v>
      </c>
      <c r="K1066" s="62"/>
      <c r="L1066" s="1">
        <v>3316041200</v>
      </c>
    </row>
    <row r="1067" spans="1:12" ht="18" customHeight="1" x14ac:dyDescent="0.45">
      <c r="A1067" s="13">
        <v>1061</v>
      </c>
      <c r="B1067" s="40" t="s">
        <v>85</v>
      </c>
      <c r="C1067" s="40" t="s">
        <v>99</v>
      </c>
      <c r="D1067" s="14" t="s">
        <v>3</v>
      </c>
      <c r="E1067" s="15">
        <v>1</v>
      </c>
      <c r="F1067" s="17">
        <v>3</v>
      </c>
      <c r="G1067" s="17">
        <v>3</v>
      </c>
      <c r="H1067" s="15">
        <f t="shared" si="425"/>
        <v>3</v>
      </c>
      <c r="I1067" s="43" cm="1">
        <f t="array" ref="I1067">IF(J1067="-","-",_xlfn.IFS(K1067&lt;=5,0,K1067&lt;=10,1,K1067&lt;=15,2,K1067&gt;=16,3))</f>
        <v>3</v>
      </c>
      <c r="J1067" s="19" cm="1">
        <f t="array" ref="J1067">IFERROR(IF(_xlfn.XLOOKUP(L1067,NC導入施設!B:B,NC導入施設!E:E)=0,_xlfn.IFS(H1067&lt;=5,0,H1067&lt;=10,1,H1067&lt;=15,2,H1067&gt;=16,3),"Null"),"-")</f>
        <v>0</v>
      </c>
      <c r="K1067" s="60">
        <f t="shared" ref="K1067" si="440">IFERROR(SUM(H1067:H1071),"-")</f>
        <v>17</v>
      </c>
      <c r="L1067" s="1">
        <v>3316051200</v>
      </c>
    </row>
    <row r="1068" spans="1:12" ht="18" customHeight="1" x14ac:dyDescent="0.45">
      <c r="A1068" s="13">
        <v>1062</v>
      </c>
      <c r="B1068" s="41" t="str">
        <f t="shared" ref="B1068:C1071" si="441">B1067</f>
        <v>西日本第一本部</v>
      </c>
      <c r="C1068" s="41" t="str">
        <f t="shared" si="441"/>
        <v>そんぽの家　松葉公園</v>
      </c>
      <c r="D1068" s="14" t="s">
        <v>4</v>
      </c>
      <c r="E1068" s="15">
        <v>1</v>
      </c>
      <c r="F1068" s="17">
        <v>8</v>
      </c>
      <c r="G1068" s="17">
        <v>8</v>
      </c>
      <c r="H1068" s="15">
        <f t="shared" si="425"/>
        <v>8</v>
      </c>
      <c r="I1068" s="44"/>
      <c r="J1068" s="19" cm="1">
        <f t="array" ref="J1068">IFERROR(IF(_xlfn.XLOOKUP(L1068,NC導入施設!B:B,NC導入施設!E:E)=0,_xlfn.IFS(H1068&lt;=5,0,H1068&lt;=10,1,H1068&lt;=15,2,H1068&gt;=16,3),"Null"),"-")</f>
        <v>1</v>
      </c>
      <c r="K1068" s="61"/>
      <c r="L1068" s="1">
        <v>3316051200</v>
      </c>
    </row>
    <row r="1069" spans="1:12" ht="18" customHeight="1" x14ac:dyDescent="0.45">
      <c r="A1069" s="13">
        <v>1063</v>
      </c>
      <c r="B1069" s="41" t="str">
        <f t="shared" si="441"/>
        <v>西日本第一本部</v>
      </c>
      <c r="C1069" s="41" t="str">
        <f t="shared" si="441"/>
        <v>そんぽの家　松葉公園</v>
      </c>
      <c r="D1069" s="14" t="s">
        <v>5</v>
      </c>
      <c r="E1069" s="15">
        <v>1</v>
      </c>
      <c r="F1069" s="17">
        <v>1</v>
      </c>
      <c r="G1069" s="17">
        <v>1</v>
      </c>
      <c r="H1069" s="15">
        <f t="shared" si="425"/>
        <v>1</v>
      </c>
      <c r="I1069" s="44"/>
      <c r="J1069" s="19" cm="1">
        <f t="array" ref="J1069">IFERROR(IF(_xlfn.XLOOKUP(L1069,NC導入施設!B:B,NC導入施設!E:E)=0,_xlfn.IFS(H1069&lt;=5,0,H1069&lt;=10,1,H1069&lt;=15,2,H1069&gt;=16,3),"Null"),"-")</f>
        <v>0</v>
      </c>
      <c r="K1069" s="61"/>
      <c r="L1069" s="1">
        <v>3316051200</v>
      </c>
    </row>
    <row r="1070" spans="1:12" ht="18" customHeight="1" x14ac:dyDescent="0.45">
      <c r="A1070" s="13">
        <v>1064</v>
      </c>
      <c r="B1070" s="41" t="str">
        <f t="shared" si="441"/>
        <v>西日本第一本部</v>
      </c>
      <c r="C1070" s="41" t="str">
        <f t="shared" si="441"/>
        <v>そんぽの家　松葉公園</v>
      </c>
      <c r="D1070" s="14" t="s">
        <v>6</v>
      </c>
      <c r="E1070" s="15">
        <v>3</v>
      </c>
      <c r="F1070" s="17">
        <v>5</v>
      </c>
      <c r="G1070" s="17">
        <v>1.7</v>
      </c>
      <c r="H1070" s="15">
        <f t="shared" si="425"/>
        <v>5</v>
      </c>
      <c r="I1070" s="44"/>
      <c r="J1070" s="19" cm="1">
        <f t="array" ref="J1070">IFERROR(IF(_xlfn.XLOOKUP(L1070,NC導入施設!B:B,NC導入施設!E:E)=0,_xlfn.IFS(H1070&lt;=5,0,H1070&lt;=10,1,H1070&lt;=15,2,H1070&gt;=16,3),"Null"),"-")</f>
        <v>0</v>
      </c>
      <c r="K1070" s="61"/>
      <c r="L1070" s="1">
        <v>3316051200</v>
      </c>
    </row>
    <row r="1071" spans="1:12" ht="18" customHeight="1" x14ac:dyDescent="0.45">
      <c r="A1071" s="13">
        <v>1065</v>
      </c>
      <c r="B1071" s="42" t="str">
        <f t="shared" si="441"/>
        <v>西日本第一本部</v>
      </c>
      <c r="C1071" s="42" t="str">
        <f t="shared" si="441"/>
        <v>そんぽの家　松葉公園</v>
      </c>
      <c r="D1071" s="14" t="s">
        <v>2</v>
      </c>
      <c r="E1071" s="15">
        <v>1</v>
      </c>
      <c r="F1071" s="17">
        <v>0</v>
      </c>
      <c r="G1071" s="17">
        <v>0</v>
      </c>
      <c r="H1071" s="15">
        <f t="shared" si="425"/>
        <v>0</v>
      </c>
      <c r="I1071" s="45"/>
      <c r="J1071" s="19" cm="1">
        <f t="array" ref="J1071">IFERROR(IF(_xlfn.XLOOKUP(L1071,NC導入施設!B:B,NC導入施設!E:E)=0,_xlfn.IFS(H1071&lt;=5,0,H1071&lt;=10,1,H1071&lt;=15,2,H1071&gt;=16,3),"Null"),"-")</f>
        <v>0</v>
      </c>
      <c r="K1071" s="62"/>
      <c r="L1071" s="1">
        <v>3316051200</v>
      </c>
    </row>
    <row r="1072" spans="1:12" ht="18" customHeight="1" x14ac:dyDescent="0.45">
      <c r="A1072" s="8">
        <v>1066</v>
      </c>
      <c r="B1072" s="34" t="s">
        <v>85</v>
      </c>
      <c r="C1072" s="34" t="s">
        <v>310</v>
      </c>
      <c r="D1072" s="9" t="s">
        <v>3</v>
      </c>
      <c r="E1072" s="10">
        <v>1</v>
      </c>
      <c r="F1072" s="12">
        <v>14</v>
      </c>
      <c r="G1072" s="12">
        <v>14</v>
      </c>
      <c r="H1072" s="10">
        <f t="shared" si="425"/>
        <v>14</v>
      </c>
      <c r="I1072" s="37" cm="1">
        <f t="array" ref="I1072">IF(J1072="-","-",_xlfn.IFS(K1072&lt;=5,0,K1072&lt;=10,1,K1072&lt;=15,2,K1072&gt;=16,3))</f>
        <v>3</v>
      </c>
      <c r="J1072" s="19" cm="1">
        <f t="array" ref="J1072">IFERROR(IF(_xlfn.XLOOKUP(L1072,NC導入施設!B:B,NC導入施設!E:E)=0,_xlfn.IFS(H1072&lt;=5,0,H1072&lt;=10,1,H1072&lt;=15,2,H1072&gt;=16,3),"Null"),"-")</f>
        <v>2</v>
      </c>
      <c r="K1072" s="60">
        <f t="shared" ref="K1072" si="442">IFERROR(SUM(H1072:H1076),"-")</f>
        <v>28</v>
      </c>
      <c r="L1072" s="1">
        <v>3316061200</v>
      </c>
    </row>
    <row r="1073" spans="1:12" ht="18" customHeight="1" x14ac:dyDescent="0.45">
      <c r="A1073" s="8">
        <v>1067</v>
      </c>
      <c r="B1073" s="35" t="str">
        <f t="shared" ref="B1073:C1076" si="443">B1072</f>
        <v>西日本第一本部</v>
      </c>
      <c r="C1073" s="35" t="str">
        <f t="shared" si="443"/>
        <v>ラヴィーレ熱田</v>
      </c>
      <c r="D1073" s="9" t="s">
        <v>4</v>
      </c>
      <c r="E1073" s="10">
        <v>1</v>
      </c>
      <c r="F1073" s="12">
        <v>8</v>
      </c>
      <c r="G1073" s="12">
        <v>8</v>
      </c>
      <c r="H1073" s="10">
        <f t="shared" si="425"/>
        <v>8</v>
      </c>
      <c r="I1073" s="38"/>
      <c r="J1073" s="19" cm="1">
        <f t="array" ref="J1073">IFERROR(IF(_xlfn.XLOOKUP(L1073,NC導入施設!B:B,NC導入施設!E:E)=0,_xlfn.IFS(H1073&lt;=5,0,H1073&lt;=10,1,H1073&lt;=15,2,H1073&gt;=16,3),"Null"),"-")</f>
        <v>1</v>
      </c>
      <c r="K1073" s="61"/>
      <c r="L1073" s="1">
        <v>3316061200</v>
      </c>
    </row>
    <row r="1074" spans="1:12" ht="18" customHeight="1" x14ac:dyDescent="0.45">
      <c r="A1074" s="8">
        <v>1068</v>
      </c>
      <c r="B1074" s="35" t="str">
        <f t="shared" si="443"/>
        <v>西日本第一本部</v>
      </c>
      <c r="C1074" s="35" t="str">
        <f t="shared" si="443"/>
        <v>ラヴィーレ熱田</v>
      </c>
      <c r="D1074" s="9" t="s">
        <v>5</v>
      </c>
      <c r="E1074" s="10">
        <v>2</v>
      </c>
      <c r="F1074" s="12">
        <v>6</v>
      </c>
      <c r="G1074" s="12">
        <v>3</v>
      </c>
      <c r="H1074" s="10">
        <f t="shared" si="425"/>
        <v>6</v>
      </c>
      <c r="I1074" s="38"/>
      <c r="J1074" s="19" cm="1">
        <f t="array" ref="J1074">IFERROR(IF(_xlfn.XLOOKUP(L1074,NC導入施設!B:B,NC導入施設!E:E)=0,_xlfn.IFS(H1074&lt;=5,0,H1074&lt;=10,1,H1074&lt;=15,2,H1074&gt;=16,3),"Null"),"-")</f>
        <v>1</v>
      </c>
      <c r="K1074" s="61"/>
      <c r="L1074" s="1">
        <v>3316061200</v>
      </c>
    </row>
    <row r="1075" spans="1:12" ht="18" customHeight="1" x14ac:dyDescent="0.45">
      <c r="A1075" s="8">
        <v>1069</v>
      </c>
      <c r="B1075" s="35" t="str">
        <f t="shared" si="443"/>
        <v>西日本第一本部</v>
      </c>
      <c r="C1075" s="35" t="str">
        <f t="shared" si="443"/>
        <v>ラヴィーレ熱田</v>
      </c>
      <c r="D1075" s="9" t="s">
        <v>6</v>
      </c>
      <c r="E1075" s="10">
        <v>3</v>
      </c>
      <c r="F1075" s="12">
        <v>0</v>
      </c>
      <c r="G1075" s="12">
        <v>0</v>
      </c>
      <c r="H1075" s="10">
        <f t="shared" si="425"/>
        <v>0</v>
      </c>
      <c r="I1075" s="38"/>
      <c r="J1075" s="19" cm="1">
        <f t="array" ref="J1075">IFERROR(IF(_xlfn.XLOOKUP(L1075,NC導入施設!B:B,NC導入施設!E:E)=0,_xlfn.IFS(H1075&lt;=5,0,H1075&lt;=10,1,H1075&lt;=15,2,H1075&gt;=16,3),"Null"),"-")</f>
        <v>0</v>
      </c>
      <c r="K1075" s="61"/>
      <c r="L1075" s="1">
        <v>3316061200</v>
      </c>
    </row>
    <row r="1076" spans="1:12" ht="18" customHeight="1" x14ac:dyDescent="0.45">
      <c r="A1076" s="8">
        <v>1070</v>
      </c>
      <c r="B1076" s="36" t="str">
        <f t="shared" si="443"/>
        <v>西日本第一本部</v>
      </c>
      <c r="C1076" s="36" t="str">
        <f t="shared" si="443"/>
        <v>ラヴィーレ熱田</v>
      </c>
      <c r="D1076" s="9" t="s">
        <v>2</v>
      </c>
      <c r="E1076" s="10">
        <v>2</v>
      </c>
      <c r="F1076" s="12">
        <v>0</v>
      </c>
      <c r="G1076" s="12">
        <v>0</v>
      </c>
      <c r="H1076" s="10">
        <f t="shared" si="425"/>
        <v>0</v>
      </c>
      <c r="I1076" s="39"/>
      <c r="J1076" s="19" cm="1">
        <f t="array" ref="J1076">IFERROR(IF(_xlfn.XLOOKUP(L1076,NC導入施設!B:B,NC導入施設!E:E)=0,_xlfn.IFS(H1076&lt;=5,0,H1076&lt;=10,1,H1076&lt;=15,2,H1076&gt;=16,3),"Null"),"-")</f>
        <v>0</v>
      </c>
      <c r="K1076" s="62"/>
      <c r="L1076" s="1">
        <v>3316061200</v>
      </c>
    </row>
    <row r="1077" spans="1:12" ht="18" customHeight="1" x14ac:dyDescent="0.45">
      <c r="A1077" s="13">
        <v>1071</v>
      </c>
      <c r="B1077" s="40" t="s">
        <v>85</v>
      </c>
      <c r="C1077" s="40" t="s">
        <v>100</v>
      </c>
      <c r="D1077" s="14" t="s">
        <v>3</v>
      </c>
      <c r="E1077" s="15">
        <v>1</v>
      </c>
      <c r="F1077" s="17">
        <v>6</v>
      </c>
      <c r="G1077" s="17">
        <v>6</v>
      </c>
      <c r="H1077" s="15">
        <f t="shared" si="425"/>
        <v>6</v>
      </c>
      <c r="I1077" s="43" cm="1">
        <f t="array" ref="I1077">IF(J1077="-","-",_xlfn.IFS(K1077&lt;=5,0,K1077&lt;=10,1,K1077&lt;=15,2,K1077&gt;=16,3))</f>
        <v>3</v>
      </c>
      <c r="J1077" s="19" cm="1">
        <f t="array" ref="J1077">IFERROR(IF(_xlfn.XLOOKUP(L1077,NC導入施設!B:B,NC導入施設!E:E)=0,_xlfn.IFS(H1077&lt;=5,0,H1077&lt;=10,1,H1077&lt;=15,2,H1077&gt;=16,3),"Null"),"-")</f>
        <v>1</v>
      </c>
      <c r="K1077" s="60">
        <f t="shared" ref="K1077" si="444">IFERROR(SUM(H1077:H1081),"-")</f>
        <v>16</v>
      </c>
      <c r="L1077" s="1">
        <v>3316081200</v>
      </c>
    </row>
    <row r="1078" spans="1:12" ht="18" customHeight="1" x14ac:dyDescent="0.45">
      <c r="A1078" s="13">
        <v>1072</v>
      </c>
      <c r="B1078" s="41" t="str">
        <f t="shared" ref="B1078:C1081" si="445">B1077</f>
        <v>西日本第一本部</v>
      </c>
      <c r="C1078" s="41" t="str">
        <f t="shared" si="445"/>
        <v>そんぽの家　桜本町</v>
      </c>
      <c r="D1078" s="14" t="s">
        <v>4</v>
      </c>
      <c r="E1078" s="15">
        <v>1</v>
      </c>
      <c r="F1078" s="17">
        <v>10</v>
      </c>
      <c r="G1078" s="17">
        <v>10</v>
      </c>
      <c r="H1078" s="15">
        <f t="shared" si="425"/>
        <v>10</v>
      </c>
      <c r="I1078" s="44"/>
      <c r="J1078" s="19" cm="1">
        <f t="array" ref="J1078">IFERROR(IF(_xlfn.XLOOKUP(L1078,NC導入施設!B:B,NC導入施設!E:E)=0,_xlfn.IFS(H1078&lt;=5,0,H1078&lt;=10,1,H1078&lt;=15,2,H1078&gt;=16,3),"Null"),"-")</f>
        <v>1</v>
      </c>
      <c r="K1078" s="61"/>
      <c r="L1078" s="1">
        <v>3316081200</v>
      </c>
    </row>
    <row r="1079" spans="1:12" ht="18" customHeight="1" x14ac:dyDescent="0.45">
      <c r="A1079" s="13">
        <v>1073</v>
      </c>
      <c r="B1079" s="41" t="str">
        <f t="shared" si="445"/>
        <v>西日本第一本部</v>
      </c>
      <c r="C1079" s="41" t="str">
        <f t="shared" si="445"/>
        <v>そんぽの家　桜本町</v>
      </c>
      <c r="D1079" s="14" t="s">
        <v>5</v>
      </c>
      <c r="E1079" s="15">
        <v>1</v>
      </c>
      <c r="F1079" s="17">
        <v>0</v>
      </c>
      <c r="G1079" s="17">
        <v>0</v>
      </c>
      <c r="H1079" s="15">
        <f t="shared" si="425"/>
        <v>0</v>
      </c>
      <c r="I1079" s="44"/>
      <c r="J1079" s="19" cm="1">
        <f t="array" ref="J1079">IFERROR(IF(_xlfn.XLOOKUP(L1079,NC導入施設!B:B,NC導入施設!E:E)=0,_xlfn.IFS(H1079&lt;=5,0,H1079&lt;=10,1,H1079&lt;=15,2,H1079&gt;=16,3),"Null"),"-")</f>
        <v>0</v>
      </c>
      <c r="K1079" s="61"/>
      <c r="L1079" s="1">
        <v>3316081200</v>
      </c>
    </row>
    <row r="1080" spans="1:12" ht="18" customHeight="1" x14ac:dyDescent="0.45">
      <c r="A1080" s="13">
        <v>1074</v>
      </c>
      <c r="B1080" s="41" t="str">
        <f t="shared" si="445"/>
        <v>西日本第一本部</v>
      </c>
      <c r="C1080" s="41" t="str">
        <f t="shared" si="445"/>
        <v>そんぽの家　桜本町</v>
      </c>
      <c r="D1080" s="14" t="s">
        <v>6</v>
      </c>
      <c r="E1080" s="15">
        <v>3</v>
      </c>
      <c r="F1080" s="17">
        <v>0</v>
      </c>
      <c r="G1080" s="17">
        <v>0</v>
      </c>
      <c r="H1080" s="15">
        <f t="shared" si="425"/>
        <v>0</v>
      </c>
      <c r="I1080" s="44"/>
      <c r="J1080" s="19" cm="1">
        <f t="array" ref="J1080">IFERROR(IF(_xlfn.XLOOKUP(L1080,NC導入施設!B:B,NC導入施設!E:E)=0,_xlfn.IFS(H1080&lt;=5,0,H1080&lt;=10,1,H1080&lt;=15,2,H1080&gt;=16,3),"Null"),"-")</f>
        <v>0</v>
      </c>
      <c r="K1080" s="61"/>
      <c r="L1080" s="1">
        <v>3316081200</v>
      </c>
    </row>
    <row r="1081" spans="1:12" ht="18" customHeight="1" x14ac:dyDescent="0.45">
      <c r="A1081" s="13">
        <v>1075</v>
      </c>
      <c r="B1081" s="42" t="str">
        <f t="shared" si="445"/>
        <v>西日本第一本部</v>
      </c>
      <c r="C1081" s="42" t="str">
        <f t="shared" si="445"/>
        <v>そんぽの家　桜本町</v>
      </c>
      <c r="D1081" s="14" t="s">
        <v>2</v>
      </c>
      <c r="E1081" s="15">
        <v>0</v>
      </c>
      <c r="F1081" s="17">
        <v>0</v>
      </c>
      <c r="G1081" s="17">
        <v>0</v>
      </c>
      <c r="H1081" s="15">
        <f t="shared" si="425"/>
        <v>0</v>
      </c>
      <c r="I1081" s="45"/>
      <c r="J1081" s="19" cm="1">
        <f t="array" ref="J1081">IFERROR(IF(_xlfn.XLOOKUP(L1081,NC導入施設!B:B,NC導入施設!E:E)=0,_xlfn.IFS(H1081&lt;=5,0,H1081&lt;=10,1,H1081&lt;=15,2,H1081&gt;=16,3),"Null"),"-")</f>
        <v>0</v>
      </c>
      <c r="K1081" s="62"/>
      <c r="L1081" s="1">
        <v>3316081200</v>
      </c>
    </row>
    <row r="1082" spans="1:12" ht="18" customHeight="1" x14ac:dyDescent="0.45">
      <c r="A1082" s="8">
        <v>1076</v>
      </c>
      <c r="B1082" s="34" t="s">
        <v>85</v>
      </c>
      <c r="C1082" s="34" t="s">
        <v>106</v>
      </c>
      <c r="D1082" s="9" t="s">
        <v>3</v>
      </c>
      <c r="E1082" s="10">
        <v>1</v>
      </c>
      <c r="F1082" s="12">
        <v>4</v>
      </c>
      <c r="G1082" s="12">
        <v>4</v>
      </c>
      <c r="H1082" s="10">
        <f t="shared" si="425"/>
        <v>4</v>
      </c>
      <c r="I1082" s="37" cm="1">
        <f t="array" ref="I1082">IF(J1082="-","-",_xlfn.IFS(K1082&lt;=5,0,K1082&lt;=10,1,K1082&lt;=15,2,K1082&gt;=16,3))</f>
        <v>3</v>
      </c>
      <c r="J1082" s="19" cm="1">
        <f t="array" ref="J1082">IFERROR(IF(_xlfn.XLOOKUP(L1082,NC導入施設!B:B,NC導入施設!E:E)=0,_xlfn.IFS(H1082&lt;=5,0,H1082&lt;=10,1,H1082&lt;=15,2,H1082&gt;=16,3),"Null"),"-")</f>
        <v>0</v>
      </c>
      <c r="K1082" s="60">
        <f t="shared" ref="K1082" si="446">IFERROR(SUM(H1082:H1086),"-")</f>
        <v>29</v>
      </c>
      <c r="L1082" s="1">
        <v>3316091200</v>
      </c>
    </row>
    <row r="1083" spans="1:12" ht="18" customHeight="1" x14ac:dyDescent="0.45">
      <c r="A1083" s="8">
        <v>1077</v>
      </c>
      <c r="B1083" s="35" t="str">
        <f t="shared" ref="B1083:C1086" si="447">B1082</f>
        <v>西日本第一本部</v>
      </c>
      <c r="C1083" s="35" t="str">
        <f t="shared" si="447"/>
        <v>そんぽの家　星崎</v>
      </c>
      <c r="D1083" s="9" t="s">
        <v>4</v>
      </c>
      <c r="E1083" s="10">
        <v>1</v>
      </c>
      <c r="F1083" s="12">
        <v>6</v>
      </c>
      <c r="G1083" s="12">
        <v>6</v>
      </c>
      <c r="H1083" s="10">
        <f t="shared" si="425"/>
        <v>6</v>
      </c>
      <c r="I1083" s="38"/>
      <c r="J1083" s="19" cm="1">
        <f t="array" ref="J1083">IFERROR(IF(_xlfn.XLOOKUP(L1083,NC導入施設!B:B,NC導入施設!E:E)=0,_xlfn.IFS(H1083&lt;=5,0,H1083&lt;=10,1,H1083&lt;=15,2,H1083&gt;=16,3),"Null"),"-")</f>
        <v>1</v>
      </c>
      <c r="K1083" s="61"/>
      <c r="L1083" s="1">
        <v>3316091200</v>
      </c>
    </row>
    <row r="1084" spans="1:12" ht="18" customHeight="1" x14ac:dyDescent="0.45">
      <c r="A1084" s="8">
        <v>1078</v>
      </c>
      <c r="B1084" s="35" t="str">
        <f t="shared" si="447"/>
        <v>西日本第一本部</v>
      </c>
      <c r="C1084" s="35" t="str">
        <f t="shared" si="447"/>
        <v>そんぽの家　星崎</v>
      </c>
      <c r="D1084" s="9" t="s">
        <v>5</v>
      </c>
      <c r="E1084" s="10">
        <v>1</v>
      </c>
      <c r="F1084" s="12">
        <v>6</v>
      </c>
      <c r="G1084" s="12">
        <v>6</v>
      </c>
      <c r="H1084" s="10">
        <f t="shared" si="425"/>
        <v>6</v>
      </c>
      <c r="I1084" s="38"/>
      <c r="J1084" s="19" cm="1">
        <f t="array" ref="J1084">IFERROR(IF(_xlfn.XLOOKUP(L1084,NC導入施設!B:B,NC導入施設!E:E)=0,_xlfn.IFS(H1084&lt;=5,0,H1084&lt;=10,1,H1084&lt;=15,2,H1084&gt;=16,3),"Null"),"-")</f>
        <v>1</v>
      </c>
      <c r="K1084" s="61"/>
      <c r="L1084" s="1">
        <v>3316091200</v>
      </c>
    </row>
    <row r="1085" spans="1:12" ht="18" customHeight="1" x14ac:dyDescent="0.45">
      <c r="A1085" s="8">
        <v>1079</v>
      </c>
      <c r="B1085" s="35" t="str">
        <f t="shared" si="447"/>
        <v>西日本第一本部</v>
      </c>
      <c r="C1085" s="35" t="str">
        <f t="shared" si="447"/>
        <v>そんぽの家　星崎</v>
      </c>
      <c r="D1085" s="9" t="s">
        <v>6</v>
      </c>
      <c r="E1085" s="10">
        <v>3</v>
      </c>
      <c r="F1085" s="12">
        <v>0</v>
      </c>
      <c r="G1085" s="12">
        <v>0</v>
      </c>
      <c r="H1085" s="10">
        <f t="shared" si="425"/>
        <v>0</v>
      </c>
      <c r="I1085" s="38"/>
      <c r="J1085" s="19" cm="1">
        <f t="array" ref="J1085">IFERROR(IF(_xlfn.XLOOKUP(L1085,NC導入施設!B:B,NC導入施設!E:E)=0,_xlfn.IFS(H1085&lt;=5,0,H1085&lt;=10,1,H1085&lt;=15,2,H1085&gt;=16,3),"Null"),"-")</f>
        <v>0</v>
      </c>
      <c r="K1085" s="61"/>
      <c r="L1085" s="1">
        <v>3316091200</v>
      </c>
    </row>
    <row r="1086" spans="1:12" ht="18" customHeight="1" x14ac:dyDescent="0.45">
      <c r="A1086" s="8">
        <v>1080</v>
      </c>
      <c r="B1086" s="36" t="str">
        <f t="shared" si="447"/>
        <v>西日本第一本部</v>
      </c>
      <c r="C1086" s="36" t="str">
        <f t="shared" si="447"/>
        <v>そんぽの家　星崎</v>
      </c>
      <c r="D1086" s="9" t="s">
        <v>2</v>
      </c>
      <c r="E1086" s="10">
        <v>1</v>
      </c>
      <c r="F1086" s="12">
        <v>13</v>
      </c>
      <c r="G1086" s="12">
        <v>13</v>
      </c>
      <c r="H1086" s="10">
        <f t="shared" si="425"/>
        <v>13</v>
      </c>
      <c r="I1086" s="39"/>
      <c r="J1086" s="19" cm="1">
        <f t="array" ref="J1086">IFERROR(IF(_xlfn.XLOOKUP(L1086,NC導入施設!B:B,NC導入施設!E:E)=0,_xlfn.IFS(H1086&lt;=5,0,H1086&lt;=10,1,H1086&lt;=15,2,H1086&gt;=16,3),"Null"),"-")</f>
        <v>2</v>
      </c>
      <c r="K1086" s="62"/>
      <c r="L1086" s="1">
        <v>3316091200</v>
      </c>
    </row>
    <row r="1087" spans="1:12" ht="18" customHeight="1" x14ac:dyDescent="0.45">
      <c r="A1087" s="13">
        <v>1081</v>
      </c>
      <c r="B1087" s="40" t="s">
        <v>85</v>
      </c>
      <c r="C1087" s="40" t="s">
        <v>107</v>
      </c>
      <c r="D1087" s="14" t="s">
        <v>3</v>
      </c>
      <c r="E1087" s="15">
        <v>1</v>
      </c>
      <c r="F1087" s="17">
        <v>3</v>
      </c>
      <c r="G1087" s="17">
        <v>3</v>
      </c>
      <c r="H1087" s="15">
        <f t="shared" si="425"/>
        <v>3</v>
      </c>
      <c r="I1087" s="43" cm="1">
        <f t="array" ref="I1087">IF(J1087="-","-",_xlfn.IFS(K1087&lt;=5,0,K1087&lt;=10,1,K1087&lt;=15,2,K1087&gt;=16,3))</f>
        <v>3</v>
      </c>
      <c r="J1087" s="19" cm="1">
        <f t="array" ref="J1087">IFERROR(IF(_xlfn.XLOOKUP(L1087,NC導入施設!B:B,NC導入施設!E:E)=0,_xlfn.IFS(H1087&lt;=5,0,H1087&lt;=10,1,H1087&lt;=15,2,H1087&gt;=16,3),"Null"),"-")</f>
        <v>0</v>
      </c>
      <c r="K1087" s="60">
        <f t="shared" ref="K1087" si="448">IFERROR(SUM(H1087:H1091),"-")</f>
        <v>47</v>
      </c>
      <c r="L1087" s="1">
        <v>3316101200</v>
      </c>
    </row>
    <row r="1088" spans="1:12" ht="18" customHeight="1" x14ac:dyDescent="0.45">
      <c r="A1088" s="13">
        <v>1082</v>
      </c>
      <c r="B1088" s="41" t="str">
        <f t="shared" ref="B1088:C1091" si="449">B1087</f>
        <v>西日本第一本部</v>
      </c>
      <c r="C1088" s="41" t="str">
        <f t="shared" si="449"/>
        <v>そんぽの家　神沢</v>
      </c>
      <c r="D1088" s="14" t="s">
        <v>4</v>
      </c>
      <c r="E1088" s="15">
        <v>1</v>
      </c>
      <c r="F1088" s="17">
        <v>20</v>
      </c>
      <c r="G1088" s="17">
        <v>20</v>
      </c>
      <c r="H1088" s="15">
        <f t="shared" si="425"/>
        <v>20</v>
      </c>
      <c r="I1088" s="44"/>
      <c r="J1088" s="19" cm="1">
        <f t="array" ref="J1088">IFERROR(IF(_xlfn.XLOOKUP(L1088,NC導入施設!B:B,NC導入施設!E:E)=0,_xlfn.IFS(H1088&lt;=5,0,H1088&lt;=10,1,H1088&lt;=15,2,H1088&gt;=16,3),"Null"),"-")</f>
        <v>3</v>
      </c>
      <c r="K1088" s="61"/>
      <c r="L1088" s="1">
        <v>3316101200</v>
      </c>
    </row>
    <row r="1089" spans="1:12" ht="18" customHeight="1" x14ac:dyDescent="0.45">
      <c r="A1089" s="13">
        <v>1083</v>
      </c>
      <c r="B1089" s="41" t="str">
        <f t="shared" si="449"/>
        <v>西日本第一本部</v>
      </c>
      <c r="C1089" s="41" t="str">
        <f t="shared" si="449"/>
        <v>そんぽの家　神沢</v>
      </c>
      <c r="D1089" s="14" t="s">
        <v>5</v>
      </c>
      <c r="E1089" s="15">
        <v>1</v>
      </c>
      <c r="F1089" s="17">
        <v>17</v>
      </c>
      <c r="G1089" s="17">
        <v>17</v>
      </c>
      <c r="H1089" s="15">
        <f t="shared" si="425"/>
        <v>17</v>
      </c>
      <c r="I1089" s="44"/>
      <c r="J1089" s="19" cm="1">
        <f t="array" ref="J1089">IFERROR(IF(_xlfn.XLOOKUP(L1089,NC導入施設!B:B,NC導入施設!E:E)=0,_xlfn.IFS(H1089&lt;=5,0,H1089&lt;=10,1,H1089&lt;=15,2,H1089&gt;=16,3),"Null"),"-")</f>
        <v>3</v>
      </c>
      <c r="K1089" s="61"/>
      <c r="L1089" s="1">
        <v>3316101200</v>
      </c>
    </row>
    <row r="1090" spans="1:12" ht="18" customHeight="1" x14ac:dyDescent="0.45">
      <c r="A1090" s="13">
        <v>1084</v>
      </c>
      <c r="B1090" s="41" t="str">
        <f t="shared" si="449"/>
        <v>西日本第一本部</v>
      </c>
      <c r="C1090" s="41" t="str">
        <f t="shared" si="449"/>
        <v>そんぽの家　神沢</v>
      </c>
      <c r="D1090" s="14" t="s">
        <v>6</v>
      </c>
      <c r="E1090" s="15">
        <v>3</v>
      </c>
      <c r="F1090" s="17">
        <v>3</v>
      </c>
      <c r="G1090" s="17">
        <v>1</v>
      </c>
      <c r="H1090" s="15">
        <f t="shared" si="425"/>
        <v>3</v>
      </c>
      <c r="I1090" s="44"/>
      <c r="J1090" s="19" cm="1">
        <f t="array" ref="J1090">IFERROR(IF(_xlfn.XLOOKUP(L1090,NC導入施設!B:B,NC導入施設!E:E)=0,_xlfn.IFS(H1090&lt;=5,0,H1090&lt;=10,1,H1090&lt;=15,2,H1090&gt;=16,3),"Null"),"-")</f>
        <v>0</v>
      </c>
      <c r="K1090" s="61"/>
      <c r="L1090" s="1">
        <v>3316101200</v>
      </c>
    </row>
    <row r="1091" spans="1:12" ht="18" customHeight="1" x14ac:dyDescent="0.45">
      <c r="A1091" s="13">
        <v>1085</v>
      </c>
      <c r="B1091" s="42" t="str">
        <f t="shared" si="449"/>
        <v>西日本第一本部</v>
      </c>
      <c r="C1091" s="42" t="str">
        <f t="shared" si="449"/>
        <v>そんぽの家　神沢</v>
      </c>
      <c r="D1091" s="14" t="s">
        <v>2</v>
      </c>
      <c r="E1091" s="15">
        <v>1</v>
      </c>
      <c r="F1091" s="17">
        <v>4</v>
      </c>
      <c r="G1091" s="17">
        <v>4</v>
      </c>
      <c r="H1091" s="15">
        <f t="shared" si="425"/>
        <v>4</v>
      </c>
      <c r="I1091" s="45"/>
      <c r="J1091" s="19" cm="1">
        <f t="array" ref="J1091">IFERROR(IF(_xlfn.XLOOKUP(L1091,NC導入施設!B:B,NC導入施設!E:E)=0,_xlfn.IFS(H1091&lt;=5,0,H1091&lt;=10,1,H1091&lt;=15,2,H1091&gt;=16,3),"Null"),"-")</f>
        <v>0</v>
      </c>
      <c r="K1091" s="62"/>
      <c r="L1091" s="1">
        <v>3316101200</v>
      </c>
    </row>
    <row r="1092" spans="1:12" ht="18" customHeight="1" x14ac:dyDescent="0.45">
      <c r="A1092" s="8">
        <v>1086</v>
      </c>
      <c r="B1092" s="34" t="s">
        <v>85</v>
      </c>
      <c r="C1092" s="34" t="s">
        <v>108</v>
      </c>
      <c r="D1092" s="9" t="s">
        <v>3</v>
      </c>
      <c r="E1092" s="10">
        <v>1</v>
      </c>
      <c r="F1092" s="12">
        <v>6</v>
      </c>
      <c r="G1092" s="12">
        <v>6</v>
      </c>
      <c r="H1092" s="10">
        <f t="shared" si="425"/>
        <v>6</v>
      </c>
      <c r="I1092" s="37" cm="1">
        <f t="array" ref="I1092">IF(J1092="-","-",_xlfn.IFS(K1092&lt;=5,0,K1092&lt;=10,1,K1092&lt;=15,2,K1092&gt;=16,3))</f>
        <v>1</v>
      </c>
      <c r="J1092" s="19" cm="1">
        <f t="array" ref="J1092">IFERROR(IF(_xlfn.XLOOKUP(L1092,NC導入施設!B:B,NC導入施設!E:E)=0,_xlfn.IFS(H1092&lt;=5,0,H1092&lt;=10,1,H1092&lt;=15,2,H1092&gt;=16,3),"Null"),"-")</f>
        <v>1</v>
      </c>
      <c r="K1092" s="60">
        <f t="shared" ref="K1092" si="450">IFERROR(SUM(H1092:H1096),"-")</f>
        <v>8</v>
      </c>
      <c r="L1092" s="1">
        <v>3316111200</v>
      </c>
    </row>
    <row r="1093" spans="1:12" ht="18" customHeight="1" x14ac:dyDescent="0.45">
      <c r="A1093" s="8">
        <v>1087</v>
      </c>
      <c r="B1093" s="35" t="str">
        <f t="shared" ref="B1093:C1096" si="451">B1092</f>
        <v>西日本第一本部</v>
      </c>
      <c r="C1093" s="35" t="str">
        <f t="shared" si="451"/>
        <v>そんぽの家　有松</v>
      </c>
      <c r="D1093" s="9" t="s">
        <v>4</v>
      </c>
      <c r="E1093" s="10">
        <v>1</v>
      </c>
      <c r="F1093" s="12">
        <v>0</v>
      </c>
      <c r="G1093" s="12">
        <v>0</v>
      </c>
      <c r="H1093" s="10">
        <f t="shared" si="425"/>
        <v>0</v>
      </c>
      <c r="I1093" s="38"/>
      <c r="J1093" s="19" cm="1">
        <f t="array" ref="J1093">IFERROR(IF(_xlfn.XLOOKUP(L1093,NC導入施設!B:B,NC導入施設!E:E)=0,_xlfn.IFS(H1093&lt;=5,0,H1093&lt;=10,1,H1093&lt;=15,2,H1093&gt;=16,3),"Null"),"-")</f>
        <v>0</v>
      </c>
      <c r="K1093" s="61"/>
      <c r="L1093" s="1">
        <v>3316111200</v>
      </c>
    </row>
    <row r="1094" spans="1:12" ht="18" customHeight="1" x14ac:dyDescent="0.45">
      <c r="A1094" s="8">
        <v>1088</v>
      </c>
      <c r="B1094" s="35" t="str">
        <f t="shared" si="451"/>
        <v>西日本第一本部</v>
      </c>
      <c r="C1094" s="35" t="str">
        <f t="shared" si="451"/>
        <v>そんぽの家　有松</v>
      </c>
      <c r="D1094" s="9" t="s">
        <v>5</v>
      </c>
      <c r="E1094" s="10">
        <v>2</v>
      </c>
      <c r="F1094" s="12">
        <v>2</v>
      </c>
      <c r="G1094" s="12">
        <v>1</v>
      </c>
      <c r="H1094" s="10">
        <f t="shared" si="425"/>
        <v>2</v>
      </c>
      <c r="I1094" s="38"/>
      <c r="J1094" s="19" cm="1">
        <f t="array" ref="J1094">IFERROR(IF(_xlfn.XLOOKUP(L1094,NC導入施設!B:B,NC導入施設!E:E)=0,_xlfn.IFS(H1094&lt;=5,0,H1094&lt;=10,1,H1094&lt;=15,2,H1094&gt;=16,3),"Null"),"-")</f>
        <v>0</v>
      </c>
      <c r="K1094" s="61"/>
      <c r="L1094" s="1">
        <v>3316111200</v>
      </c>
    </row>
    <row r="1095" spans="1:12" ht="18" customHeight="1" x14ac:dyDescent="0.45">
      <c r="A1095" s="8">
        <v>1089</v>
      </c>
      <c r="B1095" s="35" t="str">
        <f t="shared" si="451"/>
        <v>西日本第一本部</v>
      </c>
      <c r="C1095" s="35" t="str">
        <f t="shared" si="451"/>
        <v>そんぽの家　有松</v>
      </c>
      <c r="D1095" s="9" t="s">
        <v>6</v>
      </c>
      <c r="E1095" s="10">
        <v>2</v>
      </c>
      <c r="F1095" s="12">
        <v>0</v>
      </c>
      <c r="G1095" s="12">
        <v>0</v>
      </c>
      <c r="H1095" s="10">
        <f t="shared" si="425"/>
        <v>0</v>
      </c>
      <c r="I1095" s="38"/>
      <c r="J1095" s="19" cm="1">
        <f t="array" ref="J1095">IFERROR(IF(_xlfn.XLOOKUP(L1095,NC導入施設!B:B,NC導入施設!E:E)=0,_xlfn.IFS(H1095&lt;=5,0,H1095&lt;=10,1,H1095&lt;=15,2,H1095&gt;=16,3),"Null"),"-")</f>
        <v>0</v>
      </c>
      <c r="K1095" s="61"/>
      <c r="L1095" s="1">
        <v>3316111200</v>
      </c>
    </row>
    <row r="1096" spans="1:12" ht="18" customHeight="1" x14ac:dyDescent="0.45">
      <c r="A1096" s="8">
        <v>1090</v>
      </c>
      <c r="B1096" s="36" t="str">
        <f t="shared" si="451"/>
        <v>西日本第一本部</v>
      </c>
      <c r="C1096" s="36" t="str">
        <f t="shared" si="451"/>
        <v>そんぽの家　有松</v>
      </c>
      <c r="D1096" s="9" t="s">
        <v>2</v>
      </c>
      <c r="E1096" s="10">
        <v>0</v>
      </c>
      <c r="F1096" s="12">
        <v>0</v>
      </c>
      <c r="G1096" s="12">
        <v>0</v>
      </c>
      <c r="H1096" s="10">
        <f t="shared" ref="H1096:H1159" si="452">F1096</f>
        <v>0</v>
      </c>
      <c r="I1096" s="39"/>
      <c r="J1096" s="19" cm="1">
        <f t="array" ref="J1096">IFERROR(IF(_xlfn.XLOOKUP(L1096,NC導入施設!B:B,NC導入施設!E:E)=0,_xlfn.IFS(H1096&lt;=5,0,H1096&lt;=10,1,H1096&lt;=15,2,H1096&gt;=16,3),"Null"),"-")</f>
        <v>0</v>
      </c>
      <c r="K1096" s="62"/>
      <c r="L1096" s="1">
        <v>3316111200</v>
      </c>
    </row>
    <row r="1097" spans="1:12" ht="18" customHeight="1" x14ac:dyDescent="0.45">
      <c r="A1097" s="13">
        <v>1091</v>
      </c>
      <c r="B1097" s="40" t="s">
        <v>85</v>
      </c>
      <c r="C1097" s="40" t="s">
        <v>109</v>
      </c>
      <c r="D1097" s="14" t="s">
        <v>3</v>
      </c>
      <c r="E1097" s="15">
        <v>1</v>
      </c>
      <c r="F1097" s="17">
        <v>14</v>
      </c>
      <c r="G1097" s="17">
        <v>14</v>
      </c>
      <c r="H1097" s="15">
        <f t="shared" si="452"/>
        <v>14</v>
      </c>
      <c r="I1097" s="43" cm="1">
        <f t="array" ref="I1097">IF(J1097="-","-",_xlfn.IFS(K1097&lt;=5,0,K1097&lt;=10,1,K1097&lt;=15,2,K1097&gt;=16,3))</f>
        <v>3</v>
      </c>
      <c r="J1097" s="19" cm="1">
        <f t="array" ref="J1097">IFERROR(IF(_xlfn.XLOOKUP(L1097,NC導入施設!B:B,NC導入施設!E:E)=0,_xlfn.IFS(H1097&lt;=5,0,H1097&lt;=10,1,H1097&lt;=15,2,H1097&gt;=16,3),"Null"),"-")</f>
        <v>2</v>
      </c>
      <c r="K1097" s="60">
        <f t="shared" ref="K1097" si="453">IFERROR(SUM(H1097:H1101),"-")</f>
        <v>44</v>
      </c>
      <c r="L1097" s="1">
        <v>3316121200</v>
      </c>
    </row>
    <row r="1098" spans="1:12" ht="18" customHeight="1" x14ac:dyDescent="0.45">
      <c r="A1098" s="13">
        <v>1092</v>
      </c>
      <c r="B1098" s="41" t="str">
        <f t="shared" ref="B1098:C1101" si="454">B1097</f>
        <v>西日本第一本部</v>
      </c>
      <c r="C1098" s="41" t="str">
        <f t="shared" si="454"/>
        <v>そんぽの家　大曽根</v>
      </c>
      <c r="D1098" s="14" t="s">
        <v>4</v>
      </c>
      <c r="E1098" s="15">
        <v>1</v>
      </c>
      <c r="F1098" s="17">
        <v>9</v>
      </c>
      <c r="G1098" s="17">
        <v>9</v>
      </c>
      <c r="H1098" s="15">
        <f t="shared" si="452"/>
        <v>9</v>
      </c>
      <c r="I1098" s="44"/>
      <c r="J1098" s="19" cm="1">
        <f t="array" ref="J1098">IFERROR(IF(_xlfn.XLOOKUP(L1098,NC導入施設!B:B,NC導入施設!E:E)=0,_xlfn.IFS(H1098&lt;=5,0,H1098&lt;=10,1,H1098&lt;=15,2,H1098&gt;=16,3),"Null"),"-")</f>
        <v>1</v>
      </c>
      <c r="K1098" s="61"/>
      <c r="L1098" s="1">
        <v>3316121200</v>
      </c>
    </row>
    <row r="1099" spans="1:12" ht="18" customHeight="1" x14ac:dyDescent="0.45">
      <c r="A1099" s="13">
        <v>1093</v>
      </c>
      <c r="B1099" s="41" t="str">
        <f t="shared" si="454"/>
        <v>西日本第一本部</v>
      </c>
      <c r="C1099" s="41" t="str">
        <f t="shared" si="454"/>
        <v>そんぽの家　大曽根</v>
      </c>
      <c r="D1099" s="14" t="s">
        <v>5</v>
      </c>
      <c r="E1099" s="15">
        <v>2</v>
      </c>
      <c r="F1099" s="17">
        <v>0</v>
      </c>
      <c r="G1099" s="17">
        <v>0</v>
      </c>
      <c r="H1099" s="15">
        <f t="shared" si="452"/>
        <v>0</v>
      </c>
      <c r="I1099" s="44"/>
      <c r="J1099" s="19" cm="1">
        <f t="array" ref="J1099">IFERROR(IF(_xlfn.XLOOKUP(L1099,NC導入施設!B:B,NC導入施設!E:E)=0,_xlfn.IFS(H1099&lt;=5,0,H1099&lt;=10,1,H1099&lt;=15,2,H1099&gt;=16,3),"Null"),"-")</f>
        <v>0</v>
      </c>
      <c r="K1099" s="61"/>
      <c r="L1099" s="1">
        <v>3316121200</v>
      </c>
    </row>
    <row r="1100" spans="1:12" ht="18" customHeight="1" x14ac:dyDescent="0.45">
      <c r="A1100" s="13">
        <v>1094</v>
      </c>
      <c r="B1100" s="41" t="str">
        <f t="shared" si="454"/>
        <v>西日本第一本部</v>
      </c>
      <c r="C1100" s="41" t="str">
        <f t="shared" si="454"/>
        <v>そんぽの家　大曽根</v>
      </c>
      <c r="D1100" s="14" t="s">
        <v>6</v>
      </c>
      <c r="E1100" s="15">
        <v>3</v>
      </c>
      <c r="F1100" s="17">
        <v>6</v>
      </c>
      <c r="G1100" s="17">
        <v>2</v>
      </c>
      <c r="H1100" s="15">
        <f t="shared" si="452"/>
        <v>6</v>
      </c>
      <c r="I1100" s="44"/>
      <c r="J1100" s="19" cm="1">
        <f t="array" ref="J1100">IFERROR(IF(_xlfn.XLOOKUP(L1100,NC導入施設!B:B,NC導入施設!E:E)=0,_xlfn.IFS(H1100&lt;=5,0,H1100&lt;=10,1,H1100&lt;=15,2,H1100&gt;=16,3),"Null"),"-")</f>
        <v>1</v>
      </c>
      <c r="K1100" s="61"/>
      <c r="L1100" s="1">
        <v>3316121200</v>
      </c>
    </row>
    <row r="1101" spans="1:12" ht="18" customHeight="1" x14ac:dyDescent="0.45">
      <c r="A1101" s="13">
        <v>1095</v>
      </c>
      <c r="B1101" s="42" t="str">
        <f t="shared" si="454"/>
        <v>西日本第一本部</v>
      </c>
      <c r="C1101" s="42" t="str">
        <f t="shared" si="454"/>
        <v>そんぽの家　大曽根</v>
      </c>
      <c r="D1101" s="14" t="s">
        <v>2</v>
      </c>
      <c r="E1101" s="15">
        <v>2</v>
      </c>
      <c r="F1101" s="17">
        <v>15</v>
      </c>
      <c r="G1101" s="17">
        <v>7.5</v>
      </c>
      <c r="H1101" s="15">
        <f t="shared" si="452"/>
        <v>15</v>
      </c>
      <c r="I1101" s="45"/>
      <c r="J1101" s="19" cm="1">
        <f t="array" ref="J1101">IFERROR(IF(_xlfn.XLOOKUP(L1101,NC導入施設!B:B,NC導入施設!E:E)=0,_xlfn.IFS(H1101&lt;=5,0,H1101&lt;=10,1,H1101&lt;=15,2,H1101&gt;=16,3),"Null"),"-")</f>
        <v>2</v>
      </c>
      <c r="K1101" s="62"/>
      <c r="L1101" s="1">
        <v>3316121200</v>
      </c>
    </row>
    <row r="1102" spans="1:12" ht="18" customHeight="1" x14ac:dyDescent="0.45">
      <c r="A1102" s="8">
        <v>1096</v>
      </c>
      <c r="B1102" s="34" t="s">
        <v>85</v>
      </c>
      <c r="C1102" s="34" t="s">
        <v>110</v>
      </c>
      <c r="D1102" s="9" t="s">
        <v>3</v>
      </c>
      <c r="E1102" s="10">
        <v>1</v>
      </c>
      <c r="F1102" s="12">
        <v>17</v>
      </c>
      <c r="G1102" s="12">
        <v>17</v>
      </c>
      <c r="H1102" s="10">
        <f t="shared" si="452"/>
        <v>17</v>
      </c>
      <c r="I1102" s="37" cm="1">
        <f t="array" ref="I1102">IF(J1102="-","-",_xlfn.IFS(K1102&lt;=5,0,K1102&lt;=10,1,K1102&lt;=15,2,K1102&gt;=16,3))</f>
        <v>3</v>
      </c>
      <c r="J1102" s="19" cm="1">
        <f t="array" ref="J1102">IFERROR(IF(_xlfn.XLOOKUP(L1102,NC導入施設!B:B,NC導入施設!E:E)=0,_xlfn.IFS(H1102&lt;=5,0,H1102&lt;=10,1,H1102&lt;=15,2,H1102&gt;=16,3),"Null"),"-")</f>
        <v>3</v>
      </c>
      <c r="K1102" s="60">
        <f t="shared" ref="K1102" si="455">IFERROR(SUM(H1102:H1106),"-")</f>
        <v>40</v>
      </c>
      <c r="L1102" s="1">
        <v>3616141100</v>
      </c>
    </row>
    <row r="1103" spans="1:12" ht="18" customHeight="1" x14ac:dyDescent="0.45">
      <c r="A1103" s="8">
        <v>1097</v>
      </c>
      <c r="B1103" s="35" t="str">
        <f t="shared" ref="B1103:C1106" si="456">B1102</f>
        <v>西日本第一本部</v>
      </c>
      <c r="C1103" s="35" t="str">
        <f t="shared" si="456"/>
        <v>そんぽの家　太秦天神川</v>
      </c>
      <c r="D1103" s="9" t="s">
        <v>4</v>
      </c>
      <c r="E1103" s="10">
        <v>1</v>
      </c>
      <c r="F1103" s="12">
        <v>20</v>
      </c>
      <c r="G1103" s="12">
        <v>20</v>
      </c>
      <c r="H1103" s="10">
        <f t="shared" si="452"/>
        <v>20</v>
      </c>
      <c r="I1103" s="38"/>
      <c r="J1103" s="19" cm="1">
        <f t="array" ref="J1103">IFERROR(IF(_xlfn.XLOOKUP(L1103,NC導入施設!B:B,NC導入施設!E:E)=0,_xlfn.IFS(H1103&lt;=5,0,H1103&lt;=10,1,H1103&lt;=15,2,H1103&gt;=16,3),"Null"),"-")</f>
        <v>3</v>
      </c>
      <c r="K1103" s="61"/>
      <c r="L1103" s="1">
        <v>3616141100</v>
      </c>
    </row>
    <row r="1104" spans="1:12" ht="18" customHeight="1" x14ac:dyDescent="0.45">
      <c r="A1104" s="8">
        <v>1098</v>
      </c>
      <c r="B1104" s="35" t="str">
        <f t="shared" si="456"/>
        <v>西日本第一本部</v>
      </c>
      <c r="C1104" s="35" t="str">
        <f t="shared" si="456"/>
        <v>そんぽの家　太秦天神川</v>
      </c>
      <c r="D1104" s="9" t="s">
        <v>5</v>
      </c>
      <c r="E1104" s="10">
        <v>1</v>
      </c>
      <c r="F1104" s="12">
        <v>1</v>
      </c>
      <c r="G1104" s="12">
        <v>1</v>
      </c>
      <c r="H1104" s="10">
        <f t="shared" si="452"/>
        <v>1</v>
      </c>
      <c r="I1104" s="38"/>
      <c r="J1104" s="19" cm="1">
        <f t="array" ref="J1104">IFERROR(IF(_xlfn.XLOOKUP(L1104,NC導入施設!B:B,NC導入施設!E:E)=0,_xlfn.IFS(H1104&lt;=5,0,H1104&lt;=10,1,H1104&lt;=15,2,H1104&gt;=16,3),"Null"),"-")</f>
        <v>0</v>
      </c>
      <c r="K1104" s="61"/>
      <c r="L1104" s="1">
        <v>3616141100</v>
      </c>
    </row>
    <row r="1105" spans="1:12" ht="18" customHeight="1" x14ac:dyDescent="0.45">
      <c r="A1105" s="8">
        <v>1099</v>
      </c>
      <c r="B1105" s="35" t="str">
        <f t="shared" si="456"/>
        <v>西日本第一本部</v>
      </c>
      <c r="C1105" s="35" t="str">
        <f t="shared" si="456"/>
        <v>そんぽの家　太秦天神川</v>
      </c>
      <c r="D1105" s="9" t="s">
        <v>6</v>
      </c>
      <c r="E1105" s="10">
        <v>3</v>
      </c>
      <c r="F1105" s="12">
        <v>2</v>
      </c>
      <c r="G1105" s="12">
        <v>0.7</v>
      </c>
      <c r="H1105" s="10">
        <f t="shared" si="452"/>
        <v>2</v>
      </c>
      <c r="I1105" s="38"/>
      <c r="J1105" s="19" cm="1">
        <f t="array" ref="J1105">IFERROR(IF(_xlfn.XLOOKUP(L1105,NC導入施設!B:B,NC導入施設!E:E)=0,_xlfn.IFS(H1105&lt;=5,0,H1105&lt;=10,1,H1105&lt;=15,2,H1105&gt;=16,3),"Null"),"-")</f>
        <v>0</v>
      </c>
      <c r="K1105" s="61"/>
      <c r="L1105" s="1">
        <v>3616141100</v>
      </c>
    </row>
    <row r="1106" spans="1:12" ht="18" customHeight="1" x14ac:dyDescent="0.45">
      <c r="A1106" s="8">
        <v>1100</v>
      </c>
      <c r="B1106" s="36" t="str">
        <f t="shared" si="456"/>
        <v>西日本第一本部</v>
      </c>
      <c r="C1106" s="36" t="str">
        <f t="shared" si="456"/>
        <v>そんぽの家　太秦天神川</v>
      </c>
      <c r="D1106" s="9" t="s">
        <v>2</v>
      </c>
      <c r="E1106" s="10">
        <v>2</v>
      </c>
      <c r="F1106" s="12">
        <v>0</v>
      </c>
      <c r="G1106" s="12">
        <v>0</v>
      </c>
      <c r="H1106" s="10">
        <f t="shared" si="452"/>
        <v>0</v>
      </c>
      <c r="I1106" s="39"/>
      <c r="J1106" s="19" cm="1">
        <f t="array" ref="J1106">IFERROR(IF(_xlfn.XLOOKUP(L1106,NC導入施設!B:B,NC導入施設!E:E)=0,_xlfn.IFS(H1106&lt;=5,0,H1106&lt;=10,1,H1106&lt;=15,2,H1106&gt;=16,3),"Null"),"-")</f>
        <v>0</v>
      </c>
      <c r="K1106" s="62"/>
      <c r="L1106" s="1">
        <v>3616141100</v>
      </c>
    </row>
    <row r="1107" spans="1:12" ht="18" customHeight="1" x14ac:dyDescent="0.45">
      <c r="A1107" s="13">
        <v>1101</v>
      </c>
      <c r="B1107" s="40" t="s">
        <v>85</v>
      </c>
      <c r="C1107" s="40" t="s">
        <v>111</v>
      </c>
      <c r="D1107" s="14" t="s">
        <v>3</v>
      </c>
      <c r="E1107" s="15">
        <v>1</v>
      </c>
      <c r="F1107" s="17">
        <v>21</v>
      </c>
      <c r="G1107" s="17">
        <v>21</v>
      </c>
      <c r="H1107" s="15">
        <f t="shared" si="452"/>
        <v>21</v>
      </c>
      <c r="I1107" s="43" cm="1">
        <f t="array" ref="I1107">IF(J1107="-","-",_xlfn.IFS(K1107&lt;=5,0,K1107&lt;=10,1,K1107&lt;=15,2,K1107&gt;=16,3))</f>
        <v>3</v>
      </c>
      <c r="J1107" s="19" cm="1">
        <f t="array" ref="J1107">IFERROR(IF(_xlfn.XLOOKUP(L1107,NC導入施設!B:B,NC導入施設!E:E)=0,_xlfn.IFS(H1107&lt;=5,0,H1107&lt;=10,1,H1107&lt;=15,2,H1107&gt;=16,3),"Null"),"-")</f>
        <v>3</v>
      </c>
      <c r="K1107" s="60">
        <f t="shared" ref="K1107" si="457">IFERROR(SUM(H1107:H1111),"-")</f>
        <v>68</v>
      </c>
      <c r="L1107" s="1">
        <v>3616251100</v>
      </c>
    </row>
    <row r="1108" spans="1:12" ht="18" customHeight="1" x14ac:dyDescent="0.45">
      <c r="A1108" s="13">
        <v>1102</v>
      </c>
      <c r="B1108" s="41" t="str">
        <f t="shared" ref="B1108:C1111" si="458">B1107</f>
        <v>西日本第一本部</v>
      </c>
      <c r="C1108" s="41" t="str">
        <f t="shared" si="458"/>
        <v>そんぽの家　京都羽束師</v>
      </c>
      <c r="D1108" s="14" t="s">
        <v>4</v>
      </c>
      <c r="E1108" s="15">
        <v>1</v>
      </c>
      <c r="F1108" s="17">
        <v>20</v>
      </c>
      <c r="G1108" s="17">
        <v>20</v>
      </c>
      <c r="H1108" s="15">
        <f t="shared" si="452"/>
        <v>20</v>
      </c>
      <c r="I1108" s="44"/>
      <c r="J1108" s="19" cm="1">
        <f t="array" ref="J1108">IFERROR(IF(_xlfn.XLOOKUP(L1108,NC導入施設!B:B,NC導入施設!E:E)=0,_xlfn.IFS(H1108&lt;=5,0,H1108&lt;=10,1,H1108&lt;=15,2,H1108&gt;=16,3),"Null"),"-")</f>
        <v>3</v>
      </c>
      <c r="K1108" s="61"/>
      <c r="L1108" s="1">
        <v>3616251100</v>
      </c>
    </row>
    <row r="1109" spans="1:12" ht="18" customHeight="1" x14ac:dyDescent="0.45">
      <c r="A1109" s="13">
        <v>1103</v>
      </c>
      <c r="B1109" s="41" t="str">
        <f t="shared" si="458"/>
        <v>西日本第一本部</v>
      </c>
      <c r="C1109" s="41" t="str">
        <f t="shared" si="458"/>
        <v>そんぽの家　京都羽束師</v>
      </c>
      <c r="D1109" s="14" t="s">
        <v>5</v>
      </c>
      <c r="E1109" s="15">
        <v>1</v>
      </c>
      <c r="F1109" s="17">
        <v>27</v>
      </c>
      <c r="G1109" s="17">
        <v>27</v>
      </c>
      <c r="H1109" s="15">
        <f t="shared" si="452"/>
        <v>27</v>
      </c>
      <c r="I1109" s="44"/>
      <c r="J1109" s="19" cm="1">
        <f t="array" ref="J1109">IFERROR(IF(_xlfn.XLOOKUP(L1109,NC導入施設!B:B,NC導入施設!E:E)=0,_xlfn.IFS(H1109&lt;=5,0,H1109&lt;=10,1,H1109&lt;=15,2,H1109&gt;=16,3),"Null"),"-")</f>
        <v>3</v>
      </c>
      <c r="K1109" s="61"/>
      <c r="L1109" s="1">
        <v>3616251100</v>
      </c>
    </row>
    <row r="1110" spans="1:12" ht="18" customHeight="1" x14ac:dyDescent="0.45">
      <c r="A1110" s="13">
        <v>1104</v>
      </c>
      <c r="B1110" s="41" t="str">
        <f t="shared" si="458"/>
        <v>西日本第一本部</v>
      </c>
      <c r="C1110" s="41" t="str">
        <f t="shared" si="458"/>
        <v>そんぽの家　京都羽束師</v>
      </c>
      <c r="D1110" s="14" t="s">
        <v>6</v>
      </c>
      <c r="E1110" s="15">
        <v>4</v>
      </c>
      <c r="F1110" s="17">
        <v>0</v>
      </c>
      <c r="G1110" s="17">
        <v>0</v>
      </c>
      <c r="H1110" s="15">
        <f t="shared" si="452"/>
        <v>0</v>
      </c>
      <c r="I1110" s="44"/>
      <c r="J1110" s="19" cm="1">
        <f t="array" ref="J1110">IFERROR(IF(_xlfn.XLOOKUP(L1110,NC導入施設!B:B,NC導入施設!E:E)=0,_xlfn.IFS(H1110&lt;=5,0,H1110&lt;=10,1,H1110&lt;=15,2,H1110&gt;=16,3),"Null"),"-")</f>
        <v>0</v>
      </c>
      <c r="K1110" s="61"/>
      <c r="L1110" s="1">
        <v>3616251100</v>
      </c>
    </row>
    <row r="1111" spans="1:12" ht="18" customHeight="1" x14ac:dyDescent="0.45">
      <c r="A1111" s="13">
        <v>1105</v>
      </c>
      <c r="B1111" s="42" t="str">
        <f t="shared" si="458"/>
        <v>西日本第一本部</v>
      </c>
      <c r="C1111" s="42" t="str">
        <f t="shared" si="458"/>
        <v>そんぽの家　京都羽束師</v>
      </c>
      <c r="D1111" s="14" t="s">
        <v>2</v>
      </c>
      <c r="E1111" s="15">
        <v>2</v>
      </c>
      <c r="F1111" s="17">
        <v>0</v>
      </c>
      <c r="G1111" s="17">
        <v>0</v>
      </c>
      <c r="H1111" s="15">
        <f t="shared" si="452"/>
        <v>0</v>
      </c>
      <c r="I1111" s="45"/>
      <c r="J1111" s="19" cm="1">
        <f t="array" ref="J1111">IFERROR(IF(_xlfn.XLOOKUP(L1111,NC導入施設!B:B,NC導入施設!E:E)=0,_xlfn.IFS(H1111&lt;=5,0,H1111&lt;=10,1,H1111&lt;=15,2,H1111&gt;=16,3),"Null"),"-")</f>
        <v>0</v>
      </c>
      <c r="K1111" s="62"/>
      <c r="L1111" s="1">
        <v>3616251100</v>
      </c>
    </row>
    <row r="1112" spans="1:12" ht="18" customHeight="1" x14ac:dyDescent="0.45">
      <c r="A1112" s="8">
        <v>1106</v>
      </c>
      <c r="B1112" s="34" t="s">
        <v>85</v>
      </c>
      <c r="C1112" s="34" t="s">
        <v>112</v>
      </c>
      <c r="D1112" s="9" t="s">
        <v>3</v>
      </c>
      <c r="E1112" s="10">
        <v>1</v>
      </c>
      <c r="F1112" s="12">
        <v>2</v>
      </c>
      <c r="G1112" s="12">
        <v>2</v>
      </c>
      <c r="H1112" s="10">
        <f t="shared" si="452"/>
        <v>2</v>
      </c>
      <c r="I1112" s="37" cm="1">
        <f t="array" ref="I1112">IF(J1112="-","-",_xlfn.IFS(K1112&lt;=5,0,K1112&lt;=10,1,K1112&lt;=15,2,K1112&gt;=16,3))</f>
        <v>2</v>
      </c>
      <c r="J1112" s="19" cm="1">
        <f t="array" ref="J1112">IFERROR(IF(_xlfn.XLOOKUP(L1112,NC導入施設!B:B,NC導入施設!E:E)=0,_xlfn.IFS(H1112&lt;=5,0,H1112&lt;=10,1,H1112&lt;=15,2,H1112&gt;=16,3),"Null"),"-")</f>
        <v>0</v>
      </c>
      <c r="K1112" s="60">
        <f t="shared" ref="K1112" si="459">IFERROR(SUM(H1112:H1116),"-")</f>
        <v>14</v>
      </c>
      <c r="L1112" s="1">
        <v>3716281200</v>
      </c>
    </row>
    <row r="1113" spans="1:12" ht="18" customHeight="1" x14ac:dyDescent="0.45">
      <c r="A1113" s="8">
        <v>1107</v>
      </c>
      <c r="B1113" s="35" t="str">
        <f t="shared" ref="B1113:C1116" si="460">B1112</f>
        <v>西日本第一本部</v>
      </c>
      <c r="C1113" s="35" t="str">
        <f t="shared" si="460"/>
        <v>そんぽの家　枚方西</v>
      </c>
      <c r="D1113" s="9" t="s">
        <v>4</v>
      </c>
      <c r="E1113" s="10">
        <v>1</v>
      </c>
      <c r="F1113" s="12">
        <v>0</v>
      </c>
      <c r="G1113" s="12">
        <v>0</v>
      </c>
      <c r="H1113" s="10">
        <f t="shared" si="452"/>
        <v>0</v>
      </c>
      <c r="I1113" s="38"/>
      <c r="J1113" s="19" cm="1">
        <f t="array" ref="J1113">IFERROR(IF(_xlfn.XLOOKUP(L1113,NC導入施設!B:B,NC導入施設!E:E)=0,_xlfn.IFS(H1113&lt;=5,0,H1113&lt;=10,1,H1113&lt;=15,2,H1113&gt;=16,3),"Null"),"-")</f>
        <v>0</v>
      </c>
      <c r="K1113" s="61"/>
      <c r="L1113" s="1">
        <v>3716281200</v>
      </c>
    </row>
    <row r="1114" spans="1:12" ht="18" customHeight="1" x14ac:dyDescent="0.45">
      <c r="A1114" s="8">
        <v>1108</v>
      </c>
      <c r="B1114" s="35" t="str">
        <f t="shared" si="460"/>
        <v>西日本第一本部</v>
      </c>
      <c r="C1114" s="35" t="str">
        <f t="shared" si="460"/>
        <v>そんぽの家　枚方西</v>
      </c>
      <c r="D1114" s="9" t="s">
        <v>5</v>
      </c>
      <c r="E1114" s="10">
        <v>1</v>
      </c>
      <c r="F1114" s="12">
        <v>1</v>
      </c>
      <c r="G1114" s="12">
        <v>1</v>
      </c>
      <c r="H1114" s="10">
        <f t="shared" si="452"/>
        <v>1</v>
      </c>
      <c r="I1114" s="38"/>
      <c r="J1114" s="19" cm="1">
        <f t="array" ref="J1114">IFERROR(IF(_xlfn.XLOOKUP(L1114,NC導入施設!B:B,NC導入施設!E:E)=0,_xlfn.IFS(H1114&lt;=5,0,H1114&lt;=10,1,H1114&lt;=15,2,H1114&gt;=16,3),"Null"),"-")</f>
        <v>0</v>
      </c>
      <c r="K1114" s="61"/>
      <c r="L1114" s="1">
        <v>3716281200</v>
      </c>
    </row>
    <row r="1115" spans="1:12" ht="18" customHeight="1" x14ac:dyDescent="0.45">
      <c r="A1115" s="8">
        <v>1109</v>
      </c>
      <c r="B1115" s="35" t="str">
        <f t="shared" si="460"/>
        <v>西日本第一本部</v>
      </c>
      <c r="C1115" s="35" t="str">
        <f t="shared" si="460"/>
        <v>そんぽの家　枚方西</v>
      </c>
      <c r="D1115" s="9" t="s">
        <v>6</v>
      </c>
      <c r="E1115" s="10">
        <v>3</v>
      </c>
      <c r="F1115" s="12">
        <v>0</v>
      </c>
      <c r="G1115" s="12">
        <v>0</v>
      </c>
      <c r="H1115" s="10">
        <f t="shared" si="452"/>
        <v>0</v>
      </c>
      <c r="I1115" s="38"/>
      <c r="J1115" s="19" cm="1">
        <f t="array" ref="J1115">IFERROR(IF(_xlfn.XLOOKUP(L1115,NC導入施設!B:B,NC導入施設!E:E)=0,_xlfn.IFS(H1115&lt;=5,0,H1115&lt;=10,1,H1115&lt;=15,2,H1115&gt;=16,3),"Null"),"-")</f>
        <v>0</v>
      </c>
      <c r="K1115" s="61"/>
      <c r="L1115" s="1">
        <v>3716281200</v>
      </c>
    </row>
    <row r="1116" spans="1:12" ht="18" customHeight="1" x14ac:dyDescent="0.45">
      <c r="A1116" s="8">
        <v>1110</v>
      </c>
      <c r="B1116" s="36" t="str">
        <f t="shared" si="460"/>
        <v>西日本第一本部</v>
      </c>
      <c r="C1116" s="36" t="str">
        <f t="shared" si="460"/>
        <v>そんぽの家　枚方西</v>
      </c>
      <c r="D1116" s="9" t="s">
        <v>2</v>
      </c>
      <c r="E1116" s="10">
        <v>1</v>
      </c>
      <c r="F1116" s="12">
        <v>11</v>
      </c>
      <c r="G1116" s="12">
        <v>11</v>
      </c>
      <c r="H1116" s="10">
        <f t="shared" si="452"/>
        <v>11</v>
      </c>
      <c r="I1116" s="39"/>
      <c r="J1116" s="19" cm="1">
        <f t="array" ref="J1116">IFERROR(IF(_xlfn.XLOOKUP(L1116,NC導入施設!B:B,NC導入施設!E:E)=0,_xlfn.IFS(H1116&lt;=5,0,H1116&lt;=10,1,H1116&lt;=15,2,H1116&gt;=16,3),"Null"),"-")</f>
        <v>2</v>
      </c>
      <c r="K1116" s="62"/>
      <c r="L1116" s="1">
        <v>3716281200</v>
      </c>
    </row>
    <row r="1117" spans="1:12" ht="18" customHeight="1" x14ac:dyDescent="0.45">
      <c r="A1117" s="13">
        <v>1111</v>
      </c>
      <c r="B1117" s="40" t="s">
        <v>85</v>
      </c>
      <c r="C1117" s="40" t="s">
        <v>113</v>
      </c>
      <c r="D1117" s="14" t="s">
        <v>3</v>
      </c>
      <c r="E1117" s="15">
        <v>1</v>
      </c>
      <c r="F1117" s="17">
        <v>4</v>
      </c>
      <c r="G1117" s="17">
        <v>4</v>
      </c>
      <c r="H1117" s="15">
        <f t="shared" si="452"/>
        <v>4</v>
      </c>
      <c r="I1117" s="43" cm="1">
        <f t="array" ref="I1117">IF(J1117="-","-",_xlfn.IFS(K1117&lt;=5,0,K1117&lt;=10,1,K1117&lt;=15,2,K1117&gt;=16,3))</f>
        <v>3</v>
      </c>
      <c r="J1117" s="19" cm="1">
        <f t="array" ref="J1117">IFERROR(IF(_xlfn.XLOOKUP(L1117,NC導入施設!B:B,NC導入施設!E:E)=0,_xlfn.IFS(H1117&lt;=5,0,H1117&lt;=10,1,H1117&lt;=15,2,H1117&gt;=16,3),"Null"),"-")</f>
        <v>0</v>
      </c>
      <c r="K1117" s="60">
        <f t="shared" ref="K1117" si="461">IFERROR(SUM(H1117:H1121),"-")</f>
        <v>32</v>
      </c>
      <c r="L1117" s="1">
        <v>3716291200</v>
      </c>
    </row>
    <row r="1118" spans="1:12" ht="18" customHeight="1" x14ac:dyDescent="0.45">
      <c r="A1118" s="13">
        <v>1112</v>
      </c>
      <c r="B1118" s="41" t="str">
        <f t="shared" ref="B1118:C1121" si="462">B1117</f>
        <v>西日本第一本部</v>
      </c>
      <c r="C1118" s="41" t="str">
        <f t="shared" si="462"/>
        <v>そんぽの家　交野</v>
      </c>
      <c r="D1118" s="14" t="s">
        <v>4</v>
      </c>
      <c r="E1118" s="15">
        <v>1</v>
      </c>
      <c r="F1118" s="17">
        <v>0</v>
      </c>
      <c r="G1118" s="17">
        <v>0</v>
      </c>
      <c r="H1118" s="15">
        <f t="shared" si="452"/>
        <v>0</v>
      </c>
      <c r="I1118" s="44"/>
      <c r="J1118" s="19" cm="1">
        <f t="array" ref="J1118">IFERROR(IF(_xlfn.XLOOKUP(L1118,NC導入施設!B:B,NC導入施設!E:E)=0,_xlfn.IFS(H1118&lt;=5,0,H1118&lt;=10,1,H1118&lt;=15,2,H1118&gt;=16,3),"Null"),"-")</f>
        <v>0</v>
      </c>
      <c r="K1118" s="61"/>
      <c r="L1118" s="1">
        <v>3716291200</v>
      </c>
    </row>
    <row r="1119" spans="1:12" ht="18" customHeight="1" x14ac:dyDescent="0.45">
      <c r="A1119" s="13">
        <v>1113</v>
      </c>
      <c r="B1119" s="41" t="str">
        <f t="shared" si="462"/>
        <v>西日本第一本部</v>
      </c>
      <c r="C1119" s="41" t="str">
        <f t="shared" si="462"/>
        <v>そんぽの家　交野</v>
      </c>
      <c r="D1119" s="14" t="s">
        <v>5</v>
      </c>
      <c r="E1119" s="15">
        <v>1</v>
      </c>
      <c r="F1119" s="17">
        <v>9</v>
      </c>
      <c r="G1119" s="17">
        <v>9</v>
      </c>
      <c r="H1119" s="15">
        <f t="shared" si="452"/>
        <v>9</v>
      </c>
      <c r="I1119" s="44"/>
      <c r="J1119" s="19" cm="1">
        <f t="array" ref="J1119">IFERROR(IF(_xlfn.XLOOKUP(L1119,NC導入施設!B:B,NC導入施設!E:E)=0,_xlfn.IFS(H1119&lt;=5,0,H1119&lt;=10,1,H1119&lt;=15,2,H1119&gt;=16,3),"Null"),"-")</f>
        <v>1</v>
      </c>
      <c r="K1119" s="61"/>
      <c r="L1119" s="1">
        <v>3716291200</v>
      </c>
    </row>
    <row r="1120" spans="1:12" ht="18" customHeight="1" x14ac:dyDescent="0.45">
      <c r="A1120" s="13">
        <v>1114</v>
      </c>
      <c r="B1120" s="41" t="str">
        <f t="shared" si="462"/>
        <v>西日本第一本部</v>
      </c>
      <c r="C1120" s="41" t="str">
        <f t="shared" si="462"/>
        <v>そんぽの家　交野</v>
      </c>
      <c r="D1120" s="14" t="s">
        <v>6</v>
      </c>
      <c r="E1120" s="15">
        <v>3</v>
      </c>
      <c r="F1120" s="17">
        <v>0</v>
      </c>
      <c r="G1120" s="17">
        <v>0</v>
      </c>
      <c r="H1120" s="15">
        <f t="shared" si="452"/>
        <v>0</v>
      </c>
      <c r="I1120" s="44"/>
      <c r="J1120" s="19" cm="1">
        <f t="array" ref="J1120">IFERROR(IF(_xlfn.XLOOKUP(L1120,NC導入施設!B:B,NC導入施設!E:E)=0,_xlfn.IFS(H1120&lt;=5,0,H1120&lt;=10,1,H1120&lt;=15,2,H1120&gt;=16,3),"Null"),"-")</f>
        <v>0</v>
      </c>
      <c r="K1120" s="61"/>
      <c r="L1120" s="1">
        <v>3716291200</v>
      </c>
    </row>
    <row r="1121" spans="1:12" ht="18" customHeight="1" x14ac:dyDescent="0.45">
      <c r="A1121" s="13">
        <v>1115</v>
      </c>
      <c r="B1121" s="42" t="str">
        <f t="shared" si="462"/>
        <v>西日本第一本部</v>
      </c>
      <c r="C1121" s="42" t="str">
        <f t="shared" si="462"/>
        <v>そんぽの家　交野</v>
      </c>
      <c r="D1121" s="14" t="s">
        <v>2</v>
      </c>
      <c r="E1121" s="15">
        <v>1</v>
      </c>
      <c r="F1121" s="17">
        <v>19</v>
      </c>
      <c r="G1121" s="17">
        <v>19</v>
      </c>
      <c r="H1121" s="15">
        <f t="shared" si="452"/>
        <v>19</v>
      </c>
      <c r="I1121" s="45"/>
      <c r="J1121" s="19" cm="1">
        <f t="array" ref="J1121">IFERROR(IF(_xlfn.XLOOKUP(L1121,NC導入施設!B:B,NC導入施設!E:E)=0,_xlfn.IFS(H1121&lt;=5,0,H1121&lt;=10,1,H1121&lt;=15,2,H1121&gt;=16,3),"Null"),"-")</f>
        <v>3</v>
      </c>
      <c r="K1121" s="62"/>
      <c r="L1121" s="1">
        <v>3716291200</v>
      </c>
    </row>
    <row r="1122" spans="1:12" ht="18" customHeight="1" x14ac:dyDescent="0.45">
      <c r="A1122" s="8">
        <v>1116</v>
      </c>
      <c r="B1122" s="34" t="s">
        <v>85</v>
      </c>
      <c r="C1122" s="34" t="s">
        <v>114</v>
      </c>
      <c r="D1122" s="9" t="s">
        <v>3</v>
      </c>
      <c r="E1122" s="10">
        <v>1</v>
      </c>
      <c r="F1122" s="12">
        <v>3</v>
      </c>
      <c r="G1122" s="12">
        <v>3</v>
      </c>
      <c r="H1122" s="10">
        <f t="shared" si="452"/>
        <v>3</v>
      </c>
      <c r="I1122" s="37" cm="1">
        <f t="array" ref="I1122">IF(J1122="-","-",_xlfn.IFS(K1122&lt;=5,0,K1122&lt;=10,1,K1122&lt;=15,2,K1122&gt;=16,3))</f>
        <v>3</v>
      </c>
      <c r="J1122" s="19" cm="1">
        <f t="array" ref="J1122">IFERROR(IF(_xlfn.XLOOKUP(L1122,NC導入施設!B:B,NC導入施設!E:E)=0,_xlfn.IFS(H1122&lt;=5,0,H1122&lt;=10,1,H1122&lt;=15,2,H1122&gt;=16,3),"Null"),"-")</f>
        <v>0</v>
      </c>
      <c r="K1122" s="60">
        <f t="shared" ref="K1122" si="463">IFERROR(SUM(H1122:H1126),"-")</f>
        <v>58</v>
      </c>
      <c r="L1122" s="1">
        <v>3716321200</v>
      </c>
    </row>
    <row r="1123" spans="1:12" ht="18" customHeight="1" x14ac:dyDescent="0.45">
      <c r="A1123" s="8">
        <v>1117</v>
      </c>
      <c r="B1123" s="35" t="str">
        <f t="shared" ref="B1123:C1126" si="464">B1122</f>
        <v>西日本第一本部</v>
      </c>
      <c r="C1123" s="35" t="str">
        <f t="shared" si="464"/>
        <v>そんぽの家　交野駅前</v>
      </c>
      <c r="D1123" s="9" t="s">
        <v>4</v>
      </c>
      <c r="E1123" s="10">
        <v>1</v>
      </c>
      <c r="F1123" s="12">
        <v>16</v>
      </c>
      <c r="G1123" s="12">
        <v>16</v>
      </c>
      <c r="H1123" s="10">
        <f t="shared" si="452"/>
        <v>16</v>
      </c>
      <c r="I1123" s="38"/>
      <c r="J1123" s="19" cm="1">
        <f t="array" ref="J1123">IFERROR(IF(_xlfn.XLOOKUP(L1123,NC導入施設!B:B,NC導入施設!E:E)=0,_xlfn.IFS(H1123&lt;=5,0,H1123&lt;=10,1,H1123&lt;=15,2,H1123&gt;=16,3),"Null"),"-")</f>
        <v>3</v>
      </c>
      <c r="K1123" s="61"/>
      <c r="L1123" s="1">
        <v>3716321200</v>
      </c>
    </row>
    <row r="1124" spans="1:12" ht="18" customHeight="1" x14ac:dyDescent="0.45">
      <c r="A1124" s="8">
        <v>1118</v>
      </c>
      <c r="B1124" s="35" t="str">
        <f t="shared" si="464"/>
        <v>西日本第一本部</v>
      </c>
      <c r="C1124" s="35" t="str">
        <f t="shared" si="464"/>
        <v>そんぽの家　交野駅前</v>
      </c>
      <c r="D1124" s="9" t="s">
        <v>5</v>
      </c>
      <c r="E1124" s="10">
        <v>1</v>
      </c>
      <c r="F1124" s="12">
        <v>1</v>
      </c>
      <c r="G1124" s="12">
        <v>1</v>
      </c>
      <c r="H1124" s="10">
        <f t="shared" si="452"/>
        <v>1</v>
      </c>
      <c r="I1124" s="38"/>
      <c r="J1124" s="19" cm="1">
        <f t="array" ref="J1124">IFERROR(IF(_xlfn.XLOOKUP(L1124,NC導入施設!B:B,NC導入施設!E:E)=0,_xlfn.IFS(H1124&lt;=5,0,H1124&lt;=10,1,H1124&lt;=15,2,H1124&gt;=16,3),"Null"),"-")</f>
        <v>0</v>
      </c>
      <c r="K1124" s="61"/>
      <c r="L1124" s="1">
        <v>3716321200</v>
      </c>
    </row>
    <row r="1125" spans="1:12" ht="18" customHeight="1" x14ac:dyDescent="0.45">
      <c r="A1125" s="8">
        <v>1119</v>
      </c>
      <c r="B1125" s="35" t="str">
        <f t="shared" si="464"/>
        <v>西日本第一本部</v>
      </c>
      <c r="C1125" s="35" t="str">
        <f t="shared" si="464"/>
        <v>そんぽの家　交野駅前</v>
      </c>
      <c r="D1125" s="9" t="s">
        <v>6</v>
      </c>
      <c r="E1125" s="10">
        <v>4</v>
      </c>
      <c r="F1125" s="12">
        <v>6</v>
      </c>
      <c r="G1125" s="12">
        <v>1.5</v>
      </c>
      <c r="H1125" s="10">
        <f t="shared" si="452"/>
        <v>6</v>
      </c>
      <c r="I1125" s="38"/>
      <c r="J1125" s="19" cm="1">
        <f t="array" ref="J1125">IFERROR(IF(_xlfn.XLOOKUP(L1125,NC導入施設!B:B,NC導入施設!E:E)=0,_xlfn.IFS(H1125&lt;=5,0,H1125&lt;=10,1,H1125&lt;=15,2,H1125&gt;=16,3),"Null"),"-")</f>
        <v>1</v>
      </c>
      <c r="K1125" s="61"/>
      <c r="L1125" s="1">
        <v>3716321200</v>
      </c>
    </row>
    <row r="1126" spans="1:12" ht="18" customHeight="1" x14ac:dyDescent="0.45">
      <c r="A1126" s="8">
        <v>1120</v>
      </c>
      <c r="B1126" s="36" t="str">
        <f t="shared" si="464"/>
        <v>西日本第一本部</v>
      </c>
      <c r="C1126" s="36" t="str">
        <f t="shared" si="464"/>
        <v>そんぽの家　交野駅前</v>
      </c>
      <c r="D1126" s="9" t="s">
        <v>2</v>
      </c>
      <c r="E1126" s="10">
        <v>1</v>
      </c>
      <c r="F1126" s="12">
        <v>32</v>
      </c>
      <c r="G1126" s="12">
        <v>32</v>
      </c>
      <c r="H1126" s="10">
        <f t="shared" si="452"/>
        <v>32</v>
      </c>
      <c r="I1126" s="39"/>
      <c r="J1126" s="19" cm="1">
        <f t="array" ref="J1126">IFERROR(IF(_xlfn.XLOOKUP(L1126,NC導入施設!B:B,NC導入施設!E:E)=0,_xlfn.IFS(H1126&lt;=5,0,H1126&lt;=10,1,H1126&lt;=15,2,H1126&gt;=16,3),"Null"),"-")</f>
        <v>3</v>
      </c>
      <c r="K1126" s="62"/>
      <c r="L1126" s="1">
        <v>3716321200</v>
      </c>
    </row>
    <row r="1127" spans="1:12" ht="18" customHeight="1" x14ac:dyDescent="0.45">
      <c r="A1127" s="13">
        <v>1121</v>
      </c>
      <c r="B1127" s="40" t="s">
        <v>85</v>
      </c>
      <c r="C1127" s="40" t="s">
        <v>115</v>
      </c>
      <c r="D1127" s="14" t="s">
        <v>3</v>
      </c>
      <c r="E1127" s="15">
        <v>1</v>
      </c>
      <c r="F1127" s="17">
        <v>5</v>
      </c>
      <c r="G1127" s="17">
        <v>5</v>
      </c>
      <c r="H1127" s="15">
        <f t="shared" si="452"/>
        <v>5</v>
      </c>
      <c r="I1127" s="43" cm="1">
        <f t="array" ref="I1127">IF(J1127="-","-",_xlfn.IFS(K1127&lt;=5,0,K1127&lt;=10,1,K1127&lt;=15,2,K1127&gt;=16,3))</f>
        <v>3</v>
      </c>
      <c r="J1127" s="19" cm="1">
        <f t="array" ref="J1127">IFERROR(IF(_xlfn.XLOOKUP(L1127,NC導入施設!B:B,NC導入施設!E:E)=0,_xlfn.IFS(H1127&lt;=5,0,H1127&lt;=10,1,H1127&lt;=15,2,H1127&gt;=16,3),"Null"),"-")</f>
        <v>0</v>
      </c>
      <c r="K1127" s="60">
        <f t="shared" ref="K1127" si="465">IFERROR(SUM(H1127:H1131),"-")</f>
        <v>50</v>
      </c>
      <c r="L1127" s="1">
        <v>3716331200</v>
      </c>
    </row>
    <row r="1128" spans="1:12" ht="18" customHeight="1" x14ac:dyDescent="0.45">
      <c r="A1128" s="13">
        <v>1122</v>
      </c>
      <c r="B1128" s="41" t="str">
        <f t="shared" ref="B1128:C1131" si="466">B1127</f>
        <v>西日本第一本部</v>
      </c>
      <c r="C1128" s="41" t="str">
        <f t="shared" si="466"/>
        <v>そんぽの家　寝屋川寿町</v>
      </c>
      <c r="D1128" s="14" t="s">
        <v>4</v>
      </c>
      <c r="E1128" s="15">
        <v>1</v>
      </c>
      <c r="F1128" s="17">
        <v>1</v>
      </c>
      <c r="G1128" s="17">
        <v>1</v>
      </c>
      <c r="H1128" s="15">
        <f t="shared" si="452"/>
        <v>1</v>
      </c>
      <c r="I1128" s="44"/>
      <c r="J1128" s="19" cm="1">
        <f t="array" ref="J1128">IFERROR(IF(_xlfn.XLOOKUP(L1128,NC導入施設!B:B,NC導入施設!E:E)=0,_xlfn.IFS(H1128&lt;=5,0,H1128&lt;=10,1,H1128&lt;=15,2,H1128&gt;=16,3),"Null"),"-")</f>
        <v>0</v>
      </c>
      <c r="K1128" s="61"/>
      <c r="L1128" s="1">
        <v>3716331200</v>
      </c>
    </row>
    <row r="1129" spans="1:12" ht="18" customHeight="1" x14ac:dyDescent="0.45">
      <c r="A1129" s="13">
        <v>1123</v>
      </c>
      <c r="B1129" s="41" t="str">
        <f t="shared" si="466"/>
        <v>西日本第一本部</v>
      </c>
      <c r="C1129" s="41" t="str">
        <f t="shared" si="466"/>
        <v>そんぽの家　寝屋川寿町</v>
      </c>
      <c r="D1129" s="14" t="s">
        <v>5</v>
      </c>
      <c r="E1129" s="15">
        <v>1</v>
      </c>
      <c r="F1129" s="17">
        <v>27</v>
      </c>
      <c r="G1129" s="17">
        <v>27</v>
      </c>
      <c r="H1129" s="15">
        <f t="shared" si="452"/>
        <v>27</v>
      </c>
      <c r="I1129" s="44"/>
      <c r="J1129" s="19" cm="1">
        <f t="array" ref="J1129">IFERROR(IF(_xlfn.XLOOKUP(L1129,NC導入施設!B:B,NC導入施設!E:E)=0,_xlfn.IFS(H1129&lt;=5,0,H1129&lt;=10,1,H1129&lt;=15,2,H1129&gt;=16,3),"Null"),"-")</f>
        <v>3</v>
      </c>
      <c r="K1129" s="61"/>
      <c r="L1129" s="1">
        <v>3716331200</v>
      </c>
    </row>
    <row r="1130" spans="1:12" ht="18" customHeight="1" x14ac:dyDescent="0.45">
      <c r="A1130" s="13">
        <v>1124</v>
      </c>
      <c r="B1130" s="41" t="str">
        <f t="shared" si="466"/>
        <v>西日本第一本部</v>
      </c>
      <c r="C1130" s="41" t="str">
        <f t="shared" si="466"/>
        <v>そんぽの家　寝屋川寿町</v>
      </c>
      <c r="D1130" s="14" t="s">
        <v>6</v>
      </c>
      <c r="E1130" s="15">
        <v>3</v>
      </c>
      <c r="F1130" s="17">
        <v>0</v>
      </c>
      <c r="G1130" s="17">
        <v>0</v>
      </c>
      <c r="H1130" s="15">
        <f t="shared" si="452"/>
        <v>0</v>
      </c>
      <c r="I1130" s="44"/>
      <c r="J1130" s="19" cm="1">
        <f t="array" ref="J1130">IFERROR(IF(_xlfn.XLOOKUP(L1130,NC導入施設!B:B,NC導入施設!E:E)=0,_xlfn.IFS(H1130&lt;=5,0,H1130&lt;=10,1,H1130&lt;=15,2,H1130&gt;=16,3),"Null"),"-")</f>
        <v>0</v>
      </c>
      <c r="K1130" s="61"/>
      <c r="L1130" s="1">
        <v>3716331200</v>
      </c>
    </row>
    <row r="1131" spans="1:12" ht="18" customHeight="1" x14ac:dyDescent="0.45">
      <c r="A1131" s="13">
        <v>1125</v>
      </c>
      <c r="B1131" s="42" t="str">
        <f t="shared" si="466"/>
        <v>西日本第一本部</v>
      </c>
      <c r="C1131" s="42" t="str">
        <f t="shared" si="466"/>
        <v>そんぽの家　寝屋川寿町</v>
      </c>
      <c r="D1131" s="14" t="s">
        <v>2</v>
      </c>
      <c r="E1131" s="15">
        <v>1</v>
      </c>
      <c r="F1131" s="17">
        <v>17</v>
      </c>
      <c r="G1131" s="17">
        <v>17</v>
      </c>
      <c r="H1131" s="15">
        <f t="shared" si="452"/>
        <v>17</v>
      </c>
      <c r="I1131" s="45"/>
      <c r="J1131" s="19" cm="1">
        <f t="array" ref="J1131">IFERROR(IF(_xlfn.XLOOKUP(L1131,NC導入施設!B:B,NC導入施設!E:E)=0,_xlfn.IFS(H1131&lt;=5,0,H1131&lt;=10,1,H1131&lt;=15,2,H1131&gt;=16,3),"Null"),"-")</f>
        <v>3</v>
      </c>
      <c r="K1131" s="62"/>
      <c r="L1131" s="1">
        <v>3716331200</v>
      </c>
    </row>
    <row r="1132" spans="1:12" ht="18" customHeight="1" x14ac:dyDescent="0.45">
      <c r="A1132" s="8">
        <v>1126</v>
      </c>
      <c r="B1132" s="34" t="s">
        <v>85</v>
      </c>
      <c r="C1132" s="34" t="s">
        <v>116</v>
      </c>
      <c r="D1132" s="9" t="s">
        <v>3</v>
      </c>
      <c r="E1132" s="10">
        <v>1</v>
      </c>
      <c r="F1132" s="12">
        <v>2</v>
      </c>
      <c r="G1132" s="12">
        <v>2</v>
      </c>
      <c r="H1132" s="10">
        <f t="shared" si="452"/>
        <v>2</v>
      </c>
      <c r="I1132" s="37" cm="1">
        <f t="array" ref="I1132">IF(J1132="-","-",_xlfn.IFS(K1132&lt;=5,0,K1132&lt;=10,1,K1132&lt;=15,2,K1132&gt;=16,3))</f>
        <v>1</v>
      </c>
      <c r="J1132" s="19" cm="1">
        <f t="array" ref="J1132">IFERROR(IF(_xlfn.XLOOKUP(L1132,NC導入施設!B:B,NC導入施設!E:E)=0,_xlfn.IFS(H1132&lt;=5,0,H1132&lt;=10,1,H1132&lt;=15,2,H1132&gt;=16,3),"Null"),"-")</f>
        <v>0</v>
      </c>
      <c r="K1132" s="60">
        <f t="shared" ref="K1132" si="467">IFERROR(SUM(H1132:H1136),"-")</f>
        <v>7</v>
      </c>
      <c r="L1132" s="1">
        <v>3716361200</v>
      </c>
    </row>
    <row r="1133" spans="1:12" ht="18" customHeight="1" x14ac:dyDescent="0.45">
      <c r="A1133" s="8">
        <v>1127</v>
      </c>
      <c r="B1133" s="35" t="str">
        <f t="shared" ref="B1133:C1136" si="468">B1132</f>
        <v>西日本第一本部</v>
      </c>
      <c r="C1133" s="35" t="str">
        <f t="shared" si="468"/>
        <v>そんぽの家　星田</v>
      </c>
      <c r="D1133" s="9" t="s">
        <v>4</v>
      </c>
      <c r="E1133" s="10">
        <v>0</v>
      </c>
      <c r="F1133" s="12">
        <v>0</v>
      </c>
      <c r="G1133" s="12">
        <v>0</v>
      </c>
      <c r="H1133" s="10">
        <f t="shared" si="452"/>
        <v>0</v>
      </c>
      <c r="I1133" s="38"/>
      <c r="J1133" s="19" cm="1">
        <f t="array" ref="J1133">IFERROR(IF(_xlfn.XLOOKUP(L1133,NC導入施設!B:B,NC導入施設!E:E)=0,_xlfn.IFS(H1133&lt;=5,0,H1133&lt;=10,1,H1133&lt;=15,2,H1133&gt;=16,3),"Null"),"-")</f>
        <v>0</v>
      </c>
      <c r="K1133" s="61"/>
      <c r="L1133" s="1">
        <v>3716361200</v>
      </c>
    </row>
    <row r="1134" spans="1:12" ht="18" customHeight="1" x14ac:dyDescent="0.45">
      <c r="A1134" s="8">
        <v>1128</v>
      </c>
      <c r="B1134" s="35" t="str">
        <f t="shared" si="468"/>
        <v>西日本第一本部</v>
      </c>
      <c r="C1134" s="35" t="str">
        <f t="shared" si="468"/>
        <v>そんぽの家　星田</v>
      </c>
      <c r="D1134" s="9" t="s">
        <v>5</v>
      </c>
      <c r="E1134" s="10">
        <v>1</v>
      </c>
      <c r="F1134" s="12">
        <v>0</v>
      </c>
      <c r="G1134" s="12">
        <v>0</v>
      </c>
      <c r="H1134" s="10">
        <f t="shared" si="452"/>
        <v>0</v>
      </c>
      <c r="I1134" s="38"/>
      <c r="J1134" s="19" cm="1">
        <f t="array" ref="J1134">IFERROR(IF(_xlfn.XLOOKUP(L1134,NC導入施設!B:B,NC導入施設!E:E)=0,_xlfn.IFS(H1134&lt;=5,0,H1134&lt;=10,1,H1134&lt;=15,2,H1134&gt;=16,3),"Null"),"-")</f>
        <v>0</v>
      </c>
      <c r="K1134" s="61"/>
      <c r="L1134" s="1">
        <v>3716361200</v>
      </c>
    </row>
    <row r="1135" spans="1:12" ht="18" customHeight="1" x14ac:dyDescent="0.45">
      <c r="A1135" s="8">
        <v>1129</v>
      </c>
      <c r="B1135" s="35" t="str">
        <f t="shared" si="468"/>
        <v>西日本第一本部</v>
      </c>
      <c r="C1135" s="35" t="str">
        <f t="shared" si="468"/>
        <v>そんぽの家　星田</v>
      </c>
      <c r="D1135" s="9" t="s">
        <v>6</v>
      </c>
      <c r="E1135" s="10">
        <v>3</v>
      </c>
      <c r="F1135" s="12">
        <v>0</v>
      </c>
      <c r="G1135" s="12">
        <v>0</v>
      </c>
      <c r="H1135" s="10">
        <f t="shared" si="452"/>
        <v>0</v>
      </c>
      <c r="I1135" s="38"/>
      <c r="J1135" s="19" cm="1">
        <f t="array" ref="J1135">IFERROR(IF(_xlfn.XLOOKUP(L1135,NC導入施設!B:B,NC導入施設!E:E)=0,_xlfn.IFS(H1135&lt;=5,0,H1135&lt;=10,1,H1135&lt;=15,2,H1135&gt;=16,3),"Null"),"-")</f>
        <v>0</v>
      </c>
      <c r="K1135" s="61"/>
      <c r="L1135" s="1">
        <v>3716361200</v>
      </c>
    </row>
    <row r="1136" spans="1:12" ht="18" customHeight="1" x14ac:dyDescent="0.45">
      <c r="A1136" s="8">
        <v>1130</v>
      </c>
      <c r="B1136" s="36" t="str">
        <f t="shared" si="468"/>
        <v>西日本第一本部</v>
      </c>
      <c r="C1136" s="36" t="str">
        <f t="shared" si="468"/>
        <v>そんぽの家　星田</v>
      </c>
      <c r="D1136" s="9" t="s">
        <v>2</v>
      </c>
      <c r="E1136" s="10">
        <v>2</v>
      </c>
      <c r="F1136" s="12">
        <v>5</v>
      </c>
      <c r="G1136" s="12">
        <v>2.5</v>
      </c>
      <c r="H1136" s="10">
        <f t="shared" si="452"/>
        <v>5</v>
      </c>
      <c r="I1136" s="39"/>
      <c r="J1136" s="19" cm="1">
        <f t="array" ref="J1136">IFERROR(IF(_xlfn.XLOOKUP(L1136,NC導入施設!B:B,NC導入施設!E:E)=0,_xlfn.IFS(H1136&lt;=5,0,H1136&lt;=10,1,H1136&lt;=15,2,H1136&gt;=16,3),"Null"),"-")</f>
        <v>0</v>
      </c>
      <c r="K1136" s="62"/>
      <c r="L1136" s="1">
        <v>3716361200</v>
      </c>
    </row>
    <row r="1137" spans="1:12" ht="18" customHeight="1" x14ac:dyDescent="0.45">
      <c r="A1137" s="13">
        <v>1131</v>
      </c>
      <c r="B1137" s="40" t="s">
        <v>85</v>
      </c>
      <c r="C1137" s="40" t="s">
        <v>117</v>
      </c>
      <c r="D1137" s="14" t="s">
        <v>3</v>
      </c>
      <c r="E1137" s="15">
        <v>1</v>
      </c>
      <c r="F1137" s="17">
        <v>0</v>
      </c>
      <c r="G1137" s="17">
        <v>0</v>
      </c>
      <c r="H1137" s="15">
        <f t="shared" si="452"/>
        <v>0</v>
      </c>
      <c r="I1137" s="43" cm="1">
        <f t="array" ref="I1137">IF(J1137="-","-",_xlfn.IFS(K1137&lt;=5,0,K1137&lt;=10,1,K1137&lt;=15,2,K1137&gt;=16,3))</f>
        <v>3</v>
      </c>
      <c r="J1137" s="19" cm="1">
        <f t="array" ref="J1137">IFERROR(IF(_xlfn.XLOOKUP(L1137,NC導入施設!B:B,NC導入施設!E:E)=0,_xlfn.IFS(H1137&lt;=5,0,H1137&lt;=10,1,H1137&lt;=15,2,H1137&gt;=16,3),"Null"),"-")</f>
        <v>0</v>
      </c>
      <c r="K1137" s="60">
        <f t="shared" ref="K1137" si="469">IFERROR(SUM(H1137:H1141),"-")</f>
        <v>83</v>
      </c>
      <c r="L1137" s="1">
        <v>3716371200</v>
      </c>
    </row>
    <row r="1138" spans="1:12" ht="18" customHeight="1" x14ac:dyDescent="0.45">
      <c r="A1138" s="13">
        <v>1132</v>
      </c>
      <c r="B1138" s="41" t="str">
        <f t="shared" ref="B1138:C1141" si="470">B1137</f>
        <v>西日本第一本部</v>
      </c>
      <c r="C1138" s="41" t="str">
        <f t="shared" si="470"/>
        <v>そんぽの家　守口南</v>
      </c>
      <c r="D1138" s="14" t="s">
        <v>4</v>
      </c>
      <c r="E1138" s="15">
        <v>1</v>
      </c>
      <c r="F1138" s="17">
        <v>12</v>
      </c>
      <c r="G1138" s="17">
        <v>12</v>
      </c>
      <c r="H1138" s="15">
        <f t="shared" si="452"/>
        <v>12</v>
      </c>
      <c r="I1138" s="44"/>
      <c r="J1138" s="19" cm="1">
        <f t="array" ref="J1138">IFERROR(IF(_xlfn.XLOOKUP(L1138,NC導入施設!B:B,NC導入施設!E:E)=0,_xlfn.IFS(H1138&lt;=5,0,H1138&lt;=10,1,H1138&lt;=15,2,H1138&gt;=16,3),"Null"),"-")</f>
        <v>2</v>
      </c>
      <c r="K1138" s="61"/>
      <c r="L1138" s="1">
        <v>3716371200</v>
      </c>
    </row>
    <row r="1139" spans="1:12" ht="18" customHeight="1" x14ac:dyDescent="0.45">
      <c r="A1139" s="13">
        <v>1133</v>
      </c>
      <c r="B1139" s="41" t="str">
        <f t="shared" si="470"/>
        <v>西日本第一本部</v>
      </c>
      <c r="C1139" s="41" t="str">
        <f t="shared" si="470"/>
        <v>そんぽの家　守口南</v>
      </c>
      <c r="D1139" s="14" t="s">
        <v>5</v>
      </c>
      <c r="E1139" s="15">
        <v>1</v>
      </c>
      <c r="F1139" s="17">
        <v>12</v>
      </c>
      <c r="G1139" s="17">
        <v>12</v>
      </c>
      <c r="H1139" s="15">
        <f t="shared" si="452"/>
        <v>12</v>
      </c>
      <c r="I1139" s="44"/>
      <c r="J1139" s="19" cm="1">
        <f t="array" ref="J1139">IFERROR(IF(_xlfn.XLOOKUP(L1139,NC導入施設!B:B,NC導入施設!E:E)=0,_xlfn.IFS(H1139&lt;=5,0,H1139&lt;=10,1,H1139&lt;=15,2,H1139&gt;=16,3),"Null"),"-")</f>
        <v>2</v>
      </c>
      <c r="K1139" s="61"/>
      <c r="L1139" s="1">
        <v>3716371200</v>
      </c>
    </row>
    <row r="1140" spans="1:12" ht="18" customHeight="1" x14ac:dyDescent="0.45">
      <c r="A1140" s="13">
        <v>1134</v>
      </c>
      <c r="B1140" s="41" t="str">
        <f t="shared" si="470"/>
        <v>西日本第一本部</v>
      </c>
      <c r="C1140" s="41" t="str">
        <f t="shared" si="470"/>
        <v>そんぽの家　守口南</v>
      </c>
      <c r="D1140" s="14" t="s">
        <v>6</v>
      </c>
      <c r="E1140" s="15">
        <v>3</v>
      </c>
      <c r="F1140" s="17">
        <v>14</v>
      </c>
      <c r="G1140" s="17">
        <v>4.7</v>
      </c>
      <c r="H1140" s="15">
        <f t="shared" si="452"/>
        <v>14</v>
      </c>
      <c r="I1140" s="44"/>
      <c r="J1140" s="19" cm="1">
        <f t="array" ref="J1140">IFERROR(IF(_xlfn.XLOOKUP(L1140,NC導入施設!B:B,NC導入施設!E:E)=0,_xlfn.IFS(H1140&lt;=5,0,H1140&lt;=10,1,H1140&lt;=15,2,H1140&gt;=16,3),"Null"),"-")</f>
        <v>2</v>
      </c>
      <c r="K1140" s="61"/>
      <c r="L1140" s="1">
        <v>3716371200</v>
      </c>
    </row>
    <row r="1141" spans="1:12" ht="18" customHeight="1" x14ac:dyDescent="0.45">
      <c r="A1141" s="13">
        <v>1135</v>
      </c>
      <c r="B1141" s="42" t="str">
        <f t="shared" si="470"/>
        <v>西日本第一本部</v>
      </c>
      <c r="C1141" s="42" t="str">
        <f t="shared" si="470"/>
        <v>そんぽの家　守口南</v>
      </c>
      <c r="D1141" s="14" t="s">
        <v>2</v>
      </c>
      <c r="E1141" s="15">
        <v>2</v>
      </c>
      <c r="F1141" s="17">
        <v>45</v>
      </c>
      <c r="G1141" s="17">
        <v>22.5</v>
      </c>
      <c r="H1141" s="15">
        <f t="shared" si="452"/>
        <v>45</v>
      </c>
      <c r="I1141" s="45"/>
      <c r="J1141" s="19" cm="1">
        <f t="array" ref="J1141">IFERROR(IF(_xlfn.XLOOKUP(L1141,NC導入施設!B:B,NC導入施設!E:E)=0,_xlfn.IFS(H1141&lt;=5,0,H1141&lt;=10,1,H1141&lt;=15,2,H1141&gt;=16,3),"Null"),"-")</f>
        <v>3</v>
      </c>
      <c r="K1141" s="62"/>
      <c r="L1141" s="1">
        <v>3716371200</v>
      </c>
    </row>
    <row r="1142" spans="1:12" ht="18" customHeight="1" x14ac:dyDescent="0.45">
      <c r="A1142" s="8">
        <v>1136</v>
      </c>
      <c r="B1142" s="34" t="s">
        <v>85</v>
      </c>
      <c r="C1142" s="34" t="s">
        <v>118</v>
      </c>
      <c r="D1142" s="9" t="s">
        <v>3</v>
      </c>
      <c r="E1142" s="10">
        <v>1</v>
      </c>
      <c r="F1142" s="12">
        <v>1</v>
      </c>
      <c r="G1142" s="12">
        <v>1</v>
      </c>
      <c r="H1142" s="10">
        <f t="shared" si="452"/>
        <v>1</v>
      </c>
      <c r="I1142" s="37" cm="1">
        <f t="array" ref="I1142">IF(J1142="-","-",_xlfn.IFS(K1142&lt;=5,0,K1142&lt;=10,1,K1142&lt;=15,2,K1142&gt;=16,3))</f>
        <v>3</v>
      </c>
      <c r="J1142" s="19" cm="1">
        <f t="array" ref="J1142">IFERROR(IF(_xlfn.XLOOKUP(L1142,NC導入施設!B:B,NC導入施設!E:E)=0,_xlfn.IFS(H1142&lt;=5,0,H1142&lt;=10,1,H1142&lt;=15,2,H1142&gt;=16,3),"Null"),"-")</f>
        <v>0</v>
      </c>
      <c r="K1142" s="60">
        <f t="shared" ref="K1142" si="471">IFERROR(SUM(H1142:H1146),"-")</f>
        <v>24</v>
      </c>
      <c r="L1142" s="1">
        <v>3716471200</v>
      </c>
    </row>
    <row r="1143" spans="1:12" ht="18" customHeight="1" x14ac:dyDescent="0.45">
      <c r="A1143" s="8">
        <v>1137</v>
      </c>
      <c r="B1143" s="35" t="str">
        <f t="shared" ref="B1143:C1146" si="472">B1142</f>
        <v>西日本第一本部</v>
      </c>
      <c r="C1143" s="35" t="str">
        <f t="shared" si="472"/>
        <v>そんぽの家　茨木島</v>
      </c>
      <c r="D1143" s="9" t="s">
        <v>4</v>
      </c>
      <c r="E1143" s="10">
        <v>1</v>
      </c>
      <c r="F1143" s="12">
        <v>0</v>
      </c>
      <c r="G1143" s="12">
        <v>0</v>
      </c>
      <c r="H1143" s="10">
        <f t="shared" si="452"/>
        <v>0</v>
      </c>
      <c r="I1143" s="38"/>
      <c r="J1143" s="19" cm="1">
        <f t="array" ref="J1143">IFERROR(IF(_xlfn.XLOOKUP(L1143,NC導入施設!B:B,NC導入施設!E:E)=0,_xlfn.IFS(H1143&lt;=5,0,H1143&lt;=10,1,H1143&lt;=15,2,H1143&gt;=16,3),"Null"),"-")</f>
        <v>0</v>
      </c>
      <c r="K1143" s="61"/>
      <c r="L1143" s="1">
        <v>3716471200</v>
      </c>
    </row>
    <row r="1144" spans="1:12" ht="18" customHeight="1" x14ac:dyDescent="0.45">
      <c r="A1144" s="8">
        <v>1138</v>
      </c>
      <c r="B1144" s="35" t="str">
        <f t="shared" si="472"/>
        <v>西日本第一本部</v>
      </c>
      <c r="C1144" s="35" t="str">
        <f t="shared" si="472"/>
        <v>そんぽの家　茨木島</v>
      </c>
      <c r="D1144" s="9" t="s">
        <v>5</v>
      </c>
      <c r="E1144" s="10">
        <v>1</v>
      </c>
      <c r="F1144" s="12">
        <v>18</v>
      </c>
      <c r="G1144" s="12">
        <v>18</v>
      </c>
      <c r="H1144" s="10">
        <f t="shared" si="452"/>
        <v>18</v>
      </c>
      <c r="I1144" s="38"/>
      <c r="J1144" s="19" cm="1">
        <f t="array" ref="J1144">IFERROR(IF(_xlfn.XLOOKUP(L1144,NC導入施設!B:B,NC導入施設!E:E)=0,_xlfn.IFS(H1144&lt;=5,0,H1144&lt;=10,1,H1144&lt;=15,2,H1144&gt;=16,3),"Null"),"-")</f>
        <v>3</v>
      </c>
      <c r="K1144" s="61"/>
      <c r="L1144" s="1">
        <v>3716471200</v>
      </c>
    </row>
    <row r="1145" spans="1:12" ht="18" customHeight="1" x14ac:dyDescent="0.45">
      <c r="A1145" s="8">
        <v>1139</v>
      </c>
      <c r="B1145" s="35" t="str">
        <f t="shared" si="472"/>
        <v>西日本第一本部</v>
      </c>
      <c r="C1145" s="35" t="str">
        <f t="shared" si="472"/>
        <v>そんぽの家　茨木島</v>
      </c>
      <c r="D1145" s="9" t="s">
        <v>6</v>
      </c>
      <c r="E1145" s="10">
        <v>4</v>
      </c>
      <c r="F1145" s="12">
        <v>0</v>
      </c>
      <c r="G1145" s="12">
        <v>0</v>
      </c>
      <c r="H1145" s="10">
        <f t="shared" si="452"/>
        <v>0</v>
      </c>
      <c r="I1145" s="38"/>
      <c r="J1145" s="19" cm="1">
        <f t="array" ref="J1145">IFERROR(IF(_xlfn.XLOOKUP(L1145,NC導入施設!B:B,NC導入施設!E:E)=0,_xlfn.IFS(H1145&lt;=5,0,H1145&lt;=10,1,H1145&lt;=15,2,H1145&gt;=16,3),"Null"),"-")</f>
        <v>0</v>
      </c>
      <c r="K1145" s="61"/>
      <c r="L1145" s="1">
        <v>3716471200</v>
      </c>
    </row>
    <row r="1146" spans="1:12" ht="18" customHeight="1" x14ac:dyDescent="0.45">
      <c r="A1146" s="8">
        <v>1140</v>
      </c>
      <c r="B1146" s="36" t="str">
        <f t="shared" si="472"/>
        <v>西日本第一本部</v>
      </c>
      <c r="C1146" s="36" t="str">
        <f t="shared" si="472"/>
        <v>そんぽの家　茨木島</v>
      </c>
      <c r="D1146" s="9" t="s">
        <v>2</v>
      </c>
      <c r="E1146" s="10">
        <v>2</v>
      </c>
      <c r="F1146" s="12">
        <v>5</v>
      </c>
      <c r="G1146" s="12">
        <v>2.5</v>
      </c>
      <c r="H1146" s="10">
        <f t="shared" si="452"/>
        <v>5</v>
      </c>
      <c r="I1146" s="39"/>
      <c r="J1146" s="19" cm="1">
        <f t="array" ref="J1146">IFERROR(IF(_xlfn.XLOOKUP(L1146,NC導入施設!B:B,NC導入施設!E:E)=0,_xlfn.IFS(H1146&lt;=5,0,H1146&lt;=10,1,H1146&lt;=15,2,H1146&gt;=16,3),"Null"),"-")</f>
        <v>0</v>
      </c>
      <c r="K1146" s="62"/>
      <c r="L1146" s="1">
        <v>3716471200</v>
      </c>
    </row>
    <row r="1147" spans="1:12" ht="18" customHeight="1" x14ac:dyDescent="0.45">
      <c r="A1147" s="13">
        <v>1141</v>
      </c>
      <c r="B1147" s="40" t="s">
        <v>85</v>
      </c>
      <c r="C1147" s="40" t="s">
        <v>119</v>
      </c>
      <c r="D1147" s="14" t="s">
        <v>3</v>
      </c>
      <c r="E1147" s="15">
        <v>1</v>
      </c>
      <c r="F1147" s="17">
        <v>11</v>
      </c>
      <c r="G1147" s="17">
        <v>11</v>
      </c>
      <c r="H1147" s="15">
        <f t="shared" si="452"/>
        <v>11</v>
      </c>
      <c r="I1147" s="43" cm="1">
        <f t="array" ref="I1147">IF(J1147="-","-",_xlfn.IFS(K1147&lt;=5,0,K1147&lt;=10,1,K1147&lt;=15,2,K1147&gt;=16,3))</f>
        <v>3</v>
      </c>
      <c r="J1147" s="19" cm="1">
        <f t="array" ref="J1147">IFERROR(IF(_xlfn.XLOOKUP(L1147,NC導入施設!B:B,NC導入施設!E:E)=0,_xlfn.IFS(H1147&lt;=5,0,H1147&lt;=10,1,H1147&lt;=15,2,H1147&gt;=16,3),"Null"),"-")</f>
        <v>2</v>
      </c>
      <c r="K1147" s="60">
        <f t="shared" ref="K1147" si="473">IFERROR(SUM(H1147:H1151),"-")</f>
        <v>48</v>
      </c>
      <c r="L1147" s="1">
        <v>3716481200</v>
      </c>
    </row>
    <row r="1148" spans="1:12" ht="18" customHeight="1" x14ac:dyDescent="0.45">
      <c r="A1148" s="13">
        <v>1142</v>
      </c>
      <c r="B1148" s="41" t="str">
        <f t="shared" ref="B1148:C1151" si="474">B1147</f>
        <v>西日本第一本部</v>
      </c>
      <c r="C1148" s="41" t="str">
        <f t="shared" si="474"/>
        <v>そんぽの家　茨木東奈良</v>
      </c>
      <c r="D1148" s="14" t="s">
        <v>4</v>
      </c>
      <c r="E1148" s="15">
        <v>1</v>
      </c>
      <c r="F1148" s="17">
        <v>2</v>
      </c>
      <c r="G1148" s="17">
        <v>2</v>
      </c>
      <c r="H1148" s="15">
        <f t="shared" si="452"/>
        <v>2</v>
      </c>
      <c r="I1148" s="44"/>
      <c r="J1148" s="19" cm="1">
        <f t="array" ref="J1148">IFERROR(IF(_xlfn.XLOOKUP(L1148,NC導入施設!B:B,NC導入施設!E:E)=0,_xlfn.IFS(H1148&lt;=5,0,H1148&lt;=10,1,H1148&lt;=15,2,H1148&gt;=16,3),"Null"),"-")</f>
        <v>0</v>
      </c>
      <c r="K1148" s="61"/>
      <c r="L1148" s="1">
        <v>3716481200</v>
      </c>
    </row>
    <row r="1149" spans="1:12" ht="18" customHeight="1" x14ac:dyDescent="0.45">
      <c r="A1149" s="13">
        <v>1143</v>
      </c>
      <c r="B1149" s="41" t="str">
        <f t="shared" si="474"/>
        <v>西日本第一本部</v>
      </c>
      <c r="C1149" s="41" t="str">
        <f t="shared" si="474"/>
        <v>そんぽの家　茨木東奈良</v>
      </c>
      <c r="D1149" s="14" t="s">
        <v>5</v>
      </c>
      <c r="E1149" s="15">
        <v>2</v>
      </c>
      <c r="F1149" s="17">
        <v>27</v>
      </c>
      <c r="G1149" s="17">
        <v>13.5</v>
      </c>
      <c r="H1149" s="15">
        <f t="shared" si="452"/>
        <v>27</v>
      </c>
      <c r="I1149" s="44"/>
      <c r="J1149" s="19" cm="1">
        <f t="array" ref="J1149">IFERROR(IF(_xlfn.XLOOKUP(L1149,NC導入施設!B:B,NC導入施設!E:E)=0,_xlfn.IFS(H1149&lt;=5,0,H1149&lt;=10,1,H1149&lt;=15,2,H1149&gt;=16,3),"Null"),"-")</f>
        <v>3</v>
      </c>
      <c r="K1149" s="61"/>
      <c r="L1149" s="1">
        <v>3716481200</v>
      </c>
    </row>
    <row r="1150" spans="1:12" ht="18" customHeight="1" x14ac:dyDescent="0.45">
      <c r="A1150" s="13">
        <v>1144</v>
      </c>
      <c r="B1150" s="41" t="str">
        <f t="shared" si="474"/>
        <v>西日本第一本部</v>
      </c>
      <c r="C1150" s="41" t="str">
        <f t="shared" si="474"/>
        <v>そんぽの家　茨木東奈良</v>
      </c>
      <c r="D1150" s="14" t="s">
        <v>6</v>
      </c>
      <c r="E1150" s="15">
        <v>3</v>
      </c>
      <c r="F1150" s="17">
        <v>0</v>
      </c>
      <c r="G1150" s="17">
        <v>0</v>
      </c>
      <c r="H1150" s="15">
        <f t="shared" si="452"/>
        <v>0</v>
      </c>
      <c r="I1150" s="44"/>
      <c r="J1150" s="19" cm="1">
        <f t="array" ref="J1150">IFERROR(IF(_xlfn.XLOOKUP(L1150,NC導入施設!B:B,NC導入施設!E:E)=0,_xlfn.IFS(H1150&lt;=5,0,H1150&lt;=10,1,H1150&lt;=15,2,H1150&gt;=16,3),"Null"),"-")</f>
        <v>0</v>
      </c>
      <c r="K1150" s="61"/>
      <c r="L1150" s="1">
        <v>3716481200</v>
      </c>
    </row>
    <row r="1151" spans="1:12" ht="18" customHeight="1" x14ac:dyDescent="0.45">
      <c r="A1151" s="13">
        <v>1145</v>
      </c>
      <c r="B1151" s="42" t="str">
        <f t="shared" si="474"/>
        <v>西日本第一本部</v>
      </c>
      <c r="C1151" s="42" t="str">
        <f t="shared" si="474"/>
        <v>そんぽの家　茨木東奈良</v>
      </c>
      <c r="D1151" s="14" t="s">
        <v>2</v>
      </c>
      <c r="E1151" s="15">
        <v>2</v>
      </c>
      <c r="F1151" s="17">
        <v>8</v>
      </c>
      <c r="G1151" s="17">
        <v>4</v>
      </c>
      <c r="H1151" s="15">
        <f t="shared" si="452"/>
        <v>8</v>
      </c>
      <c r="I1151" s="45"/>
      <c r="J1151" s="19" cm="1">
        <f t="array" ref="J1151">IFERROR(IF(_xlfn.XLOOKUP(L1151,NC導入施設!B:B,NC導入施設!E:E)=0,_xlfn.IFS(H1151&lt;=5,0,H1151&lt;=10,1,H1151&lt;=15,2,H1151&gt;=16,3),"Null"),"-")</f>
        <v>1</v>
      </c>
      <c r="K1151" s="62"/>
      <c r="L1151" s="1">
        <v>3716481200</v>
      </c>
    </row>
    <row r="1152" spans="1:12" ht="18" customHeight="1" x14ac:dyDescent="0.45">
      <c r="A1152" s="8">
        <v>1146</v>
      </c>
      <c r="B1152" s="34" t="s">
        <v>85</v>
      </c>
      <c r="C1152" s="34" t="s">
        <v>120</v>
      </c>
      <c r="D1152" s="9" t="s">
        <v>3</v>
      </c>
      <c r="E1152" s="10">
        <v>1</v>
      </c>
      <c r="F1152" s="12">
        <v>5</v>
      </c>
      <c r="G1152" s="12">
        <v>5</v>
      </c>
      <c r="H1152" s="10">
        <f t="shared" si="452"/>
        <v>5</v>
      </c>
      <c r="I1152" s="37" cm="1">
        <f t="array" ref="I1152">IF(J1152="-","-",_xlfn.IFS(K1152&lt;=5,0,K1152&lt;=10,1,K1152&lt;=15,2,K1152&gt;=16,3))</f>
        <v>3</v>
      </c>
      <c r="J1152" s="19" cm="1">
        <f t="array" ref="J1152">IFERROR(IF(_xlfn.XLOOKUP(L1152,NC導入施設!B:B,NC導入施設!E:E)=0,_xlfn.IFS(H1152&lt;=5,0,H1152&lt;=10,1,H1152&lt;=15,2,H1152&gt;=16,3),"Null"),"-")</f>
        <v>0</v>
      </c>
      <c r="K1152" s="60">
        <f t="shared" ref="K1152" si="475">IFERROR(SUM(H1152:H1156),"-")</f>
        <v>16</v>
      </c>
      <c r="L1152" s="1">
        <v>3716511200</v>
      </c>
    </row>
    <row r="1153" spans="1:12" ht="18" customHeight="1" x14ac:dyDescent="0.45">
      <c r="A1153" s="8">
        <v>1147</v>
      </c>
      <c r="B1153" s="35" t="str">
        <f t="shared" ref="B1153:C1156" si="476">B1152</f>
        <v>西日本第一本部</v>
      </c>
      <c r="C1153" s="35" t="str">
        <f t="shared" si="476"/>
        <v>そんぽの家　箕面</v>
      </c>
      <c r="D1153" s="9" t="s">
        <v>4</v>
      </c>
      <c r="E1153" s="10">
        <v>1</v>
      </c>
      <c r="F1153" s="12">
        <v>0</v>
      </c>
      <c r="G1153" s="12">
        <v>0</v>
      </c>
      <c r="H1153" s="10">
        <f t="shared" si="452"/>
        <v>0</v>
      </c>
      <c r="I1153" s="38"/>
      <c r="J1153" s="19" cm="1">
        <f t="array" ref="J1153">IFERROR(IF(_xlfn.XLOOKUP(L1153,NC導入施設!B:B,NC導入施設!E:E)=0,_xlfn.IFS(H1153&lt;=5,0,H1153&lt;=10,1,H1153&lt;=15,2,H1153&gt;=16,3),"Null"),"-")</f>
        <v>0</v>
      </c>
      <c r="K1153" s="61"/>
      <c r="L1153" s="1">
        <v>3716511200</v>
      </c>
    </row>
    <row r="1154" spans="1:12" ht="18" customHeight="1" x14ac:dyDescent="0.45">
      <c r="A1154" s="8">
        <v>1148</v>
      </c>
      <c r="B1154" s="35" t="str">
        <f t="shared" si="476"/>
        <v>西日本第一本部</v>
      </c>
      <c r="C1154" s="35" t="str">
        <f t="shared" si="476"/>
        <v>そんぽの家　箕面</v>
      </c>
      <c r="D1154" s="9" t="s">
        <v>5</v>
      </c>
      <c r="E1154" s="10">
        <v>2</v>
      </c>
      <c r="F1154" s="12">
        <v>8</v>
      </c>
      <c r="G1154" s="12">
        <v>4</v>
      </c>
      <c r="H1154" s="10">
        <f t="shared" si="452"/>
        <v>8</v>
      </c>
      <c r="I1154" s="38"/>
      <c r="J1154" s="19" cm="1">
        <f t="array" ref="J1154">IFERROR(IF(_xlfn.XLOOKUP(L1154,NC導入施設!B:B,NC導入施設!E:E)=0,_xlfn.IFS(H1154&lt;=5,0,H1154&lt;=10,1,H1154&lt;=15,2,H1154&gt;=16,3),"Null"),"-")</f>
        <v>1</v>
      </c>
      <c r="K1154" s="61"/>
      <c r="L1154" s="1">
        <v>3716511200</v>
      </c>
    </row>
    <row r="1155" spans="1:12" ht="18" customHeight="1" x14ac:dyDescent="0.45">
      <c r="A1155" s="8">
        <v>1149</v>
      </c>
      <c r="B1155" s="35" t="str">
        <f t="shared" si="476"/>
        <v>西日本第一本部</v>
      </c>
      <c r="C1155" s="35" t="str">
        <f t="shared" si="476"/>
        <v>そんぽの家　箕面</v>
      </c>
      <c r="D1155" s="9" t="s">
        <v>6</v>
      </c>
      <c r="E1155" s="10">
        <v>2</v>
      </c>
      <c r="F1155" s="12">
        <v>0</v>
      </c>
      <c r="G1155" s="12">
        <v>0</v>
      </c>
      <c r="H1155" s="10">
        <f t="shared" si="452"/>
        <v>0</v>
      </c>
      <c r="I1155" s="38"/>
      <c r="J1155" s="19" cm="1">
        <f t="array" ref="J1155">IFERROR(IF(_xlfn.XLOOKUP(L1155,NC導入施設!B:B,NC導入施設!E:E)=0,_xlfn.IFS(H1155&lt;=5,0,H1155&lt;=10,1,H1155&lt;=15,2,H1155&gt;=16,3),"Null"),"-")</f>
        <v>0</v>
      </c>
      <c r="K1155" s="61"/>
      <c r="L1155" s="1">
        <v>3716511200</v>
      </c>
    </row>
    <row r="1156" spans="1:12" ht="18" customHeight="1" x14ac:dyDescent="0.45">
      <c r="A1156" s="8">
        <v>1150</v>
      </c>
      <c r="B1156" s="36" t="str">
        <f t="shared" si="476"/>
        <v>西日本第一本部</v>
      </c>
      <c r="C1156" s="36" t="str">
        <f t="shared" si="476"/>
        <v>そんぽの家　箕面</v>
      </c>
      <c r="D1156" s="9" t="s">
        <v>2</v>
      </c>
      <c r="E1156" s="10">
        <v>1</v>
      </c>
      <c r="F1156" s="12">
        <v>3</v>
      </c>
      <c r="G1156" s="12">
        <v>3</v>
      </c>
      <c r="H1156" s="10">
        <f t="shared" si="452"/>
        <v>3</v>
      </c>
      <c r="I1156" s="39"/>
      <c r="J1156" s="19" cm="1">
        <f t="array" ref="J1156">IFERROR(IF(_xlfn.XLOOKUP(L1156,NC導入施設!B:B,NC導入施設!E:E)=0,_xlfn.IFS(H1156&lt;=5,0,H1156&lt;=10,1,H1156&lt;=15,2,H1156&gt;=16,3),"Null"),"-")</f>
        <v>0</v>
      </c>
      <c r="K1156" s="62"/>
      <c r="L1156" s="1">
        <v>3716511200</v>
      </c>
    </row>
    <row r="1157" spans="1:12" ht="18" customHeight="1" x14ac:dyDescent="0.45">
      <c r="A1157" s="13">
        <v>1151</v>
      </c>
      <c r="B1157" s="40" t="s">
        <v>85</v>
      </c>
      <c r="C1157" s="40" t="s">
        <v>311</v>
      </c>
      <c r="D1157" s="14" t="s">
        <v>3</v>
      </c>
      <c r="E1157" s="15">
        <v>1</v>
      </c>
      <c r="F1157" s="17">
        <v>21</v>
      </c>
      <c r="G1157" s="17">
        <v>21</v>
      </c>
      <c r="H1157" s="15">
        <f t="shared" si="452"/>
        <v>21</v>
      </c>
      <c r="I1157" s="43" cm="1">
        <f t="array" ref="I1157">IF(J1157="-","-",_xlfn.IFS(K1157&lt;=5,0,K1157&lt;=10,1,K1157&lt;=15,2,K1157&gt;=16,3))</f>
        <v>3</v>
      </c>
      <c r="J1157" s="19" cm="1">
        <f t="array" ref="J1157">IFERROR(IF(_xlfn.XLOOKUP(L1157,NC導入施設!B:B,NC導入施設!E:E)=0,_xlfn.IFS(H1157&lt;=5,0,H1157&lt;=10,1,H1157&lt;=15,2,H1157&gt;=16,3),"Null"),"-")</f>
        <v>3</v>
      </c>
      <c r="K1157" s="60">
        <f t="shared" ref="K1157" si="477">IFERROR(SUM(H1157:H1161),"-")</f>
        <v>98</v>
      </c>
      <c r="L1157" s="1">
        <v>3716521200</v>
      </c>
    </row>
    <row r="1158" spans="1:12" ht="18" customHeight="1" x14ac:dyDescent="0.45">
      <c r="A1158" s="13">
        <v>1152</v>
      </c>
      <c r="B1158" s="41" t="str">
        <f t="shared" ref="B1158:C1161" si="478">B1157</f>
        <v>西日本第一本部</v>
      </c>
      <c r="C1158" s="41" t="str">
        <f t="shared" si="478"/>
        <v>ラヴィーレ池田</v>
      </c>
      <c r="D1158" s="14" t="s">
        <v>4</v>
      </c>
      <c r="E1158" s="15">
        <v>1</v>
      </c>
      <c r="F1158" s="17">
        <v>24</v>
      </c>
      <c r="G1158" s="17">
        <v>24</v>
      </c>
      <c r="H1158" s="15">
        <f t="shared" si="452"/>
        <v>24</v>
      </c>
      <c r="I1158" s="44"/>
      <c r="J1158" s="19" cm="1">
        <f t="array" ref="J1158">IFERROR(IF(_xlfn.XLOOKUP(L1158,NC導入施設!B:B,NC導入施設!E:E)=0,_xlfn.IFS(H1158&lt;=5,0,H1158&lt;=10,1,H1158&lt;=15,2,H1158&gt;=16,3),"Null"),"-")</f>
        <v>3</v>
      </c>
      <c r="K1158" s="61"/>
      <c r="L1158" s="1">
        <v>3716521200</v>
      </c>
    </row>
    <row r="1159" spans="1:12" ht="18" customHeight="1" x14ac:dyDescent="0.45">
      <c r="A1159" s="13">
        <v>1153</v>
      </c>
      <c r="B1159" s="41" t="str">
        <f t="shared" si="478"/>
        <v>西日本第一本部</v>
      </c>
      <c r="C1159" s="41" t="str">
        <f t="shared" si="478"/>
        <v>ラヴィーレ池田</v>
      </c>
      <c r="D1159" s="14" t="s">
        <v>5</v>
      </c>
      <c r="E1159" s="15">
        <v>2</v>
      </c>
      <c r="F1159" s="17">
        <v>23</v>
      </c>
      <c r="G1159" s="17">
        <v>11.5</v>
      </c>
      <c r="H1159" s="15">
        <f t="shared" si="452"/>
        <v>23</v>
      </c>
      <c r="I1159" s="44"/>
      <c r="J1159" s="19" cm="1">
        <f t="array" ref="J1159">IFERROR(IF(_xlfn.XLOOKUP(L1159,NC導入施設!B:B,NC導入施設!E:E)=0,_xlfn.IFS(H1159&lt;=5,0,H1159&lt;=10,1,H1159&lt;=15,2,H1159&gt;=16,3),"Null"),"-")</f>
        <v>3</v>
      </c>
      <c r="K1159" s="61"/>
      <c r="L1159" s="1">
        <v>3716521200</v>
      </c>
    </row>
    <row r="1160" spans="1:12" ht="18" customHeight="1" x14ac:dyDescent="0.45">
      <c r="A1160" s="13">
        <v>1154</v>
      </c>
      <c r="B1160" s="41" t="str">
        <f t="shared" si="478"/>
        <v>西日本第一本部</v>
      </c>
      <c r="C1160" s="41" t="str">
        <f t="shared" si="478"/>
        <v>ラヴィーレ池田</v>
      </c>
      <c r="D1160" s="14" t="s">
        <v>6</v>
      </c>
      <c r="E1160" s="15">
        <v>4</v>
      </c>
      <c r="F1160" s="17">
        <v>30</v>
      </c>
      <c r="G1160" s="17">
        <v>7.5</v>
      </c>
      <c r="H1160" s="15">
        <f t="shared" ref="H1160:H1223" si="479">F1160</f>
        <v>30</v>
      </c>
      <c r="I1160" s="44"/>
      <c r="J1160" s="19" cm="1">
        <f t="array" ref="J1160">IFERROR(IF(_xlfn.XLOOKUP(L1160,NC導入施設!B:B,NC導入施設!E:E)=0,_xlfn.IFS(H1160&lt;=5,0,H1160&lt;=10,1,H1160&lt;=15,2,H1160&gt;=16,3),"Null"),"-")</f>
        <v>3</v>
      </c>
      <c r="K1160" s="61"/>
      <c r="L1160" s="1">
        <v>3716521200</v>
      </c>
    </row>
    <row r="1161" spans="1:12" ht="18" customHeight="1" x14ac:dyDescent="0.45">
      <c r="A1161" s="13">
        <v>1155</v>
      </c>
      <c r="B1161" s="42" t="str">
        <f t="shared" si="478"/>
        <v>西日本第一本部</v>
      </c>
      <c r="C1161" s="42" t="str">
        <f t="shared" si="478"/>
        <v>ラヴィーレ池田</v>
      </c>
      <c r="D1161" s="14" t="s">
        <v>2</v>
      </c>
      <c r="E1161" s="15">
        <v>1</v>
      </c>
      <c r="F1161" s="17">
        <v>0</v>
      </c>
      <c r="G1161" s="17">
        <v>0</v>
      </c>
      <c r="H1161" s="15">
        <f t="shared" si="479"/>
        <v>0</v>
      </c>
      <c r="I1161" s="45"/>
      <c r="J1161" s="19" cm="1">
        <f t="array" ref="J1161">IFERROR(IF(_xlfn.XLOOKUP(L1161,NC導入施設!B:B,NC導入施設!E:E)=0,_xlfn.IFS(H1161&lt;=5,0,H1161&lt;=10,1,H1161&lt;=15,2,H1161&gt;=16,3),"Null"),"-")</f>
        <v>0</v>
      </c>
      <c r="K1161" s="62"/>
      <c r="L1161" s="1">
        <v>3716521200</v>
      </c>
    </row>
    <row r="1162" spans="1:12" ht="18" customHeight="1" x14ac:dyDescent="0.45">
      <c r="A1162" s="8">
        <v>1156</v>
      </c>
      <c r="B1162" s="34" t="s">
        <v>85</v>
      </c>
      <c r="C1162" s="34" t="s">
        <v>121</v>
      </c>
      <c r="D1162" s="9" t="s">
        <v>3</v>
      </c>
      <c r="E1162" s="10">
        <v>1</v>
      </c>
      <c r="F1162" s="12">
        <v>4</v>
      </c>
      <c r="G1162" s="12">
        <v>4</v>
      </c>
      <c r="H1162" s="10">
        <f t="shared" si="479"/>
        <v>4</v>
      </c>
      <c r="I1162" s="37" cm="1">
        <f t="array" ref="I1162">IF(J1162="-","-",_xlfn.IFS(K1162&lt;=5,0,K1162&lt;=10,1,K1162&lt;=15,2,K1162&gt;=16,3))</f>
        <v>3</v>
      </c>
      <c r="J1162" s="19" cm="1">
        <f t="array" ref="J1162">IFERROR(IF(_xlfn.XLOOKUP(L1162,NC導入施設!B:B,NC導入施設!E:E)=0,_xlfn.IFS(H1162&lt;=5,0,H1162&lt;=10,1,H1162&lt;=15,2,H1162&gt;=16,3),"Null"),"-")</f>
        <v>0</v>
      </c>
      <c r="K1162" s="60">
        <f t="shared" ref="K1162" si="480">IFERROR(SUM(H1162:H1166),"-")</f>
        <v>17</v>
      </c>
      <c r="L1162" s="1">
        <v>3716551200</v>
      </c>
    </row>
    <row r="1163" spans="1:12" ht="18" customHeight="1" x14ac:dyDescent="0.45">
      <c r="A1163" s="8">
        <v>1157</v>
      </c>
      <c r="B1163" s="35" t="str">
        <f t="shared" ref="B1163:C1166" si="481">B1162</f>
        <v>西日本第一本部</v>
      </c>
      <c r="C1163" s="35" t="str">
        <f t="shared" si="481"/>
        <v>そんぽの家　万博公園</v>
      </c>
      <c r="D1163" s="9" t="s">
        <v>4</v>
      </c>
      <c r="E1163" s="10">
        <v>1</v>
      </c>
      <c r="F1163" s="12">
        <v>7</v>
      </c>
      <c r="G1163" s="12">
        <v>7</v>
      </c>
      <c r="H1163" s="10">
        <f t="shared" si="479"/>
        <v>7</v>
      </c>
      <c r="I1163" s="38"/>
      <c r="J1163" s="19" cm="1">
        <f t="array" ref="J1163">IFERROR(IF(_xlfn.XLOOKUP(L1163,NC導入施設!B:B,NC導入施設!E:E)=0,_xlfn.IFS(H1163&lt;=5,0,H1163&lt;=10,1,H1163&lt;=15,2,H1163&gt;=16,3),"Null"),"-")</f>
        <v>1</v>
      </c>
      <c r="K1163" s="61"/>
      <c r="L1163" s="1">
        <v>3716551200</v>
      </c>
    </row>
    <row r="1164" spans="1:12" ht="18" customHeight="1" x14ac:dyDescent="0.45">
      <c r="A1164" s="8">
        <v>1158</v>
      </c>
      <c r="B1164" s="35" t="str">
        <f t="shared" si="481"/>
        <v>西日本第一本部</v>
      </c>
      <c r="C1164" s="35" t="str">
        <f t="shared" si="481"/>
        <v>そんぽの家　万博公園</v>
      </c>
      <c r="D1164" s="9" t="s">
        <v>5</v>
      </c>
      <c r="E1164" s="10">
        <v>1</v>
      </c>
      <c r="F1164" s="12">
        <v>4</v>
      </c>
      <c r="G1164" s="12">
        <v>4</v>
      </c>
      <c r="H1164" s="10">
        <f t="shared" si="479"/>
        <v>4</v>
      </c>
      <c r="I1164" s="38"/>
      <c r="J1164" s="19" cm="1">
        <f t="array" ref="J1164">IFERROR(IF(_xlfn.XLOOKUP(L1164,NC導入施設!B:B,NC導入施設!E:E)=0,_xlfn.IFS(H1164&lt;=5,0,H1164&lt;=10,1,H1164&lt;=15,2,H1164&gt;=16,3),"Null"),"-")</f>
        <v>0</v>
      </c>
      <c r="K1164" s="61"/>
      <c r="L1164" s="1">
        <v>3716551200</v>
      </c>
    </row>
    <row r="1165" spans="1:12" ht="18" customHeight="1" x14ac:dyDescent="0.45">
      <c r="A1165" s="8">
        <v>1159</v>
      </c>
      <c r="B1165" s="35" t="str">
        <f t="shared" si="481"/>
        <v>西日本第一本部</v>
      </c>
      <c r="C1165" s="35" t="str">
        <f t="shared" si="481"/>
        <v>そんぽの家　万博公園</v>
      </c>
      <c r="D1165" s="9" t="s">
        <v>6</v>
      </c>
      <c r="E1165" s="10">
        <v>4</v>
      </c>
      <c r="F1165" s="12">
        <v>2</v>
      </c>
      <c r="G1165" s="12">
        <v>0.5</v>
      </c>
      <c r="H1165" s="10">
        <f t="shared" si="479"/>
        <v>2</v>
      </c>
      <c r="I1165" s="38"/>
      <c r="J1165" s="19" cm="1">
        <f t="array" ref="J1165">IFERROR(IF(_xlfn.XLOOKUP(L1165,NC導入施設!B:B,NC導入施設!E:E)=0,_xlfn.IFS(H1165&lt;=5,0,H1165&lt;=10,1,H1165&lt;=15,2,H1165&gt;=16,3),"Null"),"-")</f>
        <v>0</v>
      </c>
      <c r="K1165" s="61"/>
      <c r="L1165" s="1">
        <v>3716551200</v>
      </c>
    </row>
    <row r="1166" spans="1:12" ht="18" customHeight="1" x14ac:dyDescent="0.45">
      <c r="A1166" s="8">
        <v>1160</v>
      </c>
      <c r="B1166" s="36" t="str">
        <f t="shared" si="481"/>
        <v>西日本第一本部</v>
      </c>
      <c r="C1166" s="36" t="str">
        <f t="shared" si="481"/>
        <v>そんぽの家　万博公園</v>
      </c>
      <c r="D1166" s="9" t="s">
        <v>2</v>
      </c>
      <c r="E1166" s="10">
        <v>2</v>
      </c>
      <c r="F1166" s="12">
        <v>0</v>
      </c>
      <c r="G1166" s="12">
        <v>0</v>
      </c>
      <c r="H1166" s="10">
        <f t="shared" si="479"/>
        <v>0</v>
      </c>
      <c r="I1166" s="39"/>
      <c r="J1166" s="19" cm="1">
        <f t="array" ref="J1166">IFERROR(IF(_xlfn.XLOOKUP(L1166,NC導入施設!B:B,NC導入施設!E:E)=0,_xlfn.IFS(H1166&lt;=5,0,H1166&lt;=10,1,H1166&lt;=15,2,H1166&gt;=16,3),"Null"),"-")</f>
        <v>0</v>
      </c>
      <c r="K1166" s="62"/>
      <c r="L1166" s="1">
        <v>3716551200</v>
      </c>
    </row>
    <row r="1167" spans="1:12" ht="18" customHeight="1" x14ac:dyDescent="0.45">
      <c r="A1167" s="13">
        <v>1161</v>
      </c>
      <c r="B1167" s="40" t="s">
        <v>85</v>
      </c>
      <c r="C1167" s="40" t="s">
        <v>122</v>
      </c>
      <c r="D1167" s="14" t="s">
        <v>3</v>
      </c>
      <c r="E1167" s="15">
        <v>1</v>
      </c>
      <c r="F1167" s="17">
        <v>1</v>
      </c>
      <c r="G1167" s="17">
        <v>1</v>
      </c>
      <c r="H1167" s="15">
        <f t="shared" si="479"/>
        <v>1</v>
      </c>
      <c r="I1167" s="43" cm="1">
        <f t="array" ref="I1167">IF(J1167="-","-",_xlfn.IFS(K1167&lt;=5,0,K1167&lt;=10,1,K1167&lt;=15,2,K1167&gt;=16,3))</f>
        <v>2</v>
      </c>
      <c r="J1167" s="19" cm="1">
        <f t="array" ref="J1167">IFERROR(IF(_xlfn.XLOOKUP(L1167,NC導入施設!B:B,NC導入施設!E:E)=0,_xlfn.IFS(H1167&lt;=5,0,H1167&lt;=10,1,H1167&lt;=15,2,H1167&gt;=16,3),"Null"),"-")</f>
        <v>0</v>
      </c>
      <c r="K1167" s="60">
        <f t="shared" ref="K1167" si="482">IFERROR(SUM(H1167:H1171),"-")</f>
        <v>14</v>
      </c>
      <c r="L1167" s="1">
        <v>3716601200</v>
      </c>
    </row>
    <row r="1168" spans="1:12" ht="18" customHeight="1" x14ac:dyDescent="0.45">
      <c r="A1168" s="13">
        <v>1162</v>
      </c>
      <c r="B1168" s="41" t="str">
        <f t="shared" ref="B1168:C1171" si="483">B1167</f>
        <v>西日本第一本部</v>
      </c>
      <c r="C1168" s="41" t="str">
        <f t="shared" si="483"/>
        <v>そんぽの家　豊中庄本町</v>
      </c>
      <c r="D1168" s="14" t="s">
        <v>4</v>
      </c>
      <c r="E1168" s="15">
        <v>1</v>
      </c>
      <c r="F1168" s="17">
        <v>0</v>
      </c>
      <c r="G1168" s="17">
        <v>0</v>
      </c>
      <c r="H1168" s="15">
        <f t="shared" si="479"/>
        <v>0</v>
      </c>
      <c r="I1168" s="44"/>
      <c r="J1168" s="19" cm="1">
        <f t="array" ref="J1168">IFERROR(IF(_xlfn.XLOOKUP(L1168,NC導入施設!B:B,NC導入施設!E:E)=0,_xlfn.IFS(H1168&lt;=5,0,H1168&lt;=10,1,H1168&lt;=15,2,H1168&gt;=16,3),"Null"),"-")</f>
        <v>0</v>
      </c>
      <c r="K1168" s="61"/>
      <c r="L1168" s="1">
        <v>3716601200</v>
      </c>
    </row>
    <row r="1169" spans="1:12" ht="18" customHeight="1" x14ac:dyDescent="0.45">
      <c r="A1169" s="13">
        <v>1163</v>
      </c>
      <c r="B1169" s="41" t="str">
        <f t="shared" si="483"/>
        <v>西日本第一本部</v>
      </c>
      <c r="C1169" s="41" t="str">
        <f t="shared" si="483"/>
        <v>そんぽの家　豊中庄本町</v>
      </c>
      <c r="D1169" s="14" t="s">
        <v>5</v>
      </c>
      <c r="E1169" s="15">
        <v>1</v>
      </c>
      <c r="F1169" s="17">
        <v>2</v>
      </c>
      <c r="G1169" s="17">
        <v>2</v>
      </c>
      <c r="H1169" s="15">
        <f t="shared" si="479"/>
        <v>2</v>
      </c>
      <c r="I1169" s="44"/>
      <c r="J1169" s="19" cm="1">
        <f t="array" ref="J1169">IFERROR(IF(_xlfn.XLOOKUP(L1169,NC導入施設!B:B,NC導入施設!E:E)=0,_xlfn.IFS(H1169&lt;=5,0,H1169&lt;=10,1,H1169&lt;=15,2,H1169&gt;=16,3),"Null"),"-")</f>
        <v>0</v>
      </c>
      <c r="K1169" s="61"/>
      <c r="L1169" s="1">
        <v>3716601200</v>
      </c>
    </row>
    <row r="1170" spans="1:12" ht="18" customHeight="1" x14ac:dyDescent="0.45">
      <c r="A1170" s="13">
        <v>1164</v>
      </c>
      <c r="B1170" s="41" t="str">
        <f t="shared" si="483"/>
        <v>西日本第一本部</v>
      </c>
      <c r="C1170" s="41" t="str">
        <f t="shared" si="483"/>
        <v>そんぽの家　豊中庄本町</v>
      </c>
      <c r="D1170" s="14" t="s">
        <v>6</v>
      </c>
      <c r="E1170" s="15">
        <v>3</v>
      </c>
      <c r="F1170" s="17">
        <v>1</v>
      </c>
      <c r="G1170" s="17">
        <v>0.3</v>
      </c>
      <c r="H1170" s="15">
        <f t="shared" si="479"/>
        <v>1</v>
      </c>
      <c r="I1170" s="44"/>
      <c r="J1170" s="19" cm="1">
        <f t="array" ref="J1170">IFERROR(IF(_xlfn.XLOOKUP(L1170,NC導入施設!B:B,NC導入施設!E:E)=0,_xlfn.IFS(H1170&lt;=5,0,H1170&lt;=10,1,H1170&lt;=15,2,H1170&gt;=16,3),"Null"),"-")</f>
        <v>0</v>
      </c>
      <c r="K1170" s="61"/>
      <c r="L1170" s="1">
        <v>3716601200</v>
      </c>
    </row>
    <row r="1171" spans="1:12" ht="18" customHeight="1" x14ac:dyDescent="0.45">
      <c r="A1171" s="13">
        <v>1165</v>
      </c>
      <c r="B1171" s="42" t="str">
        <f t="shared" si="483"/>
        <v>西日本第一本部</v>
      </c>
      <c r="C1171" s="42" t="str">
        <f t="shared" si="483"/>
        <v>そんぽの家　豊中庄本町</v>
      </c>
      <c r="D1171" s="14" t="s">
        <v>2</v>
      </c>
      <c r="E1171" s="15">
        <v>2</v>
      </c>
      <c r="F1171" s="17">
        <v>10</v>
      </c>
      <c r="G1171" s="17">
        <v>5</v>
      </c>
      <c r="H1171" s="15">
        <f t="shared" si="479"/>
        <v>10</v>
      </c>
      <c r="I1171" s="45"/>
      <c r="J1171" s="19" cm="1">
        <f t="array" ref="J1171">IFERROR(IF(_xlfn.XLOOKUP(L1171,NC導入施設!B:B,NC導入施設!E:E)=0,_xlfn.IFS(H1171&lt;=5,0,H1171&lt;=10,1,H1171&lt;=15,2,H1171&gt;=16,3),"Null"),"-")</f>
        <v>1</v>
      </c>
      <c r="K1171" s="62"/>
      <c r="L1171" s="1">
        <v>3716601200</v>
      </c>
    </row>
    <row r="1172" spans="1:12" ht="18" customHeight="1" x14ac:dyDescent="0.45">
      <c r="A1172" s="8">
        <v>1166</v>
      </c>
      <c r="B1172" s="34" t="s">
        <v>85</v>
      </c>
      <c r="C1172" s="34" t="s">
        <v>123</v>
      </c>
      <c r="D1172" s="9" t="s">
        <v>3</v>
      </c>
      <c r="E1172" s="10">
        <v>1</v>
      </c>
      <c r="F1172" s="12">
        <v>2</v>
      </c>
      <c r="G1172" s="12">
        <v>2</v>
      </c>
      <c r="H1172" s="10">
        <f t="shared" si="479"/>
        <v>2</v>
      </c>
      <c r="I1172" s="37" cm="1">
        <f t="array" ref="I1172">IF(J1172="-","-",_xlfn.IFS(K1172&lt;=5,0,K1172&lt;=10,1,K1172&lt;=15,2,K1172&gt;=16,3))</f>
        <v>3</v>
      </c>
      <c r="J1172" s="19" cm="1">
        <f t="array" ref="J1172">IFERROR(IF(_xlfn.XLOOKUP(L1172,NC導入施設!B:B,NC導入施設!E:E)=0,_xlfn.IFS(H1172&lt;=5,0,H1172&lt;=10,1,H1172&lt;=15,2,H1172&gt;=16,3),"Null"),"-")</f>
        <v>0</v>
      </c>
      <c r="K1172" s="60">
        <f t="shared" ref="K1172" si="484">IFERROR(SUM(H1172:H1176),"-")</f>
        <v>19</v>
      </c>
      <c r="L1172" s="1">
        <v>3716631200</v>
      </c>
    </row>
    <row r="1173" spans="1:12" ht="18" customHeight="1" x14ac:dyDescent="0.45">
      <c r="A1173" s="8">
        <v>1167</v>
      </c>
      <c r="B1173" s="35" t="str">
        <f t="shared" ref="B1173:C1176" si="485">B1172</f>
        <v>西日本第一本部</v>
      </c>
      <c r="C1173" s="35" t="str">
        <f t="shared" si="485"/>
        <v>そんぽの家　豊中南曽根</v>
      </c>
      <c r="D1173" s="9" t="s">
        <v>4</v>
      </c>
      <c r="E1173" s="10">
        <v>1</v>
      </c>
      <c r="F1173" s="12">
        <v>1</v>
      </c>
      <c r="G1173" s="12">
        <v>1</v>
      </c>
      <c r="H1173" s="10">
        <f t="shared" si="479"/>
        <v>1</v>
      </c>
      <c r="I1173" s="38"/>
      <c r="J1173" s="19" cm="1">
        <f t="array" ref="J1173">IFERROR(IF(_xlfn.XLOOKUP(L1173,NC導入施設!B:B,NC導入施設!E:E)=0,_xlfn.IFS(H1173&lt;=5,0,H1173&lt;=10,1,H1173&lt;=15,2,H1173&gt;=16,3),"Null"),"-")</f>
        <v>0</v>
      </c>
      <c r="K1173" s="61"/>
      <c r="L1173" s="1">
        <v>3716631200</v>
      </c>
    </row>
    <row r="1174" spans="1:12" ht="18" customHeight="1" x14ac:dyDescent="0.45">
      <c r="A1174" s="8">
        <v>1168</v>
      </c>
      <c r="B1174" s="35" t="str">
        <f t="shared" si="485"/>
        <v>西日本第一本部</v>
      </c>
      <c r="C1174" s="35" t="str">
        <f t="shared" si="485"/>
        <v>そんぽの家　豊中南曽根</v>
      </c>
      <c r="D1174" s="9" t="s">
        <v>5</v>
      </c>
      <c r="E1174" s="10">
        <v>1</v>
      </c>
      <c r="F1174" s="12">
        <v>2</v>
      </c>
      <c r="G1174" s="12">
        <v>2</v>
      </c>
      <c r="H1174" s="10">
        <f t="shared" si="479"/>
        <v>2</v>
      </c>
      <c r="I1174" s="38"/>
      <c r="J1174" s="19" cm="1">
        <f t="array" ref="J1174">IFERROR(IF(_xlfn.XLOOKUP(L1174,NC導入施設!B:B,NC導入施設!E:E)=0,_xlfn.IFS(H1174&lt;=5,0,H1174&lt;=10,1,H1174&lt;=15,2,H1174&gt;=16,3),"Null"),"-")</f>
        <v>0</v>
      </c>
      <c r="K1174" s="61"/>
      <c r="L1174" s="1">
        <v>3716631200</v>
      </c>
    </row>
    <row r="1175" spans="1:12" ht="18" customHeight="1" x14ac:dyDescent="0.45">
      <c r="A1175" s="8">
        <v>1169</v>
      </c>
      <c r="B1175" s="35" t="str">
        <f t="shared" si="485"/>
        <v>西日本第一本部</v>
      </c>
      <c r="C1175" s="35" t="str">
        <f t="shared" si="485"/>
        <v>そんぽの家　豊中南曽根</v>
      </c>
      <c r="D1175" s="9" t="s">
        <v>6</v>
      </c>
      <c r="E1175" s="10">
        <v>2</v>
      </c>
      <c r="F1175" s="12">
        <v>14</v>
      </c>
      <c r="G1175" s="12">
        <v>7</v>
      </c>
      <c r="H1175" s="10">
        <f t="shared" si="479"/>
        <v>14</v>
      </c>
      <c r="I1175" s="38"/>
      <c r="J1175" s="19" cm="1">
        <f t="array" ref="J1175">IFERROR(IF(_xlfn.XLOOKUP(L1175,NC導入施設!B:B,NC導入施設!E:E)=0,_xlfn.IFS(H1175&lt;=5,0,H1175&lt;=10,1,H1175&lt;=15,2,H1175&gt;=16,3),"Null"),"-")</f>
        <v>2</v>
      </c>
      <c r="K1175" s="61"/>
      <c r="L1175" s="1">
        <v>3716631200</v>
      </c>
    </row>
    <row r="1176" spans="1:12" ht="18" customHeight="1" x14ac:dyDescent="0.45">
      <c r="A1176" s="8">
        <v>1170</v>
      </c>
      <c r="B1176" s="36" t="str">
        <f t="shared" si="485"/>
        <v>西日本第一本部</v>
      </c>
      <c r="C1176" s="36" t="str">
        <f t="shared" si="485"/>
        <v>そんぽの家　豊中南曽根</v>
      </c>
      <c r="D1176" s="9" t="s">
        <v>2</v>
      </c>
      <c r="E1176" s="10">
        <v>1</v>
      </c>
      <c r="F1176" s="12">
        <v>0</v>
      </c>
      <c r="G1176" s="12">
        <v>0</v>
      </c>
      <c r="H1176" s="10">
        <f t="shared" si="479"/>
        <v>0</v>
      </c>
      <c r="I1176" s="39"/>
      <c r="J1176" s="19" cm="1">
        <f t="array" ref="J1176">IFERROR(IF(_xlfn.XLOOKUP(L1176,NC導入施設!B:B,NC導入施設!E:E)=0,_xlfn.IFS(H1176&lt;=5,0,H1176&lt;=10,1,H1176&lt;=15,2,H1176&gt;=16,3),"Null"),"-")</f>
        <v>0</v>
      </c>
      <c r="K1176" s="62"/>
      <c r="L1176" s="1">
        <v>3716631200</v>
      </c>
    </row>
    <row r="1177" spans="1:12" ht="18" customHeight="1" x14ac:dyDescent="0.45">
      <c r="A1177" s="13">
        <v>1171</v>
      </c>
      <c r="B1177" s="40" t="s">
        <v>85</v>
      </c>
      <c r="C1177" s="40" t="s">
        <v>124</v>
      </c>
      <c r="D1177" s="14" t="s">
        <v>3</v>
      </c>
      <c r="E1177" s="15">
        <v>1</v>
      </c>
      <c r="F1177" s="17">
        <v>1</v>
      </c>
      <c r="G1177" s="17">
        <v>1</v>
      </c>
      <c r="H1177" s="15">
        <f t="shared" si="479"/>
        <v>1</v>
      </c>
      <c r="I1177" s="43" cm="1">
        <f t="array" ref="I1177">IF(J1177="-","-",_xlfn.IFS(K1177&lt;=5,0,K1177&lt;=10,1,K1177&lt;=15,2,K1177&gt;=16,3))</f>
        <v>1</v>
      </c>
      <c r="J1177" s="19" cm="1">
        <f t="array" ref="J1177">IFERROR(IF(_xlfn.XLOOKUP(L1177,NC導入施設!B:B,NC導入施設!E:E)=0,_xlfn.IFS(H1177&lt;=5,0,H1177&lt;=10,1,H1177&lt;=15,2,H1177&gt;=16,3),"Null"),"-")</f>
        <v>0</v>
      </c>
      <c r="K1177" s="60">
        <f t="shared" ref="K1177" si="486">IFERROR(SUM(H1177:H1181),"-")</f>
        <v>6</v>
      </c>
      <c r="L1177" s="1">
        <v>3716641200</v>
      </c>
    </row>
    <row r="1178" spans="1:12" ht="18" customHeight="1" x14ac:dyDescent="0.45">
      <c r="A1178" s="13">
        <v>1172</v>
      </c>
      <c r="B1178" s="41" t="str">
        <f t="shared" ref="B1178:C1181" si="487">B1177</f>
        <v>西日本第一本部</v>
      </c>
      <c r="C1178" s="41" t="str">
        <f t="shared" si="487"/>
        <v>そんぽの家　豊中野田</v>
      </c>
      <c r="D1178" s="14" t="s">
        <v>4</v>
      </c>
      <c r="E1178" s="15">
        <v>1</v>
      </c>
      <c r="F1178" s="17">
        <v>1</v>
      </c>
      <c r="G1178" s="17">
        <v>1</v>
      </c>
      <c r="H1178" s="15">
        <f t="shared" si="479"/>
        <v>1</v>
      </c>
      <c r="I1178" s="44"/>
      <c r="J1178" s="19" cm="1">
        <f t="array" ref="J1178">IFERROR(IF(_xlfn.XLOOKUP(L1178,NC導入施設!B:B,NC導入施設!E:E)=0,_xlfn.IFS(H1178&lt;=5,0,H1178&lt;=10,1,H1178&lt;=15,2,H1178&gt;=16,3),"Null"),"-")</f>
        <v>0</v>
      </c>
      <c r="K1178" s="61"/>
      <c r="L1178" s="1">
        <v>3716641200</v>
      </c>
    </row>
    <row r="1179" spans="1:12" ht="18" customHeight="1" x14ac:dyDescent="0.45">
      <c r="A1179" s="13">
        <v>1173</v>
      </c>
      <c r="B1179" s="41" t="str">
        <f t="shared" si="487"/>
        <v>西日本第一本部</v>
      </c>
      <c r="C1179" s="41" t="str">
        <f t="shared" si="487"/>
        <v>そんぽの家　豊中野田</v>
      </c>
      <c r="D1179" s="14" t="s">
        <v>5</v>
      </c>
      <c r="E1179" s="15">
        <v>2</v>
      </c>
      <c r="F1179" s="17">
        <v>1</v>
      </c>
      <c r="G1179" s="17">
        <v>0.5</v>
      </c>
      <c r="H1179" s="15">
        <f t="shared" si="479"/>
        <v>1</v>
      </c>
      <c r="I1179" s="44"/>
      <c r="J1179" s="19" cm="1">
        <f t="array" ref="J1179">IFERROR(IF(_xlfn.XLOOKUP(L1179,NC導入施設!B:B,NC導入施設!E:E)=0,_xlfn.IFS(H1179&lt;=5,0,H1179&lt;=10,1,H1179&lt;=15,2,H1179&gt;=16,3),"Null"),"-")</f>
        <v>0</v>
      </c>
      <c r="K1179" s="61"/>
      <c r="L1179" s="1">
        <v>3716641200</v>
      </c>
    </row>
    <row r="1180" spans="1:12" ht="18" customHeight="1" x14ac:dyDescent="0.45">
      <c r="A1180" s="13">
        <v>1174</v>
      </c>
      <c r="B1180" s="41" t="str">
        <f t="shared" si="487"/>
        <v>西日本第一本部</v>
      </c>
      <c r="C1180" s="41" t="str">
        <f t="shared" si="487"/>
        <v>そんぽの家　豊中野田</v>
      </c>
      <c r="D1180" s="14" t="s">
        <v>6</v>
      </c>
      <c r="E1180" s="15">
        <v>3</v>
      </c>
      <c r="F1180" s="17">
        <v>0</v>
      </c>
      <c r="G1180" s="17">
        <v>0</v>
      </c>
      <c r="H1180" s="15">
        <f t="shared" si="479"/>
        <v>0</v>
      </c>
      <c r="I1180" s="44"/>
      <c r="J1180" s="19" cm="1">
        <f t="array" ref="J1180">IFERROR(IF(_xlfn.XLOOKUP(L1180,NC導入施設!B:B,NC導入施設!E:E)=0,_xlfn.IFS(H1180&lt;=5,0,H1180&lt;=10,1,H1180&lt;=15,2,H1180&gt;=16,3),"Null"),"-")</f>
        <v>0</v>
      </c>
      <c r="K1180" s="61"/>
      <c r="L1180" s="1">
        <v>3716641200</v>
      </c>
    </row>
    <row r="1181" spans="1:12" ht="18" customHeight="1" x14ac:dyDescent="0.45">
      <c r="A1181" s="13">
        <v>1175</v>
      </c>
      <c r="B1181" s="42" t="str">
        <f t="shared" si="487"/>
        <v>西日本第一本部</v>
      </c>
      <c r="C1181" s="42" t="str">
        <f t="shared" si="487"/>
        <v>そんぽの家　豊中野田</v>
      </c>
      <c r="D1181" s="14" t="s">
        <v>2</v>
      </c>
      <c r="E1181" s="15">
        <v>1</v>
      </c>
      <c r="F1181" s="17">
        <v>3</v>
      </c>
      <c r="G1181" s="17">
        <v>3</v>
      </c>
      <c r="H1181" s="15">
        <f t="shared" si="479"/>
        <v>3</v>
      </c>
      <c r="I1181" s="45"/>
      <c r="J1181" s="19" cm="1">
        <f t="array" ref="J1181">IFERROR(IF(_xlfn.XLOOKUP(L1181,NC導入施設!B:B,NC導入施設!E:E)=0,_xlfn.IFS(H1181&lt;=5,0,H1181&lt;=10,1,H1181&lt;=15,2,H1181&gt;=16,3),"Null"),"-")</f>
        <v>0</v>
      </c>
      <c r="K1181" s="62"/>
      <c r="L1181" s="1">
        <v>3716641200</v>
      </c>
    </row>
    <row r="1182" spans="1:12" ht="18" customHeight="1" x14ac:dyDescent="0.45">
      <c r="A1182" s="8">
        <v>1176</v>
      </c>
      <c r="B1182" s="34" t="s">
        <v>85</v>
      </c>
      <c r="C1182" s="34" t="s">
        <v>312</v>
      </c>
      <c r="D1182" s="9" t="s">
        <v>3</v>
      </c>
      <c r="E1182" s="10">
        <v>1</v>
      </c>
      <c r="F1182" s="12">
        <v>9</v>
      </c>
      <c r="G1182" s="12">
        <v>9</v>
      </c>
      <c r="H1182" s="10">
        <f t="shared" si="479"/>
        <v>9</v>
      </c>
      <c r="I1182" s="37" cm="1">
        <f t="array" ref="I1182">IF(J1182="-","-",_xlfn.IFS(K1182&lt;=5,0,K1182&lt;=10,1,K1182&lt;=15,2,K1182&gt;=16,3))</f>
        <v>3</v>
      </c>
      <c r="J1182" s="19" cm="1">
        <f t="array" ref="J1182">IFERROR(IF(_xlfn.XLOOKUP(L1182,NC導入施設!B:B,NC導入施設!E:E)=0,_xlfn.IFS(H1182&lt;=5,0,H1182&lt;=10,1,H1182&lt;=15,2,H1182&gt;=16,3),"Null"),"-")</f>
        <v>1</v>
      </c>
      <c r="K1182" s="60">
        <f t="shared" ref="K1182" si="488">IFERROR(SUM(H1182:H1186),"-")</f>
        <v>19</v>
      </c>
      <c r="L1182" s="1">
        <v>3716651200</v>
      </c>
    </row>
    <row r="1183" spans="1:12" ht="18" customHeight="1" x14ac:dyDescent="0.45">
      <c r="A1183" s="8">
        <v>1177</v>
      </c>
      <c r="B1183" s="35" t="str">
        <f t="shared" ref="B1183:C1186" si="489">B1182</f>
        <v>西日本第一本部</v>
      </c>
      <c r="C1183" s="35" t="str">
        <f t="shared" si="489"/>
        <v>ラヴィーレ豊中</v>
      </c>
      <c r="D1183" s="9" t="s">
        <v>4</v>
      </c>
      <c r="E1183" s="10">
        <v>1</v>
      </c>
      <c r="F1183" s="12">
        <v>0</v>
      </c>
      <c r="G1183" s="12">
        <v>0</v>
      </c>
      <c r="H1183" s="10">
        <f t="shared" si="479"/>
        <v>0</v>
      </c>
      <c r="I1183" s="38"/>
      <c r="J1183" s="19" cm="1">
        <f t="array" ref="J1183">IFERROR(IF(_xlfn.XLOOKUP(L1183,NC導入施設!B:B,NC導入施設!E:E)=0,_xlfn.IFS(H1183&lt;=5,0,H1183&lt;=10,1,H1183&lt;=15,2,H1183&gt;=16,3),"Null"),"-")</f>
        <v>0</v>
      </c>
      <c r="K1183" s="61"/>
      <c r="L1183" s="1">
        <v>3716651200</v>
      </c>
    </row>
    <row r="1184" spans="1:12" ht="18" customHeight="1" x14ac:dyDescent="0.45">
      <c r="A1184" s="8">
        <v>1178</v>
      </c>
      <c r="B1184" s="35" t="str">
        <f t="shared" si="489"/>
        <v>西日本第一本部</v>
      </c>
      <c r="C1184" s="35" t="str">
        <f t="shared" si="489"/>
        <v>ラヴィーレ豊中</v>
      </c>
      <c r="D1184" s="9" t="s">
        <v>5</v>
      </c>
      <c r="E1184" s="10">
        <v>1</v>
      </c>
      <c r="F1184" s="12">
        <v>8</v>
      </c>
      <c r="G1184" s="12">
        <v>8</v>
      </c>
      <c r="H1184" s="10">
        <f t="shared" si="479"/>
        <v>8</v>
      </c>
      <c r="I1184" s="38"/>
      <c r="J1184" s="19" cm="1">
        <f t="array" ref="J1184">IFERROR(IF(_xlfn.XLOOKUP(L1184,NC導入施設!B:B,NC導入施設!E:E)=0,_xlfn.IFS(H1184&lt;=5,0,H1184&lt;=10,1,H1184&lt;=15,2,H1184&gt;=16,3),"Null"),"-")</f>
        <v>1</v>
      </c>
      <c r="K1184" s="61"/>
      <c r="L1184" s="1">
        <v>3716651200</v>
      </c>
    </row>
    <row r="1185" spans="1:12" ht="18" customHeight="1" x14ac:dyDescent="0.45">
      <c r="A1185" s="8">
        <v>1179</v>
      </c>
      <c r="B1185" s="35" t="str">
        <f t="shared" si="489"/>
        <v>西日本第一本部</v>
      </c>
      <c r="C1185" s="35" t="str">
        <f t="shared" si="489"/>
        <v>ラヴィーレ豊中</v>
      </c>
      <c r="D1185" s="9" t="s">
        <v>6</v>
      </c>
      <c r="E1185" s="10">
        <v>3</v>
      </c>
      <c r="F1185" s="12">
        <v>2</v>
      </c>
      <c r="G1185" s="12">
        <v>0.7</v>
      </c>
      <c r="H1185" s="10">
        <f t="shared" si="479"/>
        <v>2</v>
      </c>
      <c r="I1185" s="38"/>
      <c r="J1185" s="19" cm="1">
        <f t="array" ref="J1185">IFERROR(IF(_xlfn.XLOOKUP(L1185,NC導入施設!B:B,NC導入施設!E:E)=0,_xlfn.IFS(H1185&lt;=5,0,H1185&lt;=10,1,H1185&lt;=15,2,H1185&gt;=16,3),"Null"),"-")</f>
        <v>0</v>
      </c>
      <c r="K1185" s="61"/>
      <c r="L1185" s="1">
        <v>3716651200</v>
      </c>
    </row>
    <row r="1186" spans="1:12" ht="18" customHeight="1" x14ac:dyDescent="0.45">
      <c r="A1186" s="8">
        <v>1180</v>
      </c>
      <c r="B1186" s="36" t="str">
        <f t="shared" si="489"/>
        <v>西日本第一本部</v>
      </c>
      <c r="C1186" s="36" t="str">
        <f t="shared" si="489"/>
        <v>ラヴィーレ豊中</v>
      </c>
      <c r="D1186" s="9" t="s">
        <v>2</v>
      </c>
      <c r="E1186" s="10">
        <v>2</v>
      </c>
      <c r="F1186" s="12">
        <v>0</v>
      </c>
      <c r="G1186" s="12">
        <v>0</v>
      </c>
      <c r="H1186" s="10">
        <f t="shared" si="479"/>
        <v>0</v>
      </c>
      <c r="I1186" s="39"/>
      <c r="J1186" s="19" cm="1">
        <f t="array" ref="J1186">IFERROR(IF(_xlfn.XLOOKUP(L1186,NC導入施設!B:B,NC導入施設!E:E)=0,_xlfn.IFS(H1186&lt;=5,0,H1186&lt;=10,1,H1186&lt;=15,2,H1186&gt;=16,3),"Null"),"-")</f>
        <v>0</v>
      </c>
      <c r="K1186" s="62"/>
      <c r="L1186" s="1">
        <v>3716651200</v>
      </c>
    </row>
    <row r="1187" spans="1:12" ht="18" customHeight="1" x14ac:dyDescent="0.45">
      <c r="A1187" s="13">
        <v>1181</v>
      </c>
      <c r="B1187" s="40" t="s">
        <v>85</v>
      </c>
      <c r="C1187" s="40" t="s">
        <v>125</v>
      </c>
      <c r="D1187" s="14" t="s">
        <v>3</v>
      </c>
      <c r="E1187" s="15">
        <v>1</v>
      </c>
      <c r="F1187" s="17">
        <v>3</v>
      </c>
      <c r="G1187" s="17">
        <v>3</v>
      </c>
      <c r="H1187" s="15">
        <f t="shared" si="479"/>
        <v>3</v>
      </c>
      <c r="I1187" s="43" cm="1">
        <f t="array" ref="I1187">IF(J1187="-","-",_xlfn.IFS(K1187&lt;=5,0,K1187&lt;=10,1,K1187&lt;=15,2,K1187&gt;=16,3))</f>
        <v>3</v>
      </c>
      <c r="J1187" s="19" cm="1">
        <f t="array" ref="J1187">IFERROR(IF(_xlfn.XLOOKUP(L1187,NC導入施設!B:B,NC導入施設!E:E)=0,_xlfn.IFS(H1187&lt;=5,0,H1187&lt;=10,1,H1187&lt;=15,2,H1187&gt;=16,3),"Null"),"-")</f>
        <v>0</v>
      </c>
      <c r="K1187" s="60">
        <f t="shared" ref="K1187" si="490">IFERROR(SUM(H1187:H1191),"-")</f>
        <v>21</v>
      </c>
      <c r="L1187" s="1">
        <v>3716661200</v>
      </c>
    </row>
    <row r="1188" spans="1:12" ht="18" customHeight="1" x14ac:dyDescent="0.45">
      <c r="A1188" s="13">
        <v>1182</v>
      </c>
      <c r="B1188" s="41" t="str">
        <f t="shared" ref="B1188:C1191" si="491">B1187</f>
        <v>西日本第一本部</v>
      </c>
      <c r="C1188" s="41" t="str">
        <f t="shared" si="491"/>
        <v>そんぽの家　真田山</v>
      </c>
      <c r="D1188" s="14" t="s">
        <v>4</v>
      </c>
      <c r="E1188" s="15">
        <v>1</v>
      </c>
      <c r="F1188" s="17">
        <v>11</v>
      </c>
      <c r="G1188" s="17">
        <v>11</v>
      </c>
      <c r="H1188" s="15">
        <f t="shared" si="479"/>
        <v>11</v>
      </c>
      <c r="I1188" s="44"/>
      <c r="J1188" s="19" cm="1">
        <f t="array" ref="J1188">IFERROR(IF(_xlfn.XLOOKUP(L1188,NC導入施設!B:B,NC導入施設!E:E)=0,_xlfn.IFS(H1188&lt;=5,0,H1188&lt;=10,1,H1188&lt;=15,2,H1188&gt;=16,3),"Null"),"-")</f>
        <v>2</v>
      </c>
      <c r="K1188" s="61"/>
      <c r="L1188" s="1">
        <v>3716661200</v>
      </c>
    </row>
    <row r="1189" spans="1:12" ht="18" customHeight="1" x14ac:dyDescent="0.45">
      <c r="A1189" s="13">
        <v>1183</v>
      </c>
      <c r="B1189" s="41" t="str">
        <f t="shared" si="491"/>
        <v>西日本第一本部</v>
      </c>
      <c r="C1189" s="41" t="str">
        <f t="shared" si="491"/>
        <v>そんぽの家　真田山</v>
      </c>
      <c r="D1189" s="14" t="s">
        <v>5</v>
      </c>
      <c r="E1189" s="15">
        <v>1</v>
      </c>
      <c r="F1189" s="17">
        <v>0</v>
      </c>
      <c r="G1189" s="17">
        <v>0</v>
      </c>
      <c r="H1189" s="15">
        <f t="shared" si="479"/>
        <v>0</v>
      </c>
      <c r="I1189" s="44"/>
      <c r="J1189" s="19" cm="1">
        <f t="array" ref="J1189">IFERROR(IF(_xlfn.XLOOKUP(L1189,NC導入施設!B:B,NC導入施設!E:E)=0,_xlfn.IFS(H1189&lt;=5,0,H1189&lt;=10,1,H1189&lt;=15,2,H1189&gt;=16,3),"Null"),"-")</f>
        <v>0</v>
      </c>
      <c r="K1189" s="61"/>
      <c r="L1189" s="1">
        <v>3716661200</v>
      </c>
    </row>
    <row r="1190" spans="1:12" ht="18" customHeight="1" x14ac:dyDescent="0.45">
      <c r="A1190" s="13">
        <v>1184</v>
      </c>
      <c r="B1190" s="41" t="str">
        <f t="shared" si="491"/>
        <v>西日本第一本部</v>
      </c>
      <c r="C1190" s="41" t="str">
        <f t="shared" si="491"/>
        <v>そんぽの家　真田山</v>
      </c>
      <c r="D1190" s="14" t="s">
        <v>6</v>
      </c>
      <c r="E1190" s="15">
        <v>2</v>
      </c>
      <c r="F1190" s="17">
        <v>7</v>
      </c>
      <c r="G1190" s="17">
        <v>3.5</v>
      </c>
      <c r="H1190" s="15">
        <f t="shared" si="479"/>
        <v>7</v>
      </c>
      <c r="I1190" s="44"/>
      <c r="J1190" s="19" cm="1">
        <f t="array" ref="J1190">IFERROR(IF(_xlfn.XLOOKUP(L1190,NC導入施設!B:B,NC導入施設!E:E)=0,_xlfn.IFS(H1190&lt;=5,0,H1190&lt;=10,1,H1190&lt;=15,2,H1190&gt;=16,3),"Null"),"-")</f>
        <v>1</v>
      </c>
      <c r="K1190" s="61"/>
      <c r="L1190" s="1">
        <v>3716661200</v>
      </c>
    </row>
    <row r="1191" spans="1:12" ht="18" customHeight="1" x14ac:dyDescent="0.45">
      <c r="A1191" s="13">
        <v>1185</v>
      </c>
      <c r="B1191" s="42" t="str">
        <f t="shared" si="491"/>
        <v>西日本第一本部</v>
      </c>
      <c r="C1191" s="42" t="str">
        <f t="shared" si="491"/>
        <v>そんぽの家　真田山</v>
      </c>
      <c r="D1191" s="14" t="s">
        <v>2</v>
      </c>
      <c r="E1191" s="15">
        <v>2</v>
      </c>
      <c r="F1191" s="17">
        <v>0</v>
      </c>
      <c r="G1191" s="17">
        <v>0</v>
      </c>
      <c r="H1191" s="15">
        <f t="shared" si="479"/>
        <v>0</v>
      </c>
      <c r="I1191" s="45"/>
      <c r="J1191" s="19" cm="1">
        <f t="array" ref="J1191">IFERROR(IF(_xlfn.XLOOKUP(L1191,NC導入施設!B:B,NC導入施設!E:E)=0,_xlfn.IFS(H1191&lt;=5,0,H1191&lt;=10,1,H1191&lt;=15,2,H1191&gt;=16,3),"Null"),"-")</f>
        <v>0</v>
      </c>
      <c r="K1191" s="62"/>
      <c r="L1191" s="1">
        <v>3716661200</v>
      </c>
    </row>
    <row r="1192" spans="1:12" ht="18" customHeight="1" x14ac:dyDescent="0.45">
      <c r="A1192" s="8">
        <v>1186</v>
      </c>
      <c r="B1192" s="34" t="s">
        <v>85</v>
      </c>
      <c r="C1192" s="34" t="s">
        <v>126</v>
      </c>
      <c r="D1192" s="9" t="s">
        <v>3</v>
      </c>
      <c r="E1192" s="10">
        <v>1</v>
      </c>
      <c r="F1192" s="12">
        <v>1</v>
      </c>
      <c r="G1192" s="12">
        <v>1</v>
      </c>
      <c r="H1192" s="10">
        <f t="shared" si="479"/>
        <v>1</v>
      </c>
      <c r="I1192" s="37" cm="1">
        <f t="array" ref="I1192">IF(J1192="-","-",_xlfn.IFS(K1192&lt;=5,0,K1192&lt;=10,1,K1192&lt;=15,2,K1192&gt;=16,3))</f>
        <v>0</v>
      </c>
      <c r="J1192" s="19" cm="1">
        <f t="array" ref="J1192">IFERROR(IF(_xlfn.XLOOKUP(L1192,NC導入施設!B:B,NC導入施設!E:E)=0,_xlfn.IFS(H1192&lt;=5,0,H1192&lt;=10,1,H1192&lt;=15,2,H1192&gt;=16,3),"Null"),"-")</f>
        <v>0</v>
      </c>
      <c r="K1192" s="60">
        <f t="shared" ref="K1192" si="492">IFERROR(SUM(H1192:H1196),"-")</f>
        <v>4</v>
      </c>
      <c r="L1192" s="1">
        <v>3716681200</v>
      </c>
    </row>
    <row r="1193" spans="1:12" ht="18" customHeight="1" x14ac:dyDescent="0.45">
      <c r="A1193" s="8">
        <v>1187</v>
      </c>
      <c r="B1193" s="35" t="str">
        <f t="shared" ref="B1193:C1196" si="493">B1192</f>
        <v>西日本第一本部</v>
      </c>
      <c r="C1193" s="35" t="str">
        <f t="shared" si="493"/>
        <v>そんぽの家　西田辺駅前</v>
      </c>
      <c r="D1193" s="9" t="s">
        <v>4</v>
      </c>
      <c r="E1193" s="10">
        <v>1</v>
      </c>
      <c r="F1193" s="12">
        <v>0</v>
      </c>
      <c r="G1193" s="12">
        <v>0</v>
      </c>
      <c r="H1193" s="10">
        <f t="shared" si="479"/>
        <v>0</v>
      </c>
      <c r="I1193" s="38"/>
      <c r="J1193" s="19" cm="1">
        <f t="array" ref="J1193">IFERROR(IF(_xlfn.XLOOKUP(L1193,NC導入施設!B:B,NC導入施設!E:E)=0,_xlfn.IFS(H1193&lt;=5,0,H1193&lt;=10,1,H1193&lt;=15,2,H1193&gt;=16,3),"Null"),"-")</f>
        <v>0</v>
      </c>
      <c r="K1193" s="61"/>
      <c r="L1193" s="1">
        <v>3716681200</v>
      </c>
    </row>
    <row r="1194" spans="1:12" ht="18" customHeight="1" x14ac:dyDescent="0.45">
      <c r="A1194" s="8">
        <v>1188</v>
      </c>
      <c r="B1194" s="35" t="str">
        <f t="shared" si="493"/>
        <v>西日本第一本部</v>
      </c>
      <c r="C1194" s="35" t="str">
        <f t="shared" si="493"/>
        <v>そんぽの家　西田辺駅前</v>
      </c>
      <c r="D1194" s="9" t="s">
        <v>5</v>
      </c>
      <c r="E1194" s="10">
        <v>1</v>
      </c>
      <c r="F1194" s="12">
        <v>1</v>
      </c>
      <c r="G1194" s="12">
        <v>1</v>
      </c>
      <c r="H1194" s="10">
        <f t="shared" si="479"/>
        <v>1</v>
      </c>
      <c r="I1194" s="38"/>
      <c r="J1194" s="19" cm="1">
        <f t="array" ref="J1194">IFERROR(IF(_xlfn.XLOOKUP(L1194,NC導入施設!B:B,NC導入施設!E:E)=0,_xlfn.IFS(H1194&lt;=5,0,H1194&lt;=10,1,H1194&lt;=15,2,H1194&gt;=16,3),"Null"),"-")</f>
        <v>0</v>
      </c>
      <c r="K1194" s="61"/>
      <c r="L1194" s="1">
        <v>3716681200</v>
      </c>
    </row>
    <row r="1195" spans="1:12" ht="18" customHeight="1" x14ac:dyDescent="0.45">
      <c r="A1195" s="8">
        <v>1189</v>
      </c>
      <c r="B1195" s="35" t="str">
        <f t="shared" si="493"/>
        <v>西日本第一本部</v>
      </c>
      <c r="C1195" s="35" t="str">
        <f t="shared" si="493"/>
        <v>そんぽの家　西田辺駅前</v>
      </c>
      <c r="D1195" s="9" t="s">
        <v>6</v>
      </c>
      <c r="E1195" s="10">
        <v>3</v>
      </c>
      <c r="F1195" s="12">
        <v>0</v>
      </c>
      <c r="G1195" s="12">
        <v>0</v>
      </c>
      <c r="H1195" s="10">
        <f t="shared" si="479"/>
        <v>0</v>
      </c>
      <c r="I1195" s="38"/>
      <c r="J1195" s="19" cm="1">
        <f t="array" ref="J1195">IFERROR(IF(_xlfn.XLOOKUP(L1195,NC導入施設!B:B,NC導入施設!E:E)=0,_xlfn.IFS(H1195&lt;=5,0,H1195&lt;=10,1,H1195&lt;=15,2,H1195&gt;=16,3),"Null"),"-")</f>
        <v>0</v>
      </c>
      <c r="K1195" s="61"/>
      <c r="L1195" s="1">
        <v>3716681200</v>
      </c>
    </row>
    <row r="1196" spans="1:12" ht="18" customHeight="1" x14ac:dyDescent="0.45">
      <c r="A1196" s="8">
        <v>1190</v>
      </c>
      <c r="B1196" s="36" t="str">
        <f t="shared" si="493"/>
        <v>西日本第一本部</v>
      </c>
      <c r="C1196" s="36" t="str">
        <f t="shared" si="493"/>
        <v>そんぽの家　西田辺駅前</v>
      </c>
      <c r="D1196" s="9" t="s">
        <v>2</v>
      </c>
      <c r="E1196" s="10">
        <v>1</v>
      </c>
      <c r="F1196" s="12">
        <v>2</v>
      </c>
      <c r="G1196" s="12">
        <v>2</v>
      </c>
      <c r="H1196" s="10">
        <f t="shared" si="479"/>
        <v>2</v>
      </c>
      <c r="I1196" s="39"/>
      <c r="J1196" s="19" cm="1">
        <f t="array" ref="J1196">IFERROR(IF(_xlfn.XLOOKUP(L1196,NC導入施設!B:B,NC導入施設!E:E)=0,_xlfn.IFS(H1196&lt;=5,0,H1196&lt;=10,1,H1196&lt;=15,2,H1196&gt;=16,3),"Null"),"-")</f>
        <v>0</v>
      </c>
      <c r="K1196" s="62"/>
      <c r="L1196" s="1">
        <v>3716681200</v>
      </c>
    </row>
    <row r="1197" spans="1:12" ht="18" customHeight="1" x14ac:dyDescent="0.45">
      <c r="A1197" s="13">
        <v>1191</v>
      </c>
      <c r="B1197" s="40" t="s">
        <v>85</v>
      </c>
      <c r="C1197" s="40" t="s">
        <v>127</v>
      </c>
      <c r="D1197" s="14" t="s">
        <v>3</v>
      </c>
      <c r="E1197" s="15">
        <v>1</v>
      </c>
      <c r="F1197" s="17">
        <v>9</v>
      </c>
      <c r="G1197" s="17">
        <v>9</v>
      </c>
      <c r="H1197" s="15">
        <f t="shared" si="479"/>
        <v>9</v>
      </c>
      <c r="I1197" s="43" cm="1">
        <f t="array" ref="I1197">IF(J1197="-","-",_xlfn.IFS(K1197&lt;=5,0,K1197&lt;=10,1,K1197&lt;=15,2,K1197&gt;=16,3))</f>
        <v>3</v>
      </c>
      <c r="J1197" s="19" cm="1">
        <f t="array" ref="J1197">IFERROR(IF(_xlfn.XLOOKUP(L1197,NC導入施設!B:B,NC導入施設!E:E)=0,_xlfn.IFS(H1197&lt;=5,0,H1197&lt;=10,1,H1197&lt;=15,2,H1197&gt;=16,3),"Null"),"-")</f>
        <v>1</v>
      </c>
      <c r="K1197" s="60">
        <f t="shared" ref="K1197" si="494">IFERROR(SUM(H1197:H1201),"-")</f>
        <v>62</v>
      </c>
      <c r="L1197" s="1">
        <v>3716691200</v>
      </c>
    </row>
    <row r="1198" spans="1:12" ht="18" customHeight="1" x14ac:dyDescent="0.45">
      <c r="A1198" s="13">
        <v>1192</v>
      </c>
      <c r="B1198" s="41" t="str">
        <f t="shared" ref="B1198:C1201" si="495">B1197</f>
        <v>西日本第一本部</v>
      </c>
      <c r="C1198" s="41" t="str">
        <f t="shared" si="495"/>
        <v>そんぽの家　なんば</v>
      </c>
      <c r="D1198" s="14" t="s">
        <v>4</v>
      </c>
      <c r="E1198" s="15">
        <v>1</v>
      </c>
      <c r="F1198" s="17">
        <v>5</v>
      </c>
      <c r="G1198" s="17">
        <v>5</v>
      </c>
      <c r="H1198" s="15">
        <f t="shared" si="479"/>
        <v>5</v>
      </c>
      <c r="I1198" s="44"/>
      <c r="J1198" s="19" cm="1">
        <f t="array" ref="J1198">IFERROR(IF(_xlfn.XLOOKUP(L1198,NC導入施設!B:B,NC導入施設!E:E)=0,_xlfn.IFS(H1198&lt;=5,0,H1198&lt;=10,1,H1198&lt;=15,2,H1198&gt;=16,3),"Null"),"-")</f>
        <v>0</v>
      </c>
      <c r="K1198" s="61"/>
      <c r="L1198" s="1">
        <v>3716691200</v>
      </c>
    </row>
    <row r="1199" spans="1:12" ht="18" customHeight="1" x14ac:dyDescent="0.45">
      <c r="A1199" s="13">
        <v>1193</v>
      </c>
      <c r="B1199" s="41" t="str">
        <f t="shared" si="495"/>
        <v>西日本第一本部</v>
      </c>
      <c r="C1199" s="41" t="str">
        <f t="shared" si="495"/>
        <v>そんぽの家　なんば</v>
      </c>
      <c r="D1199" s="14" t="s">
        <v>5</v>
      </c>
      <c r="E1199" s="15">
        <v>1</v>
      </c>
      <c r="F1199" s="17">
        <v>17</v>
      </c>
      <c r="G1199" s="17">
        <v>17</v>
      </c>
      <c r="H1199" s="15">
        <f t="shared" si="479"/>
        <v>17</v>
      </c>
      <c r="I1199" s="44"/>
      <c r="J1199" s="19" cm="1">
        <f t="array" ref="J1199">IFERROR(IF(_xlfn.XLOOKUP(L1199,NC導入施設!B:B,NC導入施設!E:E)=0,_xlfn.IFS(H1199&lt;=5,0,H1199&lt;=10,1,H1199&lt;=15,2,H1199&gt;=16,3),"Null"),"-")</f>
        <v>3</v>
      </c>
      <c r="K1199" s="61"/>
      <c r="L1199" s="1">
        <v>3716691200</v>
      </c>
    </row>
    <row r="1200" spans="1:12" ht="18" customHeight="1" x14ac:dyDescent="0.45">
      <c r="A1200" s="13">
        <v>1194</v>
      </c>
      <c r="B1200" s="41" t="str">
        <f t="shared" si="495"/>
        <v>西日本第一本部</v>
      </c>
      <c r="C1200" s="41" t="str">
        <f t="shared" si="495"/>
        <v>そんぽの家　なんば</v>
      </c>
      <c r="D1200" s="14" t="s">
        <v>6</v>
      </c>
      <c r="E1200" s="15">
        <v>3</v>
      </c>
      <c r="F1200" s="17">
        <v>0</v>
      </c>
      <c r="G1200" s="17">
        <v>0</v>
      </c>
      <c r="H1200" s="15">
        <f t="shared" si="479"/>
        <v>0</v>
      </c>
      <c r="I1200" s="44"/>
      <c r="J1200" s="19" cm="1">
        <f t="array" ref="J1200">IFERROR(IF(_xlfn.XLOOKUP(L1200,NC導入施設!B:B,NC導入施設!E:E)=0,_xlfn.IFS(H1200&lt;=5,0,H1200&lt;=10,1,H1200&lt;=15,2,H1200&gt;=16,3),"Null"),"-")</f>
        <v>0</v>
      </c>
      <c r="K1200" s="61"/>
      <c r="L1200" s="1">
        <v>3716691200</v>
      </c>
    </row>
    <row r="1201" spans="1:12" ht="18" customHeight="1" x14ac:dyDescent="0.45">
      <c r="A1201" s="13">
        <v>1195</v>
      </c>
      <c r="B1201" s="42" t="str">
        <f t="shared" si="495"/>
        <v>西日本第一本部</v>
      </c>
      <c r="C1201" s="42" t="str">
        <f t="shared" si="495"/>
        <v>そんぽの家　なんば</v>
      </c>
      <c r="D1201" s="14" t="s">
        <v>2</v>
      </c>
      <c r="E1201" s="15">
        <v>1</v>
      </c>
      <c r="F1201" s="17">
        <v>31</v>
      </c>
      <c r="G1201" s="17">
        <v>31</v>
      </c>
      <c r="H1201" s="15">
        <f t="shared" si="479"/>
        <v>31</v>
      </c>
      <c r="I1201" s="45"/>
      <c r="J1201" s="19" cm="1">
        <f t="array" ref="J1201">IFERROR(IF(_xlfn.XLOOKUP(L1201,NC導入施設!B:B,NC導入施設!E:E)=0,_xlfn.IFS(H1201&lt;=5,0,H1201&lt;=10,1,H1201&lt;=15,2,H1201&gt;=16,3),"Null"),"-")</f>
        <v>3</v>
      </c>
      <c r="K1201" s="62"/>
      <c r="L1201" s="1">
        <v>3716691200</v>
      </c>
    </row>
    <row r="1202" spans="1:12" ht="18" customHeight="1" x14ac:dyDescent="0.45">
      <c r="A1202" s="8">
        <v>1196</v>
      </c>
      <c r="B1202" s="34" t="s">
        <v>85</v>
      </c>
      <c r="C1202" s="34" t="s">
        <v>128</v>
      </c>
      <c r="D1202" s="9" t="s">
        <v>3</v>
      </c>
      <c r="E1202" s="10">
        <v>1</v>
      </c>
      <c r="F1202" s="12">
        <v>9</v>
      </c>
      <c r="G1202" s="12">
        <v>9</v>
      </c>
      <c r="H1202" s="10">
        <f t="shared" si="479"/>
        <v>9</v>
      </c>
      <c r="I1202" s="37" cm="1">
        <f t="array" ref="I1202">IF(J1202="-","-",_xlfn.IFS(K1202&lt;=5,0,K1202&lt;=10,1,K1202&lt;=15,2,K1202&gt;=16,3))</f>
        <v>3</v>
      </c>
      <c r="J1202" s="19" cm="1">
        <f t="array" ref="J1202">IFERROR(IF(_xlfn.XLOOKUP(L1202,NC導入施設!B:B,NC導入施設!E:E)=0,_xlfn.IFS(H1202&lt;=5,0,H1202&lt;=10,1,H1202&lt;=15,2,H1202&gt;=16,3),"Null"),"-")</f>
        <v>1</v>
      </c>
      <c r="K1202" s="60">
        <f t="shared" ref="K1202" si="496">IFERROR(SUM(H1202:H1206),"-")</f>
        <v>50</v>
      </c>
      <c r="L1202" s="1">
        <v>3716701200</v>
      </c>
    </row>
    <row r="1203" spans="1:12" ht="18" customHeight="1" x14ac:dyDescent="0.45">
      <c r="A1203" s="8">
        <v>1197</v>
      </c>
      <c r="B1203" s="35" t="str">
        <f t="shared" ref="B1203:C1206" si="497">B1202</f>
        <v>西日本第一本部</v>
      </c>
      <c r="C1203" s="35" t="str">
        <f t="shared" si="497"/>
        <v>そんぽの家　鶴見緑地</v>
      </c>
      <c r="D1203" s="9" t="s">
        <v>4</v>
      </c>
      <c r="E1203" s="10">
        <v>2</v>
      </c>
      <c r="F1203" s="12">
        <v>15</v>
      </c>
      <c r="G1203" s="12">
        <v>7.5</v>
      </c>
      <c r="H1203" s="10">
        <f t="shared" si="479"/>
        <v>15</v>
      </c>
      <c r="I1203" s="38"/>
      <c r="J1203" s="19" cm="1">
        <f t="array" ref="J1203">IFERROR(IF(_xlfn.XLOOKUP(L1203,NC導入施設!B:B,NC導入施設!E:E)=0,_xlfn.IFS(H1203&lt;=5,0,H1203&lt;=10,1,H1203&lt;=15,2,H1203&gt;=16,3),"Null"),"-")</f>
        <v>2</v>
      </c>
      <c r="K1203" s="61"/>
      <c r="L1203" s="1">
        <v>3716701200</v>
      </c>
    </row>
    <row r="1204" spans="1:12" ht="18" customHeight="1" x14ac:dyDescent="0.45">
      <c r="A1204" s="8">
        <v>1198</v>
      </c>
      <c r="B1204" s="35" t="str">
        <f t="shared" si="497"/>
        <v>西日本第一本部</v>
      </c>
      <c r="C1204" s="35" t="str">
        <f t="shared" si="497"/>
        <v>そんぽの家　鶴見緑地</v>
      </c>
      <c r="D1204" s="9" t="s">
        <v>5</v>
      </c>
      <c r="E1204" s="10">
        <v>1</v>
      </c>
      <c r="F1204" s="12">
        <v>8</v>
      </c>
      <c r="G1204" s="12">
        <v>8</v>
      </c>
      <c r="H1204" s="10">
        <f t="shared" si="479"/>
        <v>8</v>
      </c>
      <c r="I1204" s="38"/>
      <c r="J1204" s="19" cm="1">
        <f t="array" ref="J1204">IFERROR(IF(_xlfn.XLOOKUP(L1204,NC導入施設!B:B,NC導入施設!E:E)=0,_xlfn.IFS(H1204&lt;=5,0,H1204&lt;=10,1,H1204&lt;=15,2,H1204&gt;=16,3),"Null"),"-")</f>
        <v>1</v>
      </c>
      <c r="K1204" s="61"/>
      <c r="L1204" s="1">
        <v>3716701200</v>
      </c>
    </row>
    <row r="1205" spans="1:12" ht="18" customHeight="1" x14ac:dyDescent="0.45">
      <c r="A1205" s="8">
        <v>1199</v>
      </c>
      <c r="B1205" s="35" t="str">
        <f t="shared" si="497"/>
        <v>西日本第一本部</v>
      </c>
      <c r="C1205" s="35" t="str">
        <f t="shared" si="497"/>
        <v>そんぽの家　鶴見緑地</v>
      </c>
      <c r="D1205" s="9" t="s">
        <v>6</v>
      </c>
      <c r="E1205" s="10">
        <v>3</v>
      </c>
      <c r="F1205" s="12">
        <v>1</v>
      </c>
      <c r="G1205" s="12">
        <v>0.3</v>
      </c>
      <c r="H1205" s="10">
        <f t="shared" si="479"/>
        <v>1</v>
      </c>
      <c r="I1205" s="38"/>
      <c r="J1205" s="19" cm="1">
        <f t="array" ref="J1205">IFERROR(IF(_xlfn.XLOOKUP(L1205,NC導入施設!B:B,NC導入施設!E:E)=0,_xlfn.IFS(H1205&lt;=5,0,H1205&lt;=10,1,H1205&lt;=15,2,H1205&gt;=16,3),"Null"),"-")</f>
        <v>0</v>
      </c>
      <c r="K1205" s="61"/>
      <c r="L1205" s="1">
        <v>3716701200</v>
      </c>
    </row>
    <row r="1206" spans="1:12" ht="18" customHeight="1" x14ac:dyDescent="0.45">
      <c r="A1206" s="8">
        <v>1200</v>
      </c>
      <c r="B1206" s="36" t="str">
        <f t="shared" si="497"/>
        <v>西日本第一本部</v>
      </c>
      <c r="C1206" s="36" t="str">
        <f t="shared" si="497"/>
        <v>そんぽの家　鶴見緑地</v>
      </c>
      <c r="D1206" s="9" t="s">
        <v>2</v>
      </c>
      <c r="E1206" s="10">
        <v>2</v>
      </c>
      <c r="F1206" s="12">
        <v>17</v>
      </c>
      <c r="G1206" s="12">
        <v>8.5</v>
      </c>
      <c r="H1206" s="10">
        <f t="shared" si="479"/>
        <v>17</v>
      </c>
      <c r="I1206" s="39"/>
      <c r="J1206" s="19" cm="1">
        <f t="array" ref="J1206">IFERROR(IF(_xlfn.XLOOKUP(L1206,NC導入施設!B:B,NC導入施設!E:E)=0,_xlfn.IFS(H1206&lt;=5,0,H1206&lt;=10,1,H1206&lt;=15,2,H1206&gt;=16,3),"Null"),"-")</f>
        <v>3</v>
      </c>
      <c r="K1206" s="62"/>
      <c r="L1206" s="1">
        <v>3716701200</v>
      </c>
    </row>
    <row r="1207" spans="1:12" ht="18" customHeight="1" x14ac:dyDescent="0.45">
      <c r="A1207" s="13">
        <v>1201</v>
      </c>
      <c r="B1207" s="40" t="s">
        <v>85</v>
      </c>
      <c r="C1207" s="40" t="s">
        <v>313</v>
      </c>
      <c r="D1207" s="14" t="s">
        <v>3</v>
      </c>
      <c r="E1207" s="15">
        <v>1</v>
      </c>
      <c r="F1207" s="17">
        <v>12</v>
      </c>
      <c r="G1207" s="17">
        <v>12</v>
      </c>
      <c r="H1207" s="15">
        <f t="shared" si="479"/>
        <v>12</v>
      </c>
      <c r="I1207" s="43" cm="1">
        <f t="array" ref="I1207">IF(J1207="-","-",_xlfn.IFS(K1207&lt;=5,0,K1207&lt;=10,1,K1207&lt;=15,2,K1207&gt;=16,3))</f>
        <v>3</v>
      </c>
      <c r="J1207" s="19" cm="1">
        <f t="array" ref="J1207">IFERROR(IF(_xlfn.XLOOKUP(L1207,NC導入施設!B:B,NC導入施設!E:E)=0,_xlfn.IFS(H1207&lt;=5,0,H1207&lt;=10,1,H1207&lt;=15,2,H1207&gt;=16,3),"Null"),"-")</f>
        <v>2</v>
      </c>
      <c r="K1207" s="60">
        <f t="shared" ref="K1207" si="498">IFERROR(SUM(H1207:H1211),"-")</f>
        <v>181</v>
      </c>
      <c r="L1207" s="1">
        <v>3716711100</v>
      </c>
    </row>
    <row r="1208" spans="1:12" ht="18" customHeight="1" x14ac:dyDescent="0.45">
      <c r="A1208" s="13">
        <v>1202</v>
      </c>
      <c r="B1208" s="41" t="str">
        <f t="shared" ref="B1208:C1211" si="499">B1207</f>
        <v>西日本第一本部</v>
      </c>
      <c r="C1208" s="41" t="str">
        <f t="shared" si="499"/>
        <v>ラヴィーレ南堀江</v>
      </c>
      <c r="D1208" s="14" t="s">
        <v>4</v>
      </c>
      <c r="E1208" s="15">
        <v>2</v>
      </c>
      <c r="F1208" s="17">
        <v>7</v>
      </c>
      <c r="G1208" s="17">
        <v>3.5</v>
      </c>
      <c r="H1208" s="15">
        <f t="shared" si="479"/>
        <v>7</v>
      </c>
      <c r="I1208" s="44"/>
      <c r="J1208" s="19" cm="1">
        <f t="array" ref="J1208">IFERROR(IF(_xlfn.XLOOKUP(L1208,NC導入施設!B:B,NC導入施設!E:E)=0,_xlfn.IFS(H1208&lt;=5,0,H1208&lt;=10,1,H1208&lt;=15,2,H1208&gt;=16,3),"Null"),"-")</f>
        <v>1</v>
      </c>
      <c r="K1208" s="61"/>
      <c r="L1208" s="1">
        <v>3716711100</v>
      </c>
    </row>
    <row r="1209" spans="1:12" ht="18" customHeight="1" x14ac:dyDescent="0.45">
      <c r="A1209" s="13">
        <v>1203</v>
      </c>
      <c r="B1209" s="41" t="str">
        <f t="shared" si="499"/>
        <v>西日本第一本部</v>
      </c>
      <c r="C1209" s="41" t="str">
        <f t="shared" si="499"/>
        <v>ラヴィーレ南堀江</v>
      </c>
      <c r="D1209" s="14" t="s">
        <v>5</v>
      </c>
      <c r="E1209" s="15">
        <v>3</v>
      </c>
      <c r="F1209" s="17">
        <v>23</v>
      </c>
      <c r="G1209" s="17">
        <v>7.7</v>
      </c>
      <c r="H1209" s="15">
        <f t="shared" si="479"/>
        <v>23</v>
      </c>
      <c r="I1209" s="44"/>
      <c r="J1209" s="19" cm="1">
        <f t="array" ref="J1209">IFERROR(IF(_xlfn.XLOOKUP(L1209,NC導入施設!B:B,NC導入施設!E:E)=0,_xlfn.IFS(H1209&lt;=5,0,H1209&lt;=10,1,H1209&lt;=15,2,H1209&gt;=16,3),"Null"),"-")</f>
        <v>3</v>
      </c>
      <c r="K1209" s="61"/>
      <c r="L1209" s="1">
        <v>3716711100</v>
      </c>
    </row>
    <row r="1210" spans="1:12" ht="18" customHeight="1" x14ac:dyDescent="0.45">
      <c r="A1210" s="13">
        <v>1204</v>
      </c>
      <c r="B1210" s="41" t="str">
        <f t="shared" si="499"/>
        <v>西日本第一本部</v>
      </c>
      <c r="C1210" s="41" t="str">
        <f t="shared" si="499"/>
        <v>ラヴィーレ南堀江</v>
      </c>
      <c r="D1210" s="14" t="s">
        <v>6</v>
      </c>
      <c r="E1210" s="15">
        <v>4</v>
      </c>
      <c r="F1210" s="17">
        <v>16</v>
      </c>
      <c r="G1210" s="17">
        <v>4</v>
      </c>
      <c r="H1210" s="15">
        <f t="shared" si="479"/>
        <v>16</v>
      </c>
      <c r="I1210" s="44"/>
      <c r="J1210" s="19" cm="1">
        <f t="array" ref="J1210">IFERROR(IF(_xlfn.XLOOKUP(L1210,NC導入施設!B:B,NC導入施設!E:E)=0,_xlfn.IFS(H1210&lt;=5,0,H1210&lt;=10,1,H1210&lt;=15,2,H1210&gt;=16,3),"Null"),"-")</f>
        <v>3</v>
      </c>
      <c r="K1210" s="61"/>
      <c r="L1210" s="1">
        <v>3716711100</v>
      </c>
    </row>
    <row r="1211" spans="1:12" ht="18" customHeight="1" x14ac:dyDescent="0.45">
      <c r="A1211" s="13">
        <v>1205</v>
      </c>
      <c r="B1211" s="42" t="str">
        <f t="shared" si="499"/>
        <v>西日本第一本部</v>
      </c>
      <c r="C1211" s="42" t="str">
        <f t="shared" si="499"/>
        <v>ラヴィーレ南堀江</v>
      </c>
      <c r="D1211" s="14" t="s">
        <v>2</v>
      </c>
      <c r="E1211" s="15">
        <v>2</v>
      </c>
      <c r="F1211" s="17">
        <v>123</v>
      </c>
      <c r="G1211" s="17">
        <v>61.5</v>
      </c>
      <c r="H1211" s="15">
        <f t="shared" si="479"/>
        <v>123</v>
      </c>
      <c r="I1211" s="45"/>
      <c r="J1211" s="19" cm="1">
        <f t="array" ref="J1211">IFERROR(IF(_xlfn.XLOOKUP(L1211,NC導入施設!B:B,NC導入施設!E:E)=0,_xlfn.IFS(H1211&lt;=5,0,H1211&lt;=10,1,H1211&lt;=15,2,H1211&gt;=16,3),"Null"),"-")</f>
        <v>3</v>
      </c>
      <c r="K1211" s="62"/>
      <c r="L1211" s="1">
        <v>3716711100</v>
      </c>
    </row>
    <row r="1212" spans="1:12" ht="18" customHeight="1" x14ac:dyDescent="0.45">
      <c r="A1212" s="8">
        <v>1206</v>
      </c>
      <c r="B1212" s="34" t="s">
        <v>85</v>
      </c>
      <c r="C1212" s="34" t="s">
        <v>129</v>
      </c>
      <c r="D1212" s="9" t="s">
        <v>3</v>
      </c>
      <c r="E1212" s="10">
        <v>1</v>
      </c>
      <c r="F1212" s="12">
        <v>16</v>
      </c>
      <c r="G1212" s="12">
        <v>16</v>
      </c>
      <c r="H1212" s="10">
        <f t="shared" si="479"/>
        <v>16</v>
      </c>
      <c r="I1212" s="37" cm="1">
        <f t="array" ref="I1212">IF(J1212="-","-",_xlfn.IFS(K1212&lt;=5,0,K1212&lt;=10,1,K1212&lt;=15,2,K1212&gt;=16,3))</f>
        <v>3</v>
      </c>
      <c r="J1212" s="19" cm="1">
        <f t="array" ref="J1212">IFERROR(IF(_xlfn.XLOOKUP(L1212,NC導入施設!B:B,NC導入施設!E:E)=0,_xlfn.IFS(H1212&lt;=5,0,H1212&lt;=10,1,H1212&lt;=15,2,H1212&gt;=16,3),"Null"),"-")</f>
        <v>3</v>
      </c>
      <c r="K1212" s="60">
        <f t="shared" ref="K1212" si="500">IFERROR(SUM(H1212:H1216),"-")</f>
        <v>41</v>
      </c>
      <c r="L1212" s="1">
        <v>3716721200</v>
      </c>
    </row>
    <row r="1213" spans="1:12" ht="18" customHeight="1" x14ac:dyDescent="0.45">
      <c r="A1213" s="8">
        <v>1207</v>
      </c>
      <c r="B1213" s="35" t="str">
        <f t="shared" ref="B1213:C1216" si="501">B1212</f>
        <v>西日本第一本部</v>
      </c>
      <c r="C1213" s="35" t="str">
        <f t="shared" si="501"/>
        <v>そんぽの家　弁天町</v>
      </c>
      <c r="D1213" s="9" t="s">
        <v>4</v>
      </c>
      <c r="E1213" s="10">
        <v>0</v>
      </c>
      <c r="F1213" s="12">
        <v>0</v>
      </c>
      <c r="G1213" s="12">
        <v>0</v>
      </c>
      <c r="H1213" s="10">
        <f t="shared" si="479"/>
        <v>0</v>
      </c>
      <c r="I1213" s="38"/>
      <c r="J1213" s="19" cm="1">
        <f t="array" ref="J1213">IFERROR(IF(_xlfn.XLOOKUP(L1213,NC導入施設!B:B,NC導入施設!E:E)=0,_xlfn.IFS(H1213&lt;=5,0,H1213&lt;=10,1,H1213&lt;=15,2,H1213&gt;=16,3),"Null"),"-")</f>
        <v>0</v>
      </c>
      <c r="K1213" s="61"/>
      <c r="L1213" s="1">
        <v>3716721200</v>
      </c>
    </row>
    <row r="1214" spans="1:12" ht="18" customHeight="1" x14ac:dyDescent="0.45">
      <c r="A1214" s="8">
        <v>1208</v>
      </c>
      <c r="B1214" s="35" t="str">
        <f t="shared" si="501"/>
        <v>西日本第一本部</v>
      </c>
      <c r="C1214" s="35" t="str">
        <f t="shared" si="501"/>
        <v>そんぽの家　弁天町</v>
      </c>
      <c r="D1214" s="9" t="s">
        <v>5</v>
      </c>
      <c r="E1214" s="10">
        <v>1</v>
      </c>
      <c r="F1214" s="12">
        <v>0</v>
      </c>
      <c r="G1214" s="12">
        <v>0</v>
      </c>
      <c r="H1214" s="10">
        <f t="shared" si="479"/>
        <v>0</v>
      </c>
      <c r="I1214" s="38"/>
      <c r="J1214" s="19" cm="1">
        <f t="array" ref="J1214">IFERROR(IF(_xlfn.XLOOKUP(L1214,NC導入施設!B:B,NC導入施設!E:E)=0,_xlfn.IFS(H1214&lt;=5,0,H1214&lt;=10,1,H1214&lt;=15,2,H1214&gt;=16,3),"Null"),"-")</f>
        <v>0</v>
      </c>
      <c r="K1214" s="61"/>
      <c r="L1214" s="1">
        <v>3716721200</v>
      </c>
    </row>
    <row r="1215" spans="1:12" ht="18" customHeight="1" x14ac:dyDescent="0.45">
      <c r="A1215" s="8">
        <v>1209</v>
      </c>
      <c r="B1215" s="35" t="str">
        <f t="shared" si="501"/>
        <v>西日本第一本部</v>
      </c>
      <c r="C1215" s="35" t="str">
        <f t="shared" si="501"/>
        <v>そんぽの家　弁天町</v>
      </c>
      <c r="D1215" s="9" t="s">
        <v>6</v>
      </c>
      <c r="E1215" s="10">
        <v>2</v>
      </c>
      <c r="F1215" s="12">
        <v>0</v>
      </c>
      <c r="G1215" s="12">
        <v>0</v>
      </c>
      <c r="H1215" s="10">
        <f t="shared" si="479"/>
        <v>0</v>
      </c>
      <c r="I1215" s="38"/>
      <c r="J1215" s="19" cm="1">
        <f t="array" ref="J1215">IFERROR(IF(_xlfn.XLOOKUP(L1215,NC導入施設!B:B,NC導入施設!E:E)=0,_xlfn.IFS(H1215&lt;=5,0,H1215&lt;=10,1,H1215&lt;=15,2,H1215&gt;=16,3),"Null"),"-")</f>
        <v>0</v>
      </c>
      <c r="K1215" s="61"/>
      <c r="L1215" s="1">
        <v>3716721200</v>
      </c>
    </row>
    <row r="1216" spans="1:12" ht="18" customHeight="1" x14ac:dyDescent="0.45">
      <c r="A1216" s="8">
        <v>1210</v>
      </c>
      <c r="B1216" s="36" t="str">
        <f t="shared" si="501"/>
        <v>西日本第一本部</v>
      </c>
      <c r="C1216" s="36" t="str">
        <f t="shared" si="501"/>
        <v>そんぽの家　弁天町</v>
      </c>
      <c r="D1216" s="9" t="s">
        <v>2</v>
      </c>
      <c r="E1216" s="10">
        <v>2</v>
      </c>
      <c r="F1216" s="12">
        <v>25</v>
      </c>
      <c r="G1216" s="12">
        <v>12.5</v>
      </c>
      <c r="H1216" s="10">
        <f t="shared" si="479"/>
        <v>25</v>
      </c>
      <c r="I1216" s="39"/>
      <c r="J1216" s="19" cm="1">
        <f t="array" ref="J1216">IFERROR(IF(_xlfn.XLOOKUP(L1216,NC導入施設!B:B,NC導入施設!E:E)=0,_xlfn.IFS(H1216&lt;=5,0,H1216&lt;=10,1,H1216&lt;=15,2,H1216&gt;=16,3),"Null"),"-")</f>
        <v>3</v>
      </c>
      <c r="K1216" s="62"/>
      <c r="L1216" s="1">
        <v>3716721200</v>
      </c>
    </row>
    <row r="1217" spans="1:12" ht="18" customHeight="1" x14ac:dyDescent="0.45">
      <c r="A1217" s="13">
        <v>1211</v>
      </c>
      <c r="B1217" s="40" t="s">
        <v>85</v>
      </c>
      <c r="C1217" s="40" t="s">
        <v>314</v>
      </c>
      <c r="D1217" s="14" t="s">
        <v>3</v>
      </c>
      <c r="E1217" s="15">
        <v>1</v>
      </c>
      <c r="F1217" s="17">
        <v>14</v>
      </c>
      <c r="G1217" s="17">
        <v>14</v>
      </c>
      <c r="H1217" s="15">
        <f t="shared" si="479"/>
        <v>14</v>
      </c>
      <c r="I1217" s="43" cm="1">
        <f t="array" ref="I1217">IF(J1217="-","-",_xlfn.IFS(K1217&lt;=5,0,K1217&lt;=10,1,K1217&lt;=15,2,K1217&gt;=16,3))</f>
        <v>3</v>
      </c>
      <c r="J1217" s="19" cm="1">
        <f t="array" ref="J1217">IFERROR(IF(_xlfn.XLOOKUP(L1217,NC導入施設!B:B,NC導入施設!E:E)=0,_xlfn.IFS(H1217&lt;=5,0,H1217&lt;=10,1,H1217&lt;=15,2,H1217&gt;=16,3),"Null"),"-")</f>
        <v>2</v>
      </c>
      <c r="K1217" s="60">
        <f t="shared" ref="K1217" si="502">IFERROR(SUM(H1217:H1221),"-")</f>
        <v>61</v>
      </c>
      <c r="L1217" s="1">
        <v>3716731100</v>
      </c>
    </row>
    <row r="1218" spans="1:12" ht="18" customHeight="1" x14ac:dyDescent="0.45">
      <c r="A1218" s="13">
        <v>1212</v>
      </c>
      <c r="B1218" s="41" t="str">
        <f t="shared" ref="B1218:C1221" si="503">B1217</f>
        <v>西日本第一本部</v>
      </c>
      <c r="C1218" s="41" t="str">
        <f t="shared" si="503"/>
        <v>ラヴィーレ弁天町</v>
      </c>
      <c r="D1218" s="14" t="s">
        <v>4</v>
      </c>
      <c r="E1218" s="15">
        <v>2</v>
      </c>
      <c r="F1218" s="17">
        <v>8</v>
      </c>
      <c r="G1218" s="17">
        <v>4</v>
      </c>
      <c r="H1218" s="15">
        <f t="shared" si="479"/>
        <v>8</v>
      </c>
      <c r="I1218" s="44"/>
      <c r="J1218" s="19" cm="1">
        <f t="array" ref="J1218">IFERROR(IF(_xlfn.XLOOKUP(L1218,NC導入施設!B:B,NC導入施設!E:E)=0,_xlfn.IFS(H1218&lt;=5,0,H1218&lt;=10,1,H1218&lt;=15,2,H1218&gt;=16,3),"Null"),"-")</f>
        <v>1</v>
      </c>
      <c r="K1218" s="61"/>
      <c r="L1218" s="1">
        <v>3716731100</v>
      </c>
    </row>
    <row r="1219" spans="1:12" ht="18" customHeight="1" x14ac:dyDescent="0.45">
      <c r="A1219" s="13">
        <v>1213</v>
      </c>
      <c r="B1219" s="41" t="str">
        <f t="shared" si="503"/>
        <v>西日本第一本部</v>
      </c>
      <c r="C1219" s="41" t="str">
        <f t="shared" si="503"/>
        <v>ラヴィーレ弁天町</v>
      </c>
      <c r="D1219" s="14" t="s">
        <v>5</v>
      </c>
      <c r="E1219" s="15">
        <v>2</v>
      </c>
      <c r="F1219" s="17">
        <v>19</v>
      </c>
      <c r="G1219" s="17">
        <v>9.5</v>
      </c>
      <c r="H1219" s="15">
        <f t="shared" si="479"/>
        <v>19</v>
      </c>
      <c r="I1219" s="44"/>
      <c r="J1219" s="19" cm="1">
        <f t="array" ref="J1219">IFERROR(IF(_xlfn.XLOOKUP(L1219,NC導入施設!B:B,NC導入施設!E:E)=0,_xlfn.IFS(H1219&lt;=5,0,H1219&lt;=10,1,H1219&lt;=15,2,H1219&gt;=16,3),"Null"),"-")</f>
        <v>3</v>
      </c>
      <c r="K1219" s="61"/>
      <c r="L1219" s="1">
        <v>3716731100</v>
      </c>
    </row>
    <row r="1220" spans="1:12" ht="18" customHeight="1" x14ac:dyDescent="0.45">
      <c r="A1220" s="13">
        <v>1214</v>
      </c>
      <c r="B1220" s="41" t="str">
        <f t="shared" si="503"/>
        <v>西日本第一本部</v>
      </c>
      <c r="C1220" s="41" t="str">
        <f t="shared" si="503"/>
        <v>ラヴィーレ弁天町</v>
      </c>
      <c r="D1220" s="14" t="s">
        <v>6</v>
      </c>
      <c r="E1220" s="15">
        <v>7</v>
      </c>
      <c r="F1220" s="17">
        <v>0</v>
      </c>
      <c r="G1220" s="17">
        <v>0</v>
      </c>
      <c r="H1220" s="15">
        <f t="shared" si="479"/>
        <v>0</v>
      </c>
      <c r="I1220" s="44"/>
      <c r="J1220" s="19" cm="1">
        <f t="array" ref="J1220">IFERROR(IF(_xlfn.XLOOKUP(L1220,NC導入施設!B:B,NC導入施設!E:E)=0,_xlfn.IFS(H1220&lt;=5,0,H1220&lt;=10,1,H1220&lt;=15,2,H1220&gt;=16,3),"Null"),"-")</f>
        <v>0</v>
      </c>
      <c r="K1220" s="61"/>
      <c r="L1220" s="1">
        <v>3716731100</v>
      </c>
    </row>
    <row r="1221" spans="1:12" ht="18" customHeight="1" x14ac:dyDescent="0.45">
      <c r="A1221" s="13">
        <v>1215</v>
      </c>
      <c r="B1221" s="42" t="str">
        <f t="shared" si="503"/>
        <v>西日本第一本部</v>
      </c>
      <c r="C1221" s="42" t="str">
        <f t="shared" si="503"/>
        <v>ラヴィーレ弁天町</v>
      </c>
      <c r="D1221" s="14" t="s">
        <v>2</v>
      </c>
      <c r="E1221" s="15">
        <v>3</v>
      </c>
      <c r="F1221" s="17">
        <v>20</v>
      </c>
      <c r="G1221" s="17">
        <v>6.7</v>
      </c>
      <c r="H1221" s="15">
        <f t="shared" si="479"/>
        <v>20</v>
      </c>
      <c r="I1221" s="45"/>
      <c r="J1221" s="19" cm="1">
        <f t="array" ref="J1221">IFERROR(IF(_xlfn.XLOOKUP(L1221,NC導入施設!B:B,NC導入施設!E:E)=0,_xlfn.IFS(H1221&lt;=5,0,H1221&lt;=10,1,H1221&lt;=15,2,H1221&gt;=16,3),"Null"),"-")</f>
        <v>3</v>
      </c>
      <c r="K1221" s="62"/>
      <c r="L1221" s="1">
        <v>3716731100</v>
      </c>
    </row>
    <row r="1222" spans="1:12" ht="18" customHeight="1" x14ac:dyDescent="0.45">
      <c r="A1222" s="8">
        <v>1216</v>
      </c>
      <c r="B1222" s="34" t="s">
        <v>85</v>
      </c>
      <c r="C1222" s="34" t="s">
        <v>130</v>
      </c>
      <c r="D1222" s="9" t="s">
        <v>3</v>
      </c>
      <c r="E1222" s="10">
        <v>1</v>
      </c>
      <c r="F1222" s="12">
        <v>4</v>
      </c>
      <c r="G1222" s="12">
        <v>4</v>
      </c>
      <c r="H1222" s="10">
        <f t="shared" si="479"/>
        <v>4</v>
      </c>
      <c r="I1222" s="37" cm="1">
        <f t="array" ref="I1222">IF(J1222="-","-",_xlfn.IFS(K1222&lt;=5,0,K1222&lt;=10,1,K1222&lt;=15,2,K1222&gt;=16,3))</f>
        <v>3</v>
      </c>
      <c r="J1222" s="19" cm="1">
        <f t="array" ref="J1222">IFERROR(IF(_xlfn.XLOOKUP(L1222,NC導入施設!B:B,NC導入施設!E:E)=0,_xlfn.IFS(H1222&lt;=5,0,H1222&lt;=10,1,H1222&lt;=15,2,H1222&gt;=16,3),"Null"),"-")</f>
        <v>0</v>
      </c>
      <c r="K1222" s="60">
        <f t="shared" ref="K1222" si="504">IFERROR(SUM(H1222:H1226),"-")</f>
        <v>28</v>
      </c>
      <c r="L1222" s="1">
        <v>3716771200</v>
      </c>
    </row>
    <row r="1223" spans="1:12" ht="18" customHeight="1" x14ac:dyDescent="0.45">
      <c r="A1223" s="8">
        <v>1217</v>
      </c>
      <c r="B1223" s="35" t="str">
        <f t="shared" ref="B1223:C1226" si="505">B1222</f>
        <v>西日本第一本部</v>
      </c>
      <c r="C1223" s="35" t="str">
        <f t="shared" si="505"/>
        <v>そんぽの家　住道</v>
      </c>
      <c r="D1223" s="9" t="s">
        <v>4</v>
      </c>
      <c r="E1223" s="10">
        <v>1</v>
      </c>
      <c r="F1223" s="12">
        <v>7</v>
      </c>
      <c r="G1223" s="12">
        <v>7</v>
      </c>
      <c r="H1223" s="10">
        <f t="shared" si="479"/>
        <v>7</v>
      </c>
      <c r="I1223" s="38"/>
      <c r="J1223" s="19" cm="1">
        <f t="array" ref="J1223">IFERROR(IF(_xlfn.XLOOKUP(L1223,NC導入施設!B:B,NC導入施設!E:E)=0,_xlfn.IFS(H1223&lt;=5,0,H1223&lt;=10,1,H1223&lt;=15,2,H1223&gt;=16,3),"Null"),"-")</f>
        <v>1</v>
      </c>
      <c r="K1223" s="61"/>
      <c r="L1223" s="1">
        <v>3716771200</v>
      </c>
    </row>
    <row r="1224" spans="1:12" ht="18" customHeight="1" x14ac:dyDescent="0.45">
      <c r="A1224" s="8">
        <v>1218</v>
      </c>
      <c r="B1224" s="35" t="str">
        <f t="shared" si="505"/>
        <v>西日本第一本部</v>
      </c>
      <c r="C1224" s="35" t="str">
        <f t="shared" si="505"/>
        <v>そんぽの家　住道</v>
      </c>
      <c r="D1224" s="9" t="s">
        <v>5</v>
      </c>
      <c r="E1224" s="10">
        <v>2</v>
      </c>
      <c r="F1224" s="12">
        <v>7</v>
      </c>
      <c r="G1224" s="12">
        <v>3.5</v>
      </c>
      <c r="H1224" s="10">
        <f t="shared" ref="H1224:H1287" si="506">F1224</f>
        <v>7</v>
      </c>
      <c r="I1224" s="38"/>
      <c r="J1224" s="19" cm="1">
        <f t="array" ref="J1224">IFERROR(IF(_xlfn.XLOOKUP(L1224,NC導入施設!B:B,NC導入施設!E:E)=0,_xlfn.IFS(H1224&lt;=5,0,H1224&lt;=10,1,H1224&lt;=15,2,H1224&gt;=16,3),"Null"),"-")</f>
        <v>1</v>
      </c>
      <c r="K1224" s="61"/>
      <c r="L1224" s="1">
        <v>3716771200</v>
      </c>
    </row>
    <row r="1225" spans="1:12" ht="18" customHeight="1" x14ac:dyDescent="0.45">
      <c r="A1225" s="8">
        <v>1219</v>
      </c>
      <c r="B1225" s="35" t="str">
        <f t="shared" si="505"/>
        <v>西日本第一本部</v>
      </c>
      <c r="C1225" s="35" t="str">
        <f t="shared" si="505"/>
        <v>そんぽの家　住道</v>
      </c>
      <c r="D1225" s="9" t="s">
        <v>6</v>
      </c>
      <c r="E1225" s="10">
        <v>3</v>
      </c>
      <c r="F1225" s="12">
        <v>0</v>
      </c>
      <c r="G1225" s="12">
        <v>0</v>
      </c>
      <c r="H1225" s="10">
        <f t="shared" si="506"/>
        <v>0</v>
      </c>
      <c r="I1225" s="38"/>
      <c r="J1225" s="19" cm="1">
        <f t="array" ref="J1225">IFERROR(IF(_xlfn.XLOOKUP(L1225,NC導入施設!B:B,NC導入施設!E:E)=0,_xlfn.IFS(H1225&lt;=5,0,H1225&lt;=10,1,H1225&lt;=15,2,H1225&gt;=16,3),"Null"),"-")</f>
        <v>0</v>
      </c>
      <c r="K1225" s="61"/>
      <c r="L1225" s="1">
        <v>3716771200</v>
      </c>
    </row>
    <row r="1226" spans="1:12" ht="18" customHeight="1" x14ac:dyDescent="0.45">
      <c r="A1226" s="8">
        <v>1220</v>
      </c>
      <c r="B1226" s="36" t="str">
        <f t="shared" si="505"/>
        <v>西日本第一本部</v>
      </c>
      <c r="C1226" s="36" t="str">
        <f t="shared" si="505"/>
        <v>そんぽの家　住道</v>
      </c>
      <c r="D1226" s="9" t="s">
        <v>2</v>
      </c>
      <c r="E1226" s="10">
        <v>1</v>
      </c>
      <c r="F1226" s="12">
        <v>10</v>
      </c>
      <c r="G1226" s="12">
        <v>10</v>
      </c>
      <c r="H1226" s="10">
        <f t="shared" si="506"/>
        <v>10</v>
      </c>
      <c r="I1226" s="39"/>
      <c r="J1226" s="19" cm="1">
        <f t="array" ref="J1226">IFERROR(IF(_xlfn.XLOOKUP(L1226,NC導入施設!B:B,NC導入施設!E:E)=0,_xlfn.IFS(H1226&lt;=5,0,H1226&lt;=10,1,H1226&lt;=15,2,H1226&gt;=16,3),"Null"),"-")</f>
        <v>1</v>
      </c>
      <c r="K1226" s="62"/>
      <c r="L1226" s="1">
        <v>3716771200</v>
      </c>
    </row>
    <row r="1227" spans="1:12" ht="18" customHeight="1" x14ac:dyDescent="0.45">
      <c r="A1227" s="13">
        <v>1221</v>
      </c>
      <c r="B1227" s="40" t="s">
        <v>85</v>
      </c>
      <c r="C1227" s="40" t="s">
        <v>131</v>
      </c>
      <c r="D1227" s="14" t="s">
        <v>3</v>
      </c>
      <c r="E1227" s="15">
        <v>1</v>
      </c>
      <c r="F1227" s="17">
        <v>5</v>
      </c>
      <c r="G1227" s="17">
        <v>5</v>
      </c>
      <c r="H1227" s="15">
        <f t="shared" si="506"/>
        <v>5</v>
      </c>
      <c r="I1227" s="43" cm="1">
        <f t="array" ref="I1227">IF(J1227="-","-",_xlfn.IFS(K1227&lt;=5,0,K1227&lt;=10,1,K1227&lt;=15,2,K1227&gt;=16,3))</f>
        <v>3</v>
      </c>
      <c r="J1227" s="19" cm="1">
        <f t="array" ref="J1227">IFERROR(IF(_xlfn.XLOOKUP(L1227,NC導入施設!B:B,NC導入施設!E:E)=0,_xlfn.IFS(H1227&lt;=5,0,H1227&lt;=10,1,H1227&lt;=15,2,H1227&gt;=16,3),"Null"),"-")</f>
        <v>0</v>
      </c>
      <c r="K1227" s="60">
        <f t="shared" ref="K1227" si="507">IFERROR(SUM(H1227:H1231),"-")</f>
        <v>86</v>
      </c>
      <c r="L1227" s="1">
        <v>3716791200</v>
      </c>
    </row>
    <row r="1228" spans="1:12" ht="18" customHeight="1" x14ac:dyDescent="0.45">
      <c r="A1228" s="13">
        <v>1222</v>
      </c>
      <c r="B1228" s="41" t="str">
        <f t="shared" ref="B1228:C1231" si="508">B1227</f>
        <v>西日本第一本部</v>
      </c>
      <c r="C1228" s="41" t="str">
        <f t="shared" si="508"/>
        <v>そんぽの家　天下茶屋駅前</v>
      </c>
      <c r="D1228" s="14" t="s">
        <v>4</v>
      </c>
      <c r="E1228" s="15">
        <v>1</v>
      </c>
      <c r="F1228" s="17">
        <v>12</v>
      </c>
      <c r="G1228" s="17">
        <v>12</v>
      </c>
      <c r="H1228" s="15">
        <f t="shared" si="506"/>
        <v>12</v>
      </c>
      <c r="I1228" s="44"/>
      <c r="J1228" s="19" cm="1">
        <f t="array" ref="J1228">IFERROR(IF(_xlfn.XLOOKUP(L1228,NC導入施設!B:B,NC導入施設!E:E)=0,_xlfn.IFS(H1228&lt;=5,0,H1228&lt;=10,1,H1228&lt;=15,2,H1228&gt;=16,3),"Null"),"-")</f>
        <v>2</v>
      </c>
      <c r="K1228" s="61"/>
      <c r="L1228" s="1">
        <v>3716791200</v>
      </c>
    </row>
    <row r="1229" spans="1:12" ht="18" customHeight="1" x14ac:dyDescent="0.45">
      <c r="A1229" s="13">
        <v>1223</v>
      </c>
      <c r="B1229" s="41" t="str">
        <f t="shared" si="508"/>
        <v>西日本第一本部</v>
      </c>
      <c r="C1229" s="41" t="str">
        <f t="shared" si="508"/>
        <v>そんぽの家　天下茶屋駅前</v>
      </c>
      <c r="D1229" s="14" t="s">
        <v>5</v>
      </c>
      <c r="E1229" s="15">
        <v>2</v>
      </c>
      <c r="F1229" s="17">
        <v>5</v>
      </c>
      <c r="G1229" s="17">
        <v>2.5</v>
      </c>
      <c r="H1229" s="15">
        <f t="shared" si="506"/>
        <v>5</v>
      </c>
      <c r="I1229" s="44"/>
      <c r="J1229" s="19" cm="1">
        <f t="array" ref="J1229">IFERROR(IF(_xlfn.XLOOKUP(L1229,NC導入施設!B:B,NC導入施設!E:E)=0,_xlfn.IFS(H1229&lt;=5,0,H1229&lt;=10,1,H1229&lt;=15,2,H1229&gt;=16,3),"Null"),"-")</f>
        <v>0</v>
      </c>
      <c r="K1229" s="61"/>
      <c r="L1229" s="1">
        <v>3716791200</v>
      </c>
    </row>
    <row r="1230" spans="1:12" ht="18" customHeight="1" x14ac:dyDescent="0.45">
      <c r="A1230" s="13">
        <v>1224</v>
      </c>
      <c r="B1230" s="41" t="str">
        <f t="shared" si="508"/>
        <v>西日本第一本部</v>
      </c>
      <c r="C1230" s="41" t="str">
        <f t="shared" si="508"/>
        <v>そんぽの家　天下茶屋駅前</v>
      </c>
      <c r="D1230" s="14" t="s">
        <v>6</v>
      </c>
      <c r="E1230" s="15">
        <v>3</v>
      </c>
      <c r="F1230" s="17">
        <v>0</v>
      </c>
      <c r="G1230" s="17">
        <v>0</v>
      </c>
      <c r="H1230" s="15">
        <f t="shared" si="506"/>
        <v>0</v>
      </c>
      <c r="I1230" s="44"/>
      <c r="J1230" s="19" cm="1">
        <f t="array" ref="J1230">IFERROR(IF(_xlfn.XLOOKUP(L1230,NC導入施設!B:B,NC導入施設!E:E)=0,_xlfn.IFS(H1230&lt;=5,0,H1230&lt;=10,1,H1230&lt;=15,2,H1230&gt;=16,3),"Null"),"-")</f>
        <v>0</v>
      </c>
      <c r="K1230" s="61"/>
      <c r="L1230" s="1">
        <v>3716791200</v>
      </c>
    </row>
    <row r="1231" spans="1:12" ht="18" customHeight="1" x14ac:dyDescent="0.45">
      <c r="A1231" s="13">
        <v>1225</v>
      </c>
      <c r="B1231" s="42" t="str">
        <f t="shared" si="508"/>
        <v>西日本第一本部</v>
      </c>
      <c r="C1231" s="42" t="str">
        <f t="shared" si="508"/>
        <v>そんぽの家　天下茶屋駅前</v>
      </c>
      <c r="D1231" s="14" t="s">
        <v>2</v>
      </c>
      <c r="E1231" s="15">
        <v>1</v>
      </c>
      <c r="F1231" s="17">
        <v>64</v>
      </c>
      <c r="G1231" s="17">
        <v>64</v>
      </c>
      <c r="H1231" s="15">
        <f t="shared" si="506"/>
        <v>64</v>
      </c>
      <c r="I1231" s="45"/>
      <c r="J1231" s="19" cm="1">
        <f t="array" ref="J1231">IFERROR(IF(_xlfn.XLOOKUP(L1231,NC導入施設!B:B,NC導入施設!E:E)=0,_xlfn.IFS(H1231&lt;=5,0,H1231&lt;=10,1,H1231&lt;=15,2,H1231&gt;=16,3),"Null"),"-")</f>
        <v>3</v>
      </c>
      <c r="K1231" s="62"/>
      <c r="L1231" s="1">
        <v>3716791200</v>
      </c>
    </row>
    <row r="1232" spans="1:12" ht="18" customHeight="1" x14ac:dyDescent="0.45">
      <c r="A1232" s="8">
        <v>1226</v>
      </c>
      <c r="B1232" s="34" t="s">
        <v>85</v>
      </c>
      <c r="C1232" s="34" t="s">
        <v>132</v>
      </c>
      <c r="D1232" s="9" t="s">
        <v>3</v>
      </c>
      <c r="E1232" s="10">
        <v>1</v>
      </c>
      <c r="F1232" s="12">
        <v>0</v>
      </c>
      <c r="G1232" s="12">
        <v>0</v>
      </c>
      <c r="H1232" s="10">
        <f t="shared" si="506"/>
        <v>0</v>
      </c>
      <c r="I1232" s="37" cm="1">
        <f t="array" ref="I1232">IF(J1232="-","-",_xlfn.IFS(K1232&lt;=5,0,K1232&lt;=10,1,K1232&lt;=15,2,K1232&gt;=16,3))</f>
        <v>2</v>
      </c>
      <c r="J1232" s="19" cm="1">
        <f t="array" ref="J1232">IFERROR(IF(_xlfn.XLOOKUP(L1232,NC導入施設!B:B,NC導入施設!E:E)=0,_xlfn.IFS(H1232&lt;=5,0,H1232&lt;=10,1,H1232&lt;=15,2,H1232&gt;=16,3),"Null"),"-")</f>
        <v>0</v>
      </c>
      <c r="K1232" s="60">
        <f t="shared" ref="K1232" si="509">IFERROR(SUM(H1232:H1236),"-")</f>
        <v>12</v>
      </c>
      <c r="L1232" s="1">
        <v>3716801200</v>
      </c>
    </row>
    <row r="1233" spans="1:12" ht="18" customHeight="1" x14ac:dyDescent="0.45">
      <c r="A1233" s="8">
        <v>1227</v>
      </c>
      <c r="B1233" s="35" t="str">
        <f t="shared" ref="B1233:C1236" si="510">B1232</f>
        <v>西日本第一本部</v>
      </c>
      <c r="C1233" s="35" t="str">
        <f t="shared" si="510"/>
        <v>そんぽの家　岸里</v>
      </c>
      <c r="D1233" s="9" t="s">
        <v>4</v>
      </c>
      <c r="E1233" s="10">
        <v>1</v>
      </c>
      <c r="F1233" s="12">
        <v>1</v>
      </c>
      <c r="G1233" s="12">
        <v>1</v>
      </c>
      <c r="H1233" s="10">
        <f t="shared" si="506"/>
        <v>1</v>
      </c>
      <c r="I1233" s="38"/>
      <c r="J1233" s="19" cm="1">
        <f t="array" ref="J1233">IFERROR(IF(_xlfn.XLOOKUP(L1233,NC導入施設!B:B,NC導入施設!E:E)=0,_xlfn.IFS(H1233&lt;=5,0,H1233&lt;=10,1,H1233&lt;=15,2,H1233&gt;=16,3),"Null"),"-")</f>
        <v>0</v>
      </c>
      <c r="K1233" s="61"/>
      <c r="L1233" s="1">
        <v>3716801200</v>
      </c>
    </row>
    <row r="1234" spans="1:12" ht="18" customHeight="1" x14ac:dyDescent="0.45">
      <c r="A1234" s="8">
        <v>1228</v>
      </c>
      <c r="B1234" s="35" t="str">
        <f t="shared" si="510"/>
        <v>西日本第一本部</v>
      </c>
      <c r="C1234" s="35" t="str">
        <f t="shared" si="510"/>
        <v>そんぽの家　岸里</v>
      </c>
      <c r="D1234" s="9" t="s">
        <v>5</v>
      </c>
      <c r="E1234" s="10">
        <v>1</v>
      </c>
      <c r="F1234" s="12">
        <v>0</v>
      </c>
      <c r="G1234" s="12">
        <v>0</v>
      </c>
      <c r="H1234" s="10">
        <f t="shared" si="506"/>
        <v>0</v>
      </c>
      <c r="I1234" s="38"/>
      <c r="J1234" s="19" cm="1">
        <f t="array" ref="J1234">IFERROR(IF(_xlfn.XLOOKUP(L1234,NC導入施設!B:B,NC導入施設!E:E)=0,_xlfn.IFS(H1234&lt;=5,0,H1234&lt;=10,1,H1234&lt;=15,2,H1234&gt;=16,3),"Null"),"-")</f>
        <v>0</v>
      </c>
      <c r="K1234" s="61"/>
      <c r="L1234" s="1">
        <v>3716801200</v>
      </c>
    </row>
    <row r="1235" spans="1:12" ht="18" customHeight="1" x14ac:dyDescent="0.45">
      <c r="A1235" s="8">
        <v>1229</v>
      </c>
      <c r="B1235" s="35" t="str">
        <f t="shared" si="510"/>
        <v>西日本第一本部</v>
      </c>
      <c r="C1235" s="35" t="str">
        <f t="shared" si="510"/>
        <v>そんぽの家　岸里</v>
      </c>
      <c r="D1235" s="9" t="s">
        <v>6</v>
      </c>
      <c r="E1235" s="10">
        <v>3</v>
      </c>
      <c r="F1235" s="12">
        <v>0</v>
      </c>
      <c r="G1235" s="12">
        <v>0</v>
      </c>
      <c r="H1235" s="10">
        <f t="shared" si="506"/>
        <v>0</v>
      </c>
      <c r="I1235" s="38"/>
      <c r="J1235" s="19" cm="1">
        <f t="array" ref="J1235">IFERROR(IF(_xlfn.XLOOKUP(L1235,NC導入施設!B:B,NC導入施設!E:E)=0,_xlfn.IFS(H1235&lt;=5,0,H1235&lt;=10,1,H1235&lt;=15,2,H1235&gt;=16,3),"Null"),"-")</f>
        <v>0</v>
      </c>
      <c r="K1235" s="61"/>
      <c r="L1235" s="1">
        <v>3716801200</v>
      </c>
    </row>
    <row r="1236" spans="1:12" ht="18" customHeight="1" x14ac:dyDescent="0.45">
      <c r="A1236" s="8">
        <v>1230</v>
      </c>
      <c r="B1236" s="36" t="str">
        <f t="shared" si="510"/>
        <v>西日本第一本部</v>
      </c>
      <c r="C1236" s="36" t="str">
        <f t="shared" si="510"/>
        <v>そんぽの家　岸里</v>
      </c>
      <c r="D1236" s="9" t="s">
        <v>2</v>
      </c>
      <c r="E1236" s="10">
        <v>2</v>
      </c>
      <c r="F1236" s="12">
        <v>11</v>
      </c>
      <c r="G1236" s="12">
        <v>5.5</v>
      </c>
      <c r="H1236" s="10">
        <f t="shared" si="506"/>
        <v>11</v>
      </c>
      <c r="I1236" s="39"/>
      <c r="J1236" s="19" cm="1">
        <f t="array" ref="J1236">IFERROR(IF(_xlfn.XLOOKUP(L1236,NC導入施設!B:B,NC導入施設!E:E)=0,_xlfn.IFS(H1236&lt;=5,0,H1236&lt;=10,1,H1236&lt;=15,2,H1236&gt;=16,3),"Null"),"-")</f>
        <v>2</v>
      </c>
      <c r="K1236" s="62"/>
      <c r="L1236" s="1">
        <v>3716801200</v>
      </c>
    </row>
    <row r="1237" spans="1:12" ht="18" customHeight="1" x14ac:dyDescent="0.45">
      <c r="A1237" s="13">
        <v>1231</v>
      </c>
      <c r="B1237" s="40" t="s">
        <v>85</v>
      </c>
      <c r="C1237" s="40" t="s">
        <v>133</v>
      </c>
      <c r="D1237" s="14" t="s">
        <v>3</v>
      </c>
      <c r="E1237" s="15">
        <v>1</v>
      </c>
      <c r="F1237" s="17">
        <v>0</v>
      </c>
      <c r="G1237" s="17">
        <v>0</v>
      </c>
      <c r="H1237" s="15">
        <f t="shared" si="506"/>
        <v>0</v>
      </c>
      <c r="I1237" s="43" cm="1">
        <f t="array" ref="I1237">IF(J1237="-","-",_xlfn.IFS(K1237&lt;=5,0,K1237&lt;=10,1,K1237&lt;=15,2,K1237&gt;=16,3))</f>
        <v>1</v>
      </c>
      <c r="J1237" s="19" cm="1">
        <f t="array" ref="J1237">IFERROR(IF(_xlfn.XLOOKUP(L1237,NC導入施設!B:B,NC導入施設!E:E)=0,_xlfn.IFS(H1237&lt;=5,0,H1237&lt;=10,1,H1237&lt;=15,2,H1237&gt;=16,3),"Null"),"-")</f>
        <v>0</v>
      </c>
      <c r="K1237" s="60">
        <f t="shared" ref="K1237" si="511">IFERROR(SUM(H1237:H1241),"-")</f>
        <v>6</v>
      </c>
      <c r="L1237" s="1">
        <v>3716811200</v>
      </c>
    </row>
    <row r="1238" spans="1:12" ht="18" customHeight="1" x14ac:dyDescent="0.45">
      <c r="A1238" s="13">
        <v>1232</v>
      </c>
      <c r="B1238" s="41" t="str">
        <f t="shared" ref="B1238:C1241" si="512">B1237</f>
        <v>西日本第一本部</v>
      </c>
      <c r="C1238" s="41" t="str">
        <f t="shared" si="512"/>
        <v>そんぽの家　加島駅前</v>
      </c>
      <c r="D1238" s="14" t="s">
        <v>4</v>
      </c>
      <c r="E1238" s="15">
        <v>1</v>
      </c>
      <c r="F1238" s="17">
        <v>1</v>
      </c>
      <c r="G1238" s="17">
        <v>1</v>
      </c>
      <c r="H1238" s="15">
        <f t="shared" si="506"/>
        <v>1</v>
      </c>
      <c r="I1238" s="44"/>
      <c r="J1238" s="19" cm="1">
        <f t="array" ref="J1238">IFERROR(IF(_xlfn.XLOOKUP(L1238,NC導入施設!B:B,NC導入施設!E:E)=0,_xlfn.IFS(H1238&lt;=5,0,H1238&lt;=10,1,H1238&lt;=15,2,H1238&gt;=16,3),"Null"),"-")</f>
        <v>0</v>
      </c>
      <c r="K1238" s="61"/>
      <c r="L1238" s="1">
        <v>3716811200</v>
      </c>
    </row>
    <row r="1239" spans="1:12" ht="18" customHeight="1" x14ac:dyDescent="0.45">
      <c r="A1239" s="13">
        <v>1233</v>
      </c>
      <c r="B1239" s="41" t="str">
        <f t="shared" si="512"/>
        <v>西日本第一本部</v>
      </c>
      <c r="C1239" s="41" t="str">
        <f t="shared" si="512"/>
        <v>そんぽの家　加島駅前</v>
      </c>
      <c r="D1239" s="14" t="s">
        <v>5</v>
      </c>
      <c r="E1239" s="15">
        <v>1</v>
      </c>
      <c r="F1239" s="17">
        <v>5</v>
      </c>
      <c r="G1239" s="17">
        <v>5</v>
      </c>
      <c r="H1239" s="15">
        <f t="shared" si="506"/>
        <v>5</v>
      </c>
      <c r="I1239" s="44"/>
      <c r="J1239" s="19" cm="1">
        <f t="array" ref="J1239">IFERROR(IF(_xlfn.XLOOKUP(L1239,NC導入施設!B:B,NC導入施設!E:E)=0,_xlfn.IFS(H1239&lt;=5,0,H1239&lt;=10,1,H1239&lt;=15,2,H1239&gt;=16,3),"Null"),"-")</f>
        <v>0</v>
      </c>
      <c r="K1239" s="61"/>
      <c r="L1239" s="1">
        <v>3716811200</v>
      </c>
    </row>
    <row r="1240" spans="1:12" ht="18" customHeight="1" x14ac:dyDescent="0.45">
      <c r="A1240" s="13">
        <v>1234</v>
      </c>
      <c r="B1240" s="41" t="str">
        <f t="shared" si="512"/>
        <v>西日本第一本部</v>
      </c>
      <c r="C1240" s="41" t="str">
        <f t="shared" si="512"/>
        <v>そんぽの家　加島駅前</v>
      </c>
      <c r="D1240" s="14" t="s">
        <v>6</v>
      </c>
      <c r="E1240" s="15">
        <v>5</v>
      </c>
      <c r="F1240" s="17">
        <v>0</v>
      </c>
      <c r="G1240" s="17">
        <v>0</v>
      </c>
      <c r="H1240" s="15">
        <f t="shared" si="506"/>
        <v>0</v>
      </c>
      <c r="I1240" s="44"/>
      <c r="J1240" s="19" cm="1">
        <f t="array" ref="J1240">IFERROR(IF(_xlfn.XLOOKUP(L1240,NC導入施設!B:B,NC導入施設!E:E)=0,_xlfn.IFS(H1240&lt;=5,0,H1240&lt;=10,1,H1240&lt;=15,2,H1240&gt;=16,3),"Null"),"-")</f>
        <v>0</v>
      </c>
      <c r="K1240" s="61"/>
      <c r="L1240" s="1">
        <v>3716811200</v>
      </c>
    </row>
    <row r="1241" spans="1:12" ht="18" customHeight="1" x14ac:dyDescent="0.45">
      <c r="A1241" s="13">
        <v>1235</v>
      </c>
      <c r="B1241" s="42" t="str">
        <f t="shared" si="512"/>
        <v>西日本第一本部</v>
      </c>
      <c r="C1241" s="42" t="str">
        <f t="shared" si="512"/>
        <v>そんぽの家　加島駅前</v>
      </c>
      <c r="D1241" s="14" t="s">
        <v>2</v>
      </c>
      <c r="E1241" s="15">
        <v>1</v>
      </c>
      <c r="F1241" s="17">
        <v>0</v>
      </c>
      <c r="G1241" s="17">
        <v>0</v>
      </c>
      <c r="H1241" s="15">
        <f t="shared" si="506"/>
        <v>0</v>
      </c>
      <c r="I1241" s="45"/>
      <c r="J1241" s="19" cm="1">
        <f t="array" ref="J1241">IFERROR(IF(_xlfn.XLOOKUP(L1241,NC導入施設!B:B,NC導入施設!E:E)=0,_xlfn.IFS(H1241&lt;=5,0,H1241&lt;=10,1,H1241&lt;=15,2,H1241&gt;=16,3),"Null"),"-")</f>
        <v>0</v>
      </c>
      <c r="K1241" s="62"/>
      <c r="L1241" s="1">
        <v>3716811200</v>
      </c>
    </row>
    <row r="1242" spans="1:12" ht="18" customHeight="1" x14ac:dyDescent="0.45">
      <c r="A1242" s="8">
        <v>1236</v>
      </c>
      <c r="B1242" s="34" t="s">
        <v>85</v>
      </c>
      <c r="C1242" s="34" t="s">
        <v>134</v>
      </c>
      <c r="D1242" s="9" t="s">
        <v>3</v>
      </c>
      <c r="E1242" s="10">
        <v>1</v>
      </c>
      <c r="F1242" s="12">
        <v>4</v>
      </c>
      <c r="G1242" s="12">
        <v>4</v>
      </c>
      <c r="H1242" s="10">
        <f t="shared" si="506"/>
        <v>4</v>
      </c>
      <c r="I1242" s="37" cm="1">
        <f t="array" ref="I1242">IF(J1242="-","-",_xlfn.IFS(K1242&lt;=5,0,K1242&lt;=10,1,K1242&lt;=15,2,K1242&gt;=16,3))</f>
        <v>3</v>
      </c>
      <c r="J1242" s="19" cm="1">
        <f t="array" ref="J1242">IFERROR(IF(_xlfn.XLOOKUP(L1242,NC導入施設!B:B,NC導入施設!E:E)=0,_xlfn.IFS(H1242&lt;=5,0,H1242&lt;=10,1,H1242&lt;=15,2,H1242&gt;=16,3),"Null"),"-")</f>
        <v>0</v>
      </c>
      <c r="K1242" s="60">
        <f t="shared" ref="K1242" si="513">IFERROR(SUM(H1242:H1246),"-")</f>
        <v>20</v>
      </c>
      <c r="L1242" s="1">
        <v>3716841200</v>
      </c>
    </row>
    <row r="1243" spans="1:12" ht="18" customHeight="1" x14ac:dyDescent="0.45">
      <c r="A1243" s="8">
        <v>1237</v>
      </c>
      <c r="B1243" s="35" t="str">
        <f t="shared" ref="B1243:C1246" si="514">B1242</f>
        <v>西日本第一本部</v>
      </c>
      <c r="C1243" s="35" t="str">
        <f t="shared" si="514"/>
        <v>そんぽの家　城北</v>
      </c>
      <c r="D1243" s="9" t="s">
        <v>4</v>
      </c>
      <c r="E1243" s="10">
        <v>1</v>
      </c>
      <c r="F1243" s="12">
        <v>10</v>
      </c>
      <c r="G1243" s="12">
        <v>10</v>
      </c>
      <c r="H1243" s="10">
        <f t="shared" si="506"/>
        <v>10</v>
      </c>
      <c r="I1243" s="38"/>
      <c r="J1243" s="19" cm="1">
        <f t="array" ref="J1243">IFERROR(IF(_xlfn.XLOOKUP(L1243,NC導入施設!B:B,NC導入施設!E:E)=0,_xlfn.IFS(H1243&lt;=5,0,H1243&lt;=10,1,H1243&lt;=15,2,H1243&gt;=16,3),"Null"),"-")</f>
        <v>1</v>
      </c>
      <c r="K1243" s="61"/>
      <c r="L1243" s="1">
        <v>3716841200</v>
      </c>
    </row>
    <row r="1244" spans="1:12" ht="18" customHeight="1" x14ac:dyDescent="0.45">
      <c r="A1244" s="8">
        <v>1238</v>
      </c>
      <c r="B1244" s="35" t="str">
        <f t="shared" si="514"/>
        <v>西日本第一本部</v>
      </c>
      <c r="C1244" s="35" t="str">
        <f t="shared" si="514"/>
        <v>そんぽの家　城北</v>
      </c>
      <c r="D1244" s="9" t="s">
        <v>5</v>
      </c>
      <c r="E1244" s="10">
        <v>1</v>
      </c>
      <c r="F1244" s="12">
        <v>1</v>
      </c>
      <c r="G1244" s="12">
        <v>1</v>
      </c>
      <c r="H1244" s="10">
        <f t="shared" si="506"/>
        <v>1</v>
      </c>
      <c r="I1244" s="38"/>
      <c r="J1244" s="19" cm="1">
        <f t="array" ref="J1244">IFERROR(IF(_xlfn.XLOOKUP(L1244,NC導入施設!B:B,NC導入施設!E:E)=0,_xlfn.IFS(H1244&lt;=5,0,H1244&lt;=10,1,H1244&lt;=15,2,H1244&gt;=16,3),"Null"),"-")</f>
        <v>0</v>
      </c>
      <c r="K1244" s="61"/>
      <c r="L1244" s="1">
        <v>3716841200</v>
      </c>
    </row>
    <row r="1245" spans="1:12" ht="18" customHeight="1" x14ac:dyDescent="0.45">
      <c r="A1245" s="8">
        <v>1239</v>
      </c>
      <c r="B1245" s="35" t="str">
        <f t="shared" si="514"/>
        <v>西日本第一本部</v>
      </c>
      <c r="C1245" s="35" t="str">
        <f t="shared" si="514"/>
        <v>そんぽの家　城北</v>
      </c>
      <c r="D1245" s="9" t="s">
        <v>6</v>
      </c>
      <c r="E1245" s="10">
        <v>3</v>
      </c>
      <c r="F1245" s="12">
        <v>1</v>
      </c>
      <c r="G1245" s="12">
        <v>0.3</v>
      </c>
      <c r="H1245" s="10">
        <f t="shared" si="506"/>
        <v>1</v>
      </c>
      <c r="I1245" s="38"/>
      <c r="J1245" s="19" cm="1">
        <f t="array" ref="J1245">IFERROR(IF(_xlfn.XLOOKUP(L1245,NC導入施設!B:B,NC導入施設!E:E)=0,_xlfn.IFS(H1245&lt;=5,0,H1245&lt;=10,1,H1245&lt;=15,2,H1245&gt;=16,3),"Null"),"-")</f>
        <v>0</v>
      </c>
      <c r="K1245" s="61"/>
      <c r="L1245" s="1">
        <v>3716841200</v>
      </c>
    </row>
    <row r="1246" spans="1:12" ht="18" customHeight="1" x14ac:dyDescent="0.45">
      <c r="A1246" s="8">
        <v>1240</v>
      </c>
      <c r="B1246" s="36" t="str">
        <f t="shared" si="514"/>
        <v>西日本第一本部</v>
      </c>
      <c r="C1246" s="36" t="str">
        <f t="shared" si="514"/>
        <v>そんぽの家　城北</v>
      </c>
      <c r="D1246" s="9" t="s">
        <v>2</v>
      </c>
      <c r="E1246" s="10">
        <v>1</v>
      </c>
      <c r="F1246" s="12">
        <v>4</v>
      </c>
      <c r="G1246" s="12">
        <v>4</v>
      </c>
      <c r="H1246" s="10">
        <f t="shared" si="506"/>
        <v>4</v>
      </c>
      <c r="I1246" s="39"/>
      <c r="J1246" s="19" cm="1">
        <f t="array" ref="J1246">IFERROR(IF(_xlfn.XLOOKUP(L1246,NC導入施設!B:B,NC導入施設!E:E)=0,_xlfn.IFS(H1246&lt;=5,0,H1246&lt;=10,1,H1246&lt;=15,2,H1246&gt;=16,3),"Null"),"-")</f>
        <v>0</v>
      </c>
      <c r="K1246" s="62"/>
      <c r="L1246" s="1">
        <v>3716841200</v>
      </c>
    </row>
    <row r="1247" spans="1:12" ht="18" customHeight="1" x14ac:dyDescent="0.45">
      <c r="A1247" s="13">
        <v>1241</v>
      </c>
      <c r="B1247" s="40" t="s">
        <v>85</v>
      </c>
      <c r="C1247" s="40" t="s">
        <v>135</v>
      </c>
      <c r="D1247" s="14" t="s">
        <v>3</v>
      </c>
      <c r="E1247" s="15">
        <v>1</v>
      </c>
      <c r="F1247" s="17">
        <v>7</v>
      </c>
      <c r="G1247" s="17">
        <v>7</v>
      </c>
      <c r="H1247" s="15">
        <f t="shared" si="506"/>
        <v>7</v>
      </c>
      <c r="I1247" s="43" cm="1">
        <f t="array" ref="I1247">IF(J1247="-","-",_xlfn.IFS(K1247&lt;=5,0,K1247&lt;=10,1,K1247&lt;=15,2,K1247&gt;=16,3))</f>
        <v>3</v>
      </c>
      <c r="J1247" s="19" cm="1">
        <f t="array" ref="J1247">IFERROR(IF(_xlfn.XLOOKUP(L1247,NC導入施設!B:B,NC導入施設!E:E)=0,_xlfn.IFS(H1247&lt;=5,0,H1247&lt;=10,1,H1247&lt;=15,2,H1247&gt;=16,3),"Null"),"-")</f>
        <v>1</v>
      </c>
      <c r="K1247" s="60">
        <f t="shared" ref="K1247" si="515">IFERROR(SUM(H1247:H1251),"-")</f>
        <v>44</v>
      </c>
      <c r="L1247" s="1">
        <v>3716851200</v>
      </c>
    </row>
    <row r="1248" spans="1:12" ht="18" customHeight="1" x14ac:dyDescent="0.45">
      <c r="A1248" s="13">
        <v>1242</v>
      </c>
      <c r="B1248" s="41" t="str">
        <f t="shared" ref="B1248:C1251" si="516">B1247</f>
        <v>西日本第一本部</v>
      </c>
      <c r="C1248" s="41" t="str">
        <f t="shared" si="516"/>
        <v>そんぽの家　姫島駅前</v>
      </c>
      <c r="D1248" s="14" t="s">
        <v>4</v>
      </c>
      <c r="E1248" s="15">
        <v>1</v>
      </c>
      <c r="F1248" s="17">
        <v>4</v>
      </c>
      <c r="G1248" s="17">
        <v>4</v>
      </c>
      <c r="H1248" s="15">
        <f t="shared" si="506"/>
        <v>4</v>
      </c>
      <c r="I1248" s="44"/>
      <c r="J1248" s="19" cm="1">
        <f t="array" ref="J1248">IFERROR(IF(_xlfn.XLOOKUP(L1248,NC導入施設!B:B,NC導入施設!E:E)=0,_xlfn.IFS(H1248&lt;=5,0,H1248&lt;=10,1,H1248&lt;=15,2,H1248&gt;=16,3),"Null"),"-")</f>
        <v>0</v>
      </c>
      <c r="K1248" s="61"/>
      <c r="L1248" s="1">
        <v>3716851200</v>
      </c>
    </row>
    <row r="1249" spans="1:12" ht="18" customHeight="1" x14ac:dyDescent="0.45">
      <c r="A1249" s="13">
        <v>1243</v>
      </c>
      <c r="B1249" s="41" t="str">
        <f t="shared" si="516"/>
        <v>西日本第一本部</v>
      </c>
      <c r="C1249" s="41" t="str">
        <f t="shared" si="516"/>
        <v>そんぽの家　姫島駅前</v>
      </c>
      <c r="D1249" s="14" t="s">
        <v>5</v>
      </c>
      <c r="E1249" s="15">
        <v>1</v>
      </c>
      <c r="F1249" s="17">
        <v>9</v>
      </c>
      <c r="G1249" s="17">
        <v>9</v>
      </c>
      <c r="H1249" s="15">
        <f t="shared" si="506"/>
        <v>9</v>
      </c>
      <c r="I1249" s="44"/>
      <c r="J1249" s="19" cm="1">
        <f t="array" ref="J1249">IFERROR(IF(_xlfn.XLOOKUP(L1249,NC導入施設!B:B,NC導入施設!E:E)=0,_xlfn.IFS(H1249&lt;=5,0,H1249&lt;=10,1,H1249&lt;=15,2,H1249&gt;=16,3),"Null"),"-")</f>
        <v>1</v>
      </c>
      <c r="K1249" s="61"/>
      <c r="L1249" s="1">
        <v>3716851200</v>
      </c>
    </row>
    <row r="1250" spans="1:12" ht="18" customHeight="1" x14ac:dyDescent="0.45">
      <c r="A1250" s="13">
        <v>1244</v>
      </c>
      <c r="B1250" s="41" t="str">
        <f t="shared" si="516"/>
        <v>西日本第一本部</v>
      </c>
      <c r="C1250" s="41" t="str">
        <f t="shared" si="516"/>
        <v>そんぽの家　姫島駅前</v>
      </c>
      <c r="D1250" s="14" t="s">
        <v>6</v>
      </c>
      <c r="E1250" s="15">
        <v>3</v>
      </c>
      <c r="F1250" s="17">
        <v>1</v>
      </c>
      <c r="G1250" s="17">
        <v>0.3</v>
      </c>
      <c r="H1250" s="15">
        <f t="shared" si="506"/>
        <v>1</v>
      </c>
      <c r="I1250" s="44"/>
      <c r="J1250" s="19" cm="1">
        <f t="array" ref="J1250">IFERROR(IF(_xlfn.XLOOKUP(L1250,NC導入施設!B:B,NC導入施設!E:E)=0,_xlfn.IFS(H1250&lt;=5,0,H1250&lt;=10,1,H1250&lt;=15,2,H1250&gt;=16,3),"Null"),"-")</f>
        <v>0</v>
      </c>
      <c r="K1250" s="61"/>
      <c r="L1250" s="1">
        <v>3716851200</v>
      </c>
    </row>
    <row r="1251" spans="1:12" ht="18" customHeight="1" x14ac:dyDescent="0.45">
      <c r="A1251" s="13">
        <v>1245</v>
      </c>
      <c r="B1251" s="42" t="str">
        <f t="shared" si="516"/>
        <v>西日本第一本部</v>
      </c>
      <c r="C1251" s="42" t="str">
        <f t="shared" si="516"/>
        <v>そんぽの家　姫島駅前</v>
      </c>
      <c r="D1251" s="14" t="s">
        <v>2</v>
      </c>
      <c r="E1251" s="15">
        <v>1</v>
      </c>
      <c r="F1251" s="17">
        <v>23</v>
      </c>
      <c r="G1251" s="17">
        <v>23</v>
      </c>
      <c r="H1251" s="15">
        <f t="shared" si="506"/>
        <v>23</v>
      </c>
      <c r="I1251" s="45"/>
      <c r="J1251" s="19" cm="1">
        <f t="array" ref="J1251">IFERROR(IF(_xlfn.XLOOKUP(L1251,NC導入施設!B:B,NC導入施設!E:E)=0,_xlfn.IFS(H1251&lt;=5,0,H1251&lt;=10,1,H1251&lt;=15,2,H1251&gt;=16,3),"Null"),"-")</f>
        <v>3</v>
      </c>
      <c r="K1251" s="62"/>
      <c r="L1251" s="1">
        <v>3716851200</v>
      </c>
    </row>
    <row r="1252" spans="1:12" ht="18" customHeight="1" x14ac:dyDescent="0.45">
      <c r="A1252" s="8">
        <v>1246</v>
      </c>
      <c r="B1252" s="34" t="s">
        <v>85</v>
      </c>
      <c r="C1252" s="34" t="s">
        <v>136</v>
      </c>
      <c r="D1252" s="9" t="s">
        <v>3</v>
      </c>
      <c r="E1252" s="10">
        <v>1</v>
      </c>
      <c r="F1252" s="12">
        <v>8</v>
      </c>
      <c r="G1252" s="12">
        <v>8</v>
      </c>
      <c r="H1252" s="10">
        <f t="shared" si="506"/>
        <v>8</v>
      </c>
      <c r="I1252" s="37" cm="1">
        <f t="array" ref="I1252">IF(J1252="-","-",_xlfn.IFS(K1252&lt;=5,0,K1252&lt;=10,1,K1252&lt;=15,2,K1252&gt;=16,3))</f>
        <v>3</v>
      </c>
      <c r="J1252" s="19" cm="1">
        <f t="array" ref="J1252">IFERROR(IF(_xlfn.XLOOKUP(L1252,NC導入施設!B:B,NC導入施設!E:E)=0,_xlfn.IFS(H1252&lt;=5,0,H1252&lt;=10,1,H1252&lt;=15,2,H1252&gt;=16,3),"Null"),"-")</f>
        <v>1</v>
      </c>
      <c r="K1252" s="60">
        <f t="shared" ref="K1252" si="517">IFERROR(SUM(H1252:H1256),"-")</f>
        <v>42</v>
      </c>
      <c r="L1252" s="1">
        <v>3716881200</v>
      </c>
    </row>
    <row r="1253" spans="1:12" ht="18" customHeight="1" x14ac:dyDescent="0.45">
      <c r="A1253" s="8">
        <v>1247</v>
      </c>
      <c r="B1253" s="35" t="str">
        <f t="shared" ref="B1253:C1256" si="518">B1252</f>
        <v>西日本第一本部</v>
      </c>
      <c r="C1253" s="35" t="str">
        <f t="shared" si="518"/>
        <v>そんぽの家　住吉遠里小野</v>
      </c>
      <c r="D1253" s="9" t="s">
        <v>4</v>
      </c>
      <c r="E1253" s="10">
        <v>1</v>
      </c>
      <c r="F1253" s="12">
        <v>9</v>
      </c>
      <c r="G1253" s="12">
        <v>9</v>
      </c>
      <c r="H1253" s="10">
        <f t="shared" si="506"/>
        <v>9</v>
      </c>
      <c r="I1253" s="38"/>
      <c r="J1253" s="19" cm="1">
        <f t="array" ref="J1253">IFERROR(IF(_xlfn.XLOOKUP(L1253,NC導入施設!B:B,NC導入施設!E:E)=0,_xlfn.IFS(H1253&lt;=5,0,H1253&lt;=10,1,H1253&lt;=15,2,H1253&gt;=16,3),"Null"),"-")</f>
        <v>1</v>
      </c>
      <c r="K1253" s="61"/>
      <c r="L1253" s="1">
        <v>3716881200</v>
      </c>
    </row>
    <row r="1254" spans="1:12" ht="18" customHeight="1" x14ac:dyDescent="0.45">
      <c r="A1254" s="8">
        <v>1248</v>
      </c>
      <c r="B1254" s="35" t="str">
        <f t="shared" si="518"/>
        <v>西日本第一本部</v>
      </c>
      <c r="C1254" s="35" t="str">
        <f t="shared" si="518"/>
        <v>そんぽの家　住吉遠里小野</v>
      </c>
      <c r="D1254" s="9" t="s">
        <v>5</v>
      </c>
      <c r="E1254" s="10">
        <v>1</v>
      </c>
      <c r="F1254" s="12">
        <v>5</v>
      </c>
      <c r="G1254" s="12">
        <v>5</v>
      </c>
      <c r="H1254" s="10">
        <f t="shared" si="506"/>
        <v>5</v>
      </c>
      <c r="I1254" s="38"/>
      <c r="J1254" s="19" cm="1">
        <f t="array" ref="J1254">IFERROR(IF(_xlfn.XLOOKUP(L1254,NC導入施設!B:B,NC導入施設!E:E)=0,_xlfn.IFS(H1254&lt;=5,0,H1254&lt;=10,1,H1254&lt;=15,2,H1254&gt;=16,3),"Null"),"-")</f>
        <v>0</v>
      </c>
      <c r="K1254" s="61"/>
      <c r="L1254" s="1">
        <v>3716881200</v>
      </c>
    </row>
    <row r="1255" spans="1:12" ht="18" customHeight="1" x14ac:dyDescent="0.45">
      <c r="A1255" s="8">
        <v>1249</v>
      </c>
      <c r="B1255" s="35" t="str">
        <f t="shared" si="518"/>
        <v>西日本第一本部</v>
      </c>
      <c r="C1255" s="35" t="str">
        <f t="shared" si="518"/>
        <v>そんぽの家　住吉遠里小野</v>
      </c>
      <c r="D1255" s="9" t="s">
        <v>6</v>
      </c>
      <c r="E1255" s="10">
        <v>3</v>
      </c>
      <c r="F1255" s="12">
        <v>14</v>
      </c>
      <c r="G1255" s="12">
        <v>4.7</v>
      </c>
      <c r="H1255" s="10">
        <f t="shared" si="506"/>
        <v>14</v>
      </c>
      <c r="I1255" s="38"/>
      <c r="J1255" s="19" cm="1">
        <f t="array" ref="J1255">IFERROR(IF(_xlfn.XLOOKUP(L1255,NC導入施設!B:B,NC導入施設!E:E)=0,_xlfn.IFS(H1255&lt;=5,0,H1255&lt;=10,1,H1255&lt;=15,2,H1255&gt;=16,3),"Null"),"-")</f>
        <v>2</v>
      </c>
      <c r="K1255" s="61"/>
      <c r="L1255" s="1">
        <v>3716881200</v>
      </c>
    </row>
    <row r="1256" spans="1:12" ht="18" customHeight="1" x14ac:dyDescent="0.45">
      <c r="A1256" s="8">
        <v>1250</v>
      </c>
      <c r="B1256" s="36" t="str">
        <f t="shared" si="518"/>
        <v>西日本第一本部</v>
      </c>
      <c r="C1256" s="36" t="str">
        <f t="shared" si="518"/>
        <v>そんぽの家　住吉遠里小野</v>
      </c>
      <c r="D1256" s="9" t="s">
        <v>2</v>
      </c>
      <c r="E1256" s="10">
        <v>2</v>
      </c>
      <c r="F1256" s="12">
        <v>6</v>
      </c>
      <c r="G1256" s="12">
        <v>3</v>
      </c>
      <c r="H1256" s="10">
        <f t="shared" si="506"/>
        <v>6</v>
      </c>
      <c r="I1256" s="39"/>
      <c r="J1256" s="19" cm="1">
        <f t="array" ref="J1256">IFERROR(IF(_xlfn.XLOOKUP(L1256,NC導入施設!B:B,NC導入施設!E:E)=0,_xlfn.IFS(H1256&lt;=5,0,H1256&lt;=10,1,H1256&lt;=15,2,H1256&gt;=16,3),"Null"),"-")</f>
        <v>1</v>
      </c>
      <c r="K1256" s="62"/>
      <c r="L1256" s="1">
        <v>3716881200</v>
      </c>
    </row>
    <row r="1257" spans="1:12" ht="18" customHeight="1" x14ac:dyDescent="0.45">
      <c r="A1257" s="13">
        <v>1251</v>
      </c>
      <c r="B1257" s="40" t="s">
        <v>85</v>
      </c>
      <c r="C1257" s="40" t="s">
        <v>137</v>
      </c>
      <c r="D1257" s="14" t="s">
        <v>3</v>
      </c>
      <c r="E1257" s="15">
        <v>1</v>
      </c>
      <c r="F1257" s="17">
        <v>20</v>
      </c>
      <c r="G1257" s="17">
        <v>20</v>
      </c>
      <c r="H1257" s="15">
        <f t="shared" si="506"/>
        <v>20</v>
      </c>
      <c r="I1257" s="43" cm="1">
        <f t="array" ref="I1257">IF(J1257="-","-",_xlfn.IFS(K1257&lt;=5,0,K1257&lt;=10,1,K1257&lt;=15,2,K1257&gt;=16,3))</f>
        <v>3</v>
      </c>
      <c r="J1257" s="19" cm="1">
        <f t="array" ref="J1257">IFERROR(IF(_xlfn.XLOOKUP(L1257,NC導入施設!B:B,NC導入施設!E:E)=0,_xlfn.IFS(H1257&lt;=5,0,H1257&lt;=10,1,H1257&lt;=15,2,H1257&gt;=16,3),"Null"),"-")</f>
        <v>3</v>
      </c>
      <c r="K1257" s="60">
        <f t="shared" ref="K1257" si="519">IFERROR(SUM(H1257:H1261),"-")</f>
        <v>56</v>
      </c>
      <c r="L1257" s="1">
        <v>3716891200</v>
      </c>
    </row>
    <row r="1258" spans="1:12" ht="18" customHeight="1" x14ac:dyDescent="0.45">
      <c r="A1258" s="13">
        <v>1252</v>
      </c>
      <c r="B1258" s="41" t="str">
        <f t="shared" ref="B1258:C1261" si="520">B1257</f>
        <v>西日本第一本部</v>
      </c>
      <c r="C1258" s="41" t="str">
        <f t="shared" si="520"/>
        <v>そんぽの家　北加賀屋</v>
      </c>
      <c r="D1258" s="14" t="s">
        <v>4</v>
      </c>
      <c r="E1258" s="15">
        <v>0</v>
      </c>
      <c r="F1258" s="17">
        <v>0</v>
      </c>
      <c r="G1258" s="17">
        <v>0</v>
      </c>
      <c r="H1258" s="15">
        <f t="shared" si="506"/>
        <v>0</v>
      </c>
      <c r="I1258" s="44"/>
      <c r="J1258" s="19" cm="1">
        <f t="array" ref="J1258">IFERROR(IF(_xlfn.XLOOKUP(L1258,NC導入施設!B:B,NC導入施設!E:E)=0,_xlfn.IFS(H1258&lt;=5,0,H1258&lt;=10,1,H1258&lt;=15,2,H1258&gt;=16,3),"Null"),"-")</f>
        <v>0</v>
      </c>
      <c r="K1258" s="61"/>
      <c r="L1258" s="1">
        <v>3716891200</v>
      </c>
    </row>
    <row r="1259" spans="1:12" ht="18" customHeight="1" x14ac:dyDescent="0.45">
      <c r="A1259" s="13">
        <v>1253</v>
      </c>
      <c r="B1259" s="41" t="str">
        <f t="shared" si="520"/>
        <v>西日本第一本部</v>
      </c>
      <c r="C1259" s="41" t="str">
        <f t="shared" si="520"/>
        <v>そんぽの家　北加賀屋</v>
      </c>
      <c r="D1259" s="14" t="s">
        <v>5</v>
      </c>
      <c r="E1259" s="15">
        <v>1</v>
      </c>
      <c r="F1259" s="17">
        <v>3</v>
      </c>
      <c r="G1259" s="17">
        <v>3</v>
      </c>
      <c r="H1259" s="15">
        <f t="shared" si="506"/>
        <v>3</v>
      </c>
      <c r="I1259" s="44"/>
      <c r="J1259" s="19" cm="1">
        <f t="array" ref="J1259">IFERROR(IF(_xlfn.XLOOKUP(L1259,NC導入施設!B:B,NC導入施設!E:E)=0,_xlfn.IFS(H1259&lt;=5,0,H1259&lt;=10,1,H1259&lt;=15,2,H1259&gt;=16,3),"Null"),"-")</f>
        <v>0</v>
      </c>
      <c r="K1259" s="61"/>
      <c r="L1259" s="1">
        <v>3716891200</v>
      </c>
    </row>
    <row r="1260" spans="1:12" ht="18" customHeight="1" x14ac:dyDescent="0.45">
      <c r="A1260" s="13">
        <v>1254</v>
      </c>
      <c r="B1260" s="41" t="str">
        <f t="shared" si="520"/>
        <v>西日本第一本部</v>
      </c>
      <c r="C1260" s="41" t="str">
        <f t="shared" si="520"/>
        <v>そんぽの家　北加賀屋</v>
      </c>
      <c r="D1260" s="14" t="s">
        <v>6</v>
      </c>
      <c r="E1260" s="15">
        <v>3</v>
      </c>
      <c r="F1260" s="17">
        <v>19</v>
      </c>
      <c r="G1260" s="17">
        <v>6.3</v>
      </c>
      <c r="H1260" s="15">
        <f t="shared" si="506"/>
        <v>19</v>
      </c>
      <c r="I1260" s="44"/>
      <c r="J1260" s="19" cm="1">
        <f t="array" ref="J1260">IFERROR(IF(_xlfn.XLOOKUP(L1260,NC導入施設!B:B,NC導入施設!E:E)=0,_xlfn.IFS(H1260&lt;=5,0,H1260&lt;=10,1,H1260&lt;=15,2,H1260&gt;=16,3),"Null"),"-")</f>
        <v>3</v>
      </c>
      <c r="K1260" s="61"/>
      <c r="L1260" s="1">
        <v>3716891200</v>
      </c>
    </row>
    <row r="1261" spans="1:12" ht="18" customHeight="1" x14ac:dyDescent="0.45">
      <c r="A1261" s="13">
        <v>1255</v>
      </c>
      <c r="B1261" s="42" t="str">
        <f t="shared" si="520"/>
        <v>西日本第一本部</v>
      </c>
      <c r="C1261" s="42" t="str">
        <f t="shared" si="520"/>
        <v>そんぽの家　北加賀屋</v>
      </c>
      <c r="D1261" s="14" t="s">
        <v>2</v>
      </c>
      <c r="E1261" s="15">
        <v>2</v>
      </c>
      <c r="F1261" s="17">
        <v>14</v>
      </c>
      <c r="G1261" s="17">
        <v>7</v>
      </c>
      <c r="H1261" s="15">
        <f t="shared" si="506"/>
        <v>14</v>
      </c>
      <c r="I1261" s="45"/>
      <c r="J1261" s="19" cm="1">
        <f t="array" ref="J1261">IFERROR(IF(_xlfn.XLOOKUP(L1261,NC導入施設!B:B,NC導入施設!E:E)=0,_xlfn.IFS(H1261&lt;=5,0,H1261&lt;=10,1,H1261&lt;=15,2,H1261&gt;=16,3),"Null"),"-")</f>
        <v>2</v>
      </c>
      <c r="K1261" s="62"/>
      <c r="L1261" s="1">
        <v>3716891200</v>
      </c>
    </row>
    <row r="1262" spans="1:12" ht="18" customHeight="1" x14ac:dyDescent="0.45">
      <c r="A1262" s="8">
        <v>1256</v>
      </c>
      <c r="B1262" s="34" t="s">
        <v>85</v>
      </c>
      <c r="C1262" s="34" t="s">
        <v>138</v>
      </c>
      <c r="D1262" s="9" t="s">
        <v>3</v>
      </c>
      <c r="E1262" s="10">
        <v>1</v>
      </c>
      <c r="F1262" s="12">
        <v>7</v>
      </c>
      <c r="G1262" s="12">
        <v>7</v>
      </c>
      <c r="H1262" s="10">
        <f t="shared" si="506"/>
        <v>7</v>
      </c>
      <c r="I1262" s="37" cm="1">
        <f t="array" ref="I1262">IF(J1262="-","-",_xlfn.IFS(K1262&lt;=5,0,K1262&lt;=10,1,K1262&lt;=15,2,K1262&gt;=16,3))</f>
        <v>3</v>
      </c>
      <c r="J1262" s="19" cm="1">
        <f t="array" ref="J1262">IFERROR(IF(_xlfn.XLOOKUP(L1262,NC導入施設!B:B,NC導入施設!E:E)=0,_xlfn.IFS(H1262&lt;=5,0,H1262&lt;=10,1,H1262&lt;=15,2,H1262&gt;=16,3),"Null"),"-")</f>
        <v>1</v>
      </c>
      <c r="K1262" s="60">
        <f t="shared" ref="K1262" si="521">IFERROR(SUM(H1262:H1266),"-")</f>
        <v>49</v>
      </c>
      <c r="L1262" s="1">
        <v>3716901200</v>
      </c>
    </row>
    <row r="1263" spans="1:12" ht="18" customHeight="1" x14ac:dyDescent="0.45">
      <c r="A1263" s="8">
        <v>1257</v>
      </c>
      <c r="B1263" s="35" t="str">
        <f t="shared" ref="B1263:C1266" si="522">B1262</f>
        <v>西日本第一本部</v>
      </c>
      <c r="C1263" s="35" t="str">
        <f t="shared" si="522"/>
        <v>そんぽの家　生野巽中</v>
      </c>
      <c r="D1263" s="9" t="s">
        <v>4</v>
      </c>
      <c r="E1263" s="10">
        <v>1</v>
      </c>
      <c r="F1263" s="12">
        <v>5</v>
      </c>
      <c r="G1263" s="12">
        <v>5</v>
      </c>
      <c r="H1263" s="10">
        <f t="shared" si="506"/>
        <v>5</v>
      </c>
      <c r="I1263" s="38"/>
      <c r="J1263" s="19" cm="1">
        <f t="array" ref="J1263">IFERROR(IF(_xlfn.XLOOKUP(L1263,NC導入施設!B:B,NC導入施設!E:E)=0,_xlfn.IFS(H1263&lt;=5,0,H1263&lt;=10,1,H1263&lt;=15,2,H1263&gt;=16,3),"Null"),"-")</f>
        <v>0</v>
      </c>
      <c r="K1263" s="61"/>
      <c r="L1263" s="1">
        <v>3716901200</v>
      </c>
    </row>
    <row r="1264" spans="1:12" ht="18" customHeight="1" x14ac:dyDescent="0.45">
      <c r="A1264" s="8">
        <v>1258</v>
      </c>
      <c r="B1264" s="35" t="str">
        <f t="shared" si="522"/>
        <v>西日本第一本部</v>
      </c>
      <c r="C1264" s="35" t="str">
        <f t="shared" si="522"/>
        <v>そんぽの家　生野巽中</v>
      </c>
      <c r="D1264" s="9" t="s">
        <v>5</v>
      </c>
      <c r="E1264" s="10">
        <v>1</v>
      </c>
      <c r="F1264" s="12">
        <v>8</v>
      </c>
      <c r="G1264" s="12">
        <v>8</v>
      </c>
      <c r="H1264" s="10">
        <f t="shared" si="506"/>
        <v>8</v>
      </c>
      <c r="I1264" s="38"/>
      <c r="J1264" s="19" cm="1">
        <f t="array" ref="J1264">IFERROR(IF(_xlfn.XLOOKUP(L1264,NC導入施設!B:B,NC導入施設!E:E)=0,_xlfn.IFS(H1264&lt;=5,0,H1264&lt;=10,1,H1264&lt;=15,2,H1264&gt;=16,3),"Null"),"-")</f>
        <v>1</v>
      </c>
      <c r="K1264" s="61"/>
      <c r="L1264" s="1">
        <v>3716901200</v>
      </c>
    </row>
    <row r="1265" spans="1:12" ht="18" customHeight="1" x14ac:dyDescent="0.45">
      <c r="A1265" s="8">
        <v>1259</v>
      </c>
      <c r="B1265" s="35" t="str">
        <f t="shared" si="522"/>
        <v>西日本第一本部</v>
      </c>
      <c r="C1265" s="35" t="str">
        <f t="shared" si="522"/>
        <v>そんぽの家　生野巽中</v>
      </c>
      <c r="D1265" s="9" t="s">
        <v>6</v>
      </c>
      <c r="E1265" s="10">
        <v>3</v>
      </c>
      <c r="F1265" s="12">
        <v>16</v>
      </c>
      <c r="G1265" s="12">
        <v>5.3</v>
      </c>
      <c r="H1265" s="10">
        <f t="shared" si="506"/>
        <v>16</v>
      </c>
      <c r="I1265" s="38"/>
      <c r="J1265" s="19" cm="1">
        <f t="array" ref="J1265">IFERROR(IF(_xlfn.XLOOKUP(L1265,NC導入施設!B:B,NC導入施設!E:E)=0,_xlfn.IFS(H1265&lt;=5,0,H1265&lt;=10,1,H1265&lt;=15,2,H1265&gt;=16,3),"Null"),"-")</f>
        <v>3</v>
      </c>
      <c r="K1265" s="61"/>
      <c r="L1265" s="1">
        <v>3716901200</v>
      </c>
    </row>
    <row r="1266" spans="1:12" ht="18" customHeight="1" x14ac:dyDescent="0.45">
      <c r="A1266" s="8">
        <v>1260</v>
      </c>
      <c r="B1266" s="36" t="str">
        <f t="shared" si="522"/>
        <v>西日本第一本部</v>
      </c>
      <c r="C1266" s="36" t="str">
        <f t="shared" si="522"/>
        <v>そんぽの家　生野巽中</v>
      </c>
      <c r="D1266" s="9" t="s">
        <v>2</v>
      </c>
      <c r="E1266" s="10">
        <v>1</v>
      </c>
      <c r="F1266" s="12">
        <v>13</v>
      </c>
      <c r="G1266" s="12">
        <v>13</v>
      </c>
      <c r="H1266" s="10">
        <f t="shared" si="506"/>
        <v>13</v>
      </c>
      <c r="I1266" s="39"/>
      <c r="J1266" s="19" cm="1">
        <f t="array" ref="J1266">IFERROR(IF(_xlfn.XLOOKUP(L1266,NC導入施設!B:B,NC導入施設!E:E)=0,_xlfn.IFS(H1266&lt;=5,0,H1266&lt;=10,1,H1266&lt;=15,2,H1266&gt;=16,3),"Null"),"-")</f>
        <v>2</v>
      </c>
      <c r="K1266" s="62"/>
      <c r="L1266" s="1">
        <v>3716901200</v>
      </c>
    </row>
    <row r="1267" spans="1:12" ht="18" customHeight="1" x14ac:dyDescent="0.45">
      <c r="A1267" s="13">
        <v>1261</v>
      </c>
      <c r="B1267" s="40" t="s">
        <v>85</v>
      </c>
      <c r="C1267" s="40" t="s">
        <v>139</v>
      </c>
      <c r="D1267" s="14" t="s">
        <v>3</v>
      </c>
      <c r="E1267" s="15">
        <v>1</v>
      </c>
      <c r="F1267" s="17">
        <v>7</v>
      </c>
      <c r="G1267" s="17">
        <v>7</v>
      </c>
      <c r="H1267" s="15">
        <f t="shared" si="506"/>
        <v>7</v>
      </c>
      <c r="I1267" s="43" cm="1">
        <f t="array" ref="I1267">IF(J1267="-","-",_xlfn.IFS(K1267&lt;=5,0,K1267&lt;=10,1,K1267&lt;=15,2,K1267&gt;=16,3))</f>
        <v>3</v>
      </c>
      <c r="J1267" s="19" cm="1">
        <f t="array" ref="J1267">IFERROR(IF(_xlfn.XLOOKUP(L1267,NC導入施設!B:B,NC導入施設!E:E)=0,_xlfn.IFS(H1267&lt;=5,0,H1267&lt;=10,1,H1267&lt;=15,2,H1267&gt;=16,3),"Null"),"-")</f>
        <v>1</v>
      </c>
      <c r="K1267" s="60">
        <f t="shared" ref="K1267" si="523">IFERROR(SUM(H1267:H1271),"-")</f>
        <v>30</v>
      </c>
      <c r="L1267" s="1">
        <v>3716911200</v>
      </c>
    </row>
    <row r="1268" spans="1:12" ht="18" customHeight="1" x14ac:dyDescent="0.45">
      <c r="A1268" s="13">
        <v>1262</v>
      </c>
      <c r="B1268" s="41" t="str">
        <f t="shared" ref="B1268:C1271" si="524">B1267</f>
        <v>西日本第一本部</v>
      </c>
      <c r="C1268" s="41" t="str">
        <f t="shared" si="524"/>
        <v>そんぽの家　生野林寺</v>
      </c>
      <c r="D1268" s="14" t="s">
        <v>4</v>
      </c>
      <c r="E1268" s="15">
        <v>1</v>
      </c>
      <c r="F1268" s="17">
        <v>20</v>
      </c>
      <c r="G1268" s="17">
        <v>20</v>
      </c>
      <c r="H1268" s="15">
        <f t="shared" si="506"/>
        <v>20</v>
      </c>
      <c r="I1268" s="44"/>
      <c r="J1268" s="19" cm="1">
        <f t="array" ref="J1268">IFERROR(IF(_xlfn.XLOOKUP(L1268,NC導入施設!B:B,NC導入施設!E:E)=0,_xlfn.IFS(H1268&lt;=5,0,H1268&lt;=10,1,H1268&lt;=15,2,H1268&gt;=16,3),"Null"),"-")</f>
        <v>3</v>
      </c>
      <c r="K1268" s="61"/>
      <c r="L1268" s="1">
        <v>3716911200</v>
      </c>
    </row>
    <row r="1269" spans="1:12" ht="18" customHeight="1" x14ac:dyDescent="0.45">
      <c r="A1269" s="13">
        <v>1263</v>
      </c>
      <c r="B1269" s="41" t="str">
        <f t="shared" si="524"/>
        <v>西日本第一本部</v>
      </c>
      <c r="C1269" s="41" t="str">
        <f t="shared" si="524"/>
        <v>そんぽの家　生野林寺</v>
      </c>
      <c r="D1269" s="14" t="s">
        <v>5</v>
      </c>
      <c r="E1269" s="15">
        <v>0</v>
      </c>
      <c r="F1269" s="17">
        <v>0</v>
      </c>
      <c r="G1269" s="17">
        <v>0</v>
      </c>
      <c r="H1269" s="15">
        <f t="shared" si="506"/>
        <v>0</v>
      </c>
      <c r="I1269" s="44"/>
      <c r="J1269" s="19" cm="1">
        <f t="array" ref="J1269">IFERROR(IF(_xlfn.XLOOKUP(L1269,NC導入施設!B:B,NC導入施設!E:E)=0,_xlfn.IFS(H1269&lt;=5,0,H1269&lt;=10,1,H1269&lt;=15,2,H1269&gt;=16,3),"Null"),"-")</f>
        <v>0</v>
      </c>
      <c r="K1269" s="61"/>
      <c r="L1269" s="1">
        <v>3716911200</v>
      </c>
    </row>
    <row r="1270" spans="1:12" ht="18" customHeight="1" x14ac:dyDescent="0.45">
      <c r="A1270" s="13">
        <v>1264</v>
      </c>
      <c r="B1270" s="41" t="str">
        <f t="shared" si="524"/>
        <v>西日本第一本部</v>
      </c>
      <c r="C1270" s="41" t="str">
        <f t="shared" si="524"/>
        <v>そんぽの家　生野林寺</v>
      </c>
      <c r="D1270" s="14" t="s">
        <v>6</v>
      </c>
      <c r="E1270" s="15">
        <v>4</v>
      </c>
      <c r="F1270" s="17">
        <v>0</v>
      </c>
      <c r="G1270" s="17">
        <v>0</v>
      </c>
      <c r="H1270" s="15">
        <f t="shared" si="506"/>
        <v>0</v>
      </c>
      <c r="I1270" s="44"/>
      <c r="J1270" s="19" cm="1">
        <f t="array" ref="J1270">IFERROR(IF(_xlfn.XLOOKUP(L1270,NC導入施設!B:B,NC導入施設!E:E)=0,_xlfn.IFS(H1270&lt;=5,0,H1270&lt;=10,1,H1270&lt;=15,2,H1270&gt;=16,3),"Null"),"-")</f>
        <v>0</v>
      </c>
      <c r="K1270" s="61"/>
      <c r="L1270" s="1">
        <v>3716911200</v>
      </c>
    </row>
    <row r="1271" spans="1:12" ht="18" customHeight="1" x14ac:dyDescent="0.45">
      <c r="A1271" s="13">
        <v>1265</v>
      </c>
      <c r="B1271" s="42" t="str">
        <f t="shared" si="524"/>
        <v>西日本第一本部</v>
      </c>
      <c r="C1271" s="42" t="str">
        <f t="shared" si="524"/>
        <v>そんぽの家　生野林寺</v>
      </c>
      <c r="D1271" s="14" t="s">
        <v>2</v>
      </c>
      <c r="E1271" s="15">
        <v>2</v>
      </c>
      <c r="F1271" s="17">
        <v>3</v>
      </c>
      <c r="G1271" s="17">
        <v>1.5</v>
      </c>
      <c r="H1271" s="15">
        <f t="shared" si="506"/>
        <v>3</v>
      </c>
      <c r="I1271" s="45"/>
      <c r="J1271" s="19" cm="1">
        <f t="array" ref="J1271">IFERROR(IF(_xlfn.XLOOKUP(L1271,NC導入施設!B:B,NC導入施設!E:E)=0,_xlfn.IFS(H1271&lt;=5,0,H1271&lt;=10,1,H1271&lt;=15,2,H1271&gt;=16,3),"Null"),"-")</f>
        <v>0</v>
      </c>
      <c r="K1271" s="62"/>
      <c r="L1271" s="1">
        <v>3716911200</v>
      </c>
    </row>
    <row r="1272" spans="1:12" ht="18" customHeight="1" x14ac:dyDescent="0.45">
      <c r="A1272" s="8">
        <v>1266</v>
      </c>
      <c r="B1272" s="34" t="s">
        <v>85</v>
      </c>
      <c r="C1272" s="34" t="s">
        <v>140</v>
      </c>
      <c r="D1272" s="9" t="s">
        <v>3</v>
      </c>
      <c r="E1272" s="10">
        <v>1</v>
      </c>
      <c r="F1272" s="12">
        <v>10</v>
      </c>
      <c r="G1272" s="12">
        <v>10</v>
      </c>
      <c r="H1272" s="10">
        <f t="shared" si="506"/>
        <v>10</v>
      </c>
      <c r="I1272" s="37" cm="1">
        <f t="array" ref="I1272">IF(J1272="-","-",_xlfn.IFS(K1272&lt;=5,0,K1272&lt;=10,1,K1272&lt;=15,2,K1272&gt;=16,3))</f>
        <v>3</v>
      </c>
      <c r="J1272" s="19" cm="1">
        <f t="array" ref="J1272">IFERROR(IF(_xlfn.XLOOKUP(L1272,NC導入施設!B:B,NC導入施設!E:E)=0,_xlfn.IFS(H1272&lt;=5,0,H1272&lt;=10,1,H1272&lt;=15,2,H1272&gt;=16,3),"Null"),"-")</f>
        <v>1</v>
      </c>
      <c r="K1272" s="60">
        <f t="shared" ref="K1272" si="525">IFERROR(SUM(H1272:H1276),"-")</f>
        <v>83</v>
      </c>
      <c r="L1272" s="1">
        <v>3716931200</v>
      </c>
    </row>
    <row r="1273" spans="1:12" ht="18" customHeight="1" x14ac:dyDescent="0.45">
      <c r="A1273" s="8">
        <v>1267</v>
      </c>
      <c r="B1273" s="35" t="str">
        <f t="shared" ref="B1273:C1276" si="526">B1272</f>
        <v>西日本第一本部</v>
      </c>
      <c r="C1273" s="35" t="str">
        <f t="shared" si="526"/>
        <v>そんぽの家　天王寺</v>
      </c>
      <c r="D1273" s="9" t="s">
        <v>4</v>
      </c>
      <c r="E1273" s="10">
        <v>1</v>
      </c>
      <c r="F1273" s="12">
        <v>15</v>
      </c>
      <c r="G1273" s="12">
        <v>15</v>
      </c>
      <c r="H1273" s="10">
        <f t="shared" si="506"/>
        <v>15</v>
      </c>
      <c r="I1273" s="38"/>
      <c r="J1273" s="19" cm="1">
        <f t="array" ref="J1273">IFERROR(IF(_xlfn.XLOOKUP(L1273,NC導入施設!B:B,NC導入施設!E:E)=0,_xlfn.IFS(H1273&lt;=5,0,H1273&lt;=10,1,H1273&lt;=15,2,H1273&gt;=16,3),"Null"),"-")</f>
        <v>2</v>
      </c>
      <c r="K1273" s="61"/>
      <c r="L1273" s="1">
        <v>3716931200</v>
      </c>
    </row>
    <row r="1274" spans="1:12" ht="18" customHeight="1" x14ac:dyDescent="0.45">
      <c r="A1274" s="8">
        <v>1268</v>
      </c>
      <c r="B1274" s="35" t="str">
        <f t="shared" si="526"/>
        <v>西日本第一本部</v>
      </c>
      <c r="C1274" s="35" t="str">
        <f t="shared" si="526"/>
        <v>そんぽの家　天王寺</v>
      </c>
      <c r="D1274" s="9" t="s">
        <v>5</v>
      </c>
      <c r="E1274" s="10">
        <v>2</v>
      </c>
      <c r="F1274" s="12">
        <v>12</v>
      </c>
      <c r="G1274" s="12">
        <v>6</v>
      </c>
      <c r="H1274" s="10">
        <f t="shared" si="506"/>
        <v>12</v>
      </c>
      <c r="I1274" s="38"/>
      <c r="J1274" s="19" cm="1">
        <f t="array" ref="J1274">IFERROR(IF(_xlfn.XLOOKUP(L1274,NC導入施設!B:B,NC導入施設!E:E)=0,_xlfn.IFS(H1274&lt;=5,0,H1274&lt;=10,1,H1274&lt;=15,2,H1274&gt;=16,3),"Null"),"-")</f>
        <v>2</v>
      </c>
      <c r="K1274" s="61"/>
      <c r="L1274" s="1">
        <v>3716931200</v>
      </c>
    </row>
    <row r="1275" spans="1:12" ht="18" customHeight="1" x14ac:dyDescent="0.45">
      <c r="A1275" s="8">
        <v>1269</v>
      </c>
      <c r="B1275" s="35" t="str">
        <f t="shared" si="526"/>
        <v>西日本第一本部</v>
      </c>
      <c r="C1275" s="35" t="str">
        <f t="shared" si="526"/>
        <v>そんぽの家　天王寺</v>
      </c>
      <c r="D1275" s="9" t="s">
        <v>6</v>
      </c>
      <c r="E1275" s="10">
        <v>4</v>
      </c>
      <c r="F1275" s="12">
        <v>0</v>
      </c>
      <c r="G1275" s="12">
        <v>0</v>
      </c>
      <c r="H1275" s="10">
        <f t="shared" si="506"/>
        <v>0</v>
      </c>
      <c r="I1275" s="38"/>
      <c r="J1275" s="19" cm="1">
        <f t="array" ref="J1275">IFERROR(IF(_xlfn.XLOOKUP(L1275,NC導入施設!B:B,NC導入施設!E:E)=0,_xlfn.IFS(H1275&lt;=5,0,H1275&lt;=10,1,H1275&lt;=15,2,H1275&gt;=16,3),"Null"),"-")</f>
        <v>0</v>
      </c>
      <c r="K1275" s="61"/>
      <c r="L1275" s="1">
        <v>3716931200</v>
      </c>
    </row>
    <row r="1276" spans="1:12" ht="18" customHeight="1" x14ac:dyDescent="0.45">
      <c r="A1276" s="8">
        <v>1270</v>
      </c>
      <c r="B1276" s="36" t="str">
        <f t="shared" si="526"/>
        <v>西日本第一本部</v>
      </c>
      <c r="C1276" s="36" t="str">
        <f t="shared" si="526"/>
        <v>そんぽの家　天王寺</v>
      </c>
      <c r="D1276" s="9" t="s">
        <v>2</v>
      </c>
      <c r="E1276" s="10">
        <v>1</v>
      </c>
      <c r="F1276" s="12">
        <v>46</v>
      </c>
      <c r="G1276" s="12">
        <v>46</v>
      </c>
      <c r="H1276" s="10">
        <f t="shared" si="506"/>
        <v>46</v>
      </c>
      <c r="I1276" s="39"/>
      <c r="J1276" s="19" cm="1">
        <f t="array" ref="J1276">IFERROR(IF(_xlfn.XLOOKUP(L1276,NC導入施設!B:B,NC導入施設!E:E)=0,_xlfn.IFS(H1276&lt;=5,0,H1276&lt;=10,1,H1276&lt;=15,2,H1276&gt;=16,3),"Null"),"-")</f>
        <v>3</v>
      </c>
      <c r="K1276" s="62"/>
      <c r="L1276" s="1">
        <v>3716931200</v>
      </c>
    </row>
    <row r="1277" spans="1:12" ht="18" customHeight="1" x14ac:dyDescent="0.45">
      <c r="A1277" s="13">
        <v>1271</v>
      </c>
      <c r="B1277" s="40" t="s">
        <v>85</v>
      </c>
      <c r="C1277" s="40" t="s">
        <v>141</v>
      </c>
      <c r="D1277" s="14" t="s">
        <v>3</v>
      </c>
      <c r="E1277" s="15">
        <v>1</v>
      </c>
      <c r="F1277" s="17">
        <v>3</v>
      </c>
      <c r="G1277" s="17">
        <v>3</v>
      </c>
      <c r="H1277" s="15">
        <f t="shared" si="506"/>
        <v>3</v>
      </c>
      <c r="I1277" s="43" cm="1">
        <f t="array" ref="I1277">IF(J1277="-","-",_xlfn.IFS(K1277&lt;=5,0,K1277&lt;=10,1,K1277&lt;=15,2,K1277&gt;=16,3))</f>
        <v>3</v>
      </c>
      <c r="J1277" s="19" cm="1">
        <f t="array" ref="J1277">IFERROR(IF(_xlfn.XLOOKUP(L1277,NC導入施設!B:B,NC導入施設!E:E)=0,_xlfn.IFS(H1277&lt;=5,0,H1277&lt;=10,1,H1277&lt;=15,2,H1277&gt;=16,3),"Null"),"-")</f>
        <v>0</v>
      </c>
      <c r="K1277" s="60">
        <f t="shared" ref="K1277" si="527">IFERROR(SUM(H1277:H1281),"-")</f>
        <v>43</v>
      </c>
      <c r="L1277" s="1">
        <v>3716961200</v>
      </c>
    </row>
    <row r="1278" spans="1:12" ht="18" customHeight="1" x14ac:dyDescent="0.45">
      <c r="A1278" s="13">
        <v>1272</v>
      </c>
      <c r="B1278" s="41" t="str">
        <f t="shared" ref="B1278:C1281" si="528">B1277</f>
        <v>西日本第一本部</v>
      </c>
      <c r="C1278" s="41" t="str">
        <f t="shared" si="528"/>
        <v>そんぽの家　平野長吉</v>
      </c>
      <c r="D1278" s="14" t="s">
        <v>4</v>
      </c>
      <c r="E1278" s="15">
        <v>1</v>
      </c>
      <c r="F1278" s="17">
        <v>5</v>
      </c>
      <c r="G1278" s="17">
        <v>5</v>
      </c>
      <c r="H1278" s="15">
        <f t="shared" si="506"/>
        <v>5</v>
      </c>
      <c r="I1278" s="44"/>
      <c r="J1278" s="19" cm="1">
        <f t="array" ref="J1278">IFERROR(IF(_xlfn.XLOOKUP(L1278,NC導入施設!B:B,NC導入施設!E:E)=0,_xlfn.IFS(H1278&lt;=5,0,H1278&lt;=10,1,H1278&lt;=15,2,H1278&gt;=16,3),"Null"),"-")</f>
        <v>0</v>
      </c>
      <c r="K1278" s="61"/>
      <c r="L1278" s="1">
        <v>3716961200</v>
      </c>
    </row>
    <row r="1279" spans="1:12" ht="18" customHeight="1" x14ac:dyDescent="0.45">
      <c r="A1279" s="13">
        <v>1273</v>
      </c>
      <c r="B1279" s="41" t="str">
        <f t="shared" si="528"/>
        <v>西日本第一本部</v>
      </c>
      <c r="C1279" s="41" t="str">
        <f t="shared" si="528"/>
        <v>そんぽの家　平野長吉</v>
      </c>
      <c r="D1279" s="14" t="s">
        <v>5</v>
      </c>
      <c r="E1279" s="15">
        <v>1</v>
      </c>
      <c r="F1279" s="17">
        <v>28</v>
      </c>
      <c r="G1279" s="17">
        <v>28</v>
      </c>
      <c r="H1279" s="15">
        <f t="shared" si="506"/>
        <v>28</v>
      </c>
      <c r="I1279" s="44"/>
      <c r="J1279" s="19" cm="1">
        <f t="array" ref="J1279">IFERROR(IF(_xlfn.XLOOKUP(L1279,NC導入施設!B:B,NC導入施設!E:E)=0,_xlfn.IFS(H1279&lt;=5,0,H1279&lt;=10,1,H1279&lt;=15,2,H1279&gt;=16,3),"Null"),"-")</f>
        <v>3</v>
      </c>
      <c r="K1279" s="61"/>
      <c r="L1279" s="1">
        <v>3716961200</v>
      </c>
    </row>
    <row r="1280" spans="1:12" ht="18" customHeight="1" x14ac:dyDescent="0.45">
      <c r="A1280" s="13">
        <v>1274</v>
      </c>
      <c r="B1280" s="41" t="str">
        <f t="shared" si="528"/>
        <v>西日本第一本部</v>
      </c>
      <c r="C1280" s="41" t="str">
        <f t="shared" si="528"/>
        <v>そんぽの家　平野長吉</v>
      </c>
      <c r="D1280" s="14" t="s">
        <v>6</v>
      </c>
      <c r="E1280" s="15">
        <v>4</v>
      </c>
      <c r="F1280" s="17">
        <v>0</v>
      </c>
      <c r="G1280" s="17">
        <v>0</v>
      </c>
      <c r="H1280" s="15">
        <f t="shared" si="506"/>
        <v>0</v>
      </c>
      <c r="I1280" s="44"/>
      <c r="J1280" s="19" cm="1">
        <f t="array" ref="J1280">IFERROR(IF(_xlfn.XLOOKUP(L1280,NC導入施設!B:B,NC導入施設!E:E)=0,_xlfn.IFS(H1280&lt;=5,0,H1280&lt;=10,1,H1280&lt;=15,2,H1280&gt;=16,3),"Null"),"-")</f>
        <v>0</v>
      </c>
      <c r="K1280" s="61"/>
      <c r="L1280" s="1">
        <v>3716961200</v>
      </c>
    </row>
    <row r="1281" spans="1:12" ht="18" customHeight="1" x14ac:dyDescent="0.45">
      <c r="A1281" s="13">
        <v>1275</v>
      </c>
      <c r="B1281" s="42" t="str">
        <f t="shared" si="528"/>
        <v>西日本第一本部</v>
      </c>
      <c r="C1281" s="42" t="str">
        <f t="shared" si="528"/>
        <v>そんぽの家　平野長吉</v>
      </c>
      <c r="D1281" s="14" t="s">
        <v>2</v>
      </c>
      <c r="E1281" s="15">
        <v>1</v>
      </c>
      <c r="F1281" s="17">
        <v>7</v>
      </c>
      <c r="G1281" s="17">
        <v>7</v>
      </c>
      <c r="H1281" s="15">
        <f t="shared" si="506"/>
        <v>7</v>
      </c>
      <c r="I1281" s="45"/>
      <c r="J1281" s="19" cm="1">
        <f t="array" ref="J1281">IFERROR(IF(_xlfn.XLOOKUP(L1281,NC導入施設!B:B,NC導入施設!E:E)=0,_xlfn.IFS(H1281&lt;=5,0,H1281&lt;=10,1,H1281&lt;=15,2,H1281&gt;=16,3),"Null"),"-")</f>
        <v>1</v>
      </c>
      <c r="K1281" s="62"/>
      <c r="L1281" s="1">
        <v>3716961200</v>
      </c>
    </row>
    <row r="1282" spans="1:12" ht="18" customHeight="1" x14ac:dyDescent="0.45">
      <c r="A1282" s="8">
        <v>1276</v>
      </c>
      <c r="B1282" s="34" t="s">
        <v>85</v>
      </c>
      <c r="C1282" s="34" t="s">
        <v>142</v>
      </c>
      <c r="D1282" s="9" t="s">
        <v>3</v>
      </c>
      <c r="E1282" s="10">
        <v>1</v>
      </c>
      <c r="F1282" s="12">
        <v>2</v>
      </c>
      <c r="G1282" s="12">
        <v>2</v>
      </c>
      <c r="H1282" s="10">
        <f t="shared" si="506"/>
        <v>2</v>
      </c>
      <c r="I1282" s="37" cm="1">
        <f t="array" ref="I1282">IF(J1282="-","-",_xlfn.IFS(K1282&lt;=5,0,K1282&lt;=10,1,K1282&lt;=15,2,K1282&gt;=16,3))</f>
        <v>3</v>
      </c>
      <c r="J1282" s="19" cm="1">
        <f t="array" ref="J1282">IFERROR(IF(_xlfn.XLOOKUP(L1282,NC導入施設!B:B,NC導入施設!E:E)=0,_xlfn.IFS(H1282&lt;=5,0,H1282&lt;=10,1,H1282&lt;=15,2,H1282&gt;=16,3),"Null"),"-")</f>
        <v>0</v>
      </c>
      <c r="K1282" s="60">
        <f t="shared" ref="K1282" si="529">IFERROR(SUM(H1282:H1286),"-")</f>
        <v>40</v>
      </c>
      <c r="L1282" s="1">
        <v>3716991200</v>
      </c>
    </row>
    <row r="1283" spans="1:12" ht="18" customHeight="1" x14ac:dyDescent="0.45">
      <c r="A1283" s="8">
        <v>1277</v>
      </c>
      <c r="B1283" s="35" t="str">
        <f t="shared" ref="B1283:C1286" si="530">B1282</f>
        <v>西日本第一本部</v>
      </c>
      <c r="C1283" s="35" t="str">
        <f t="shared" si="530"/>
        <v>そんぽの家　鶴見徳庵</v>
      </c>
      <c r="D1283" s="9" t="s">
        <v>4</v>
      </c>
      <c r="E1283" s="10">
        <v>1</v>
      </c>
      <c r="F1283" s="12">
        <v>7</v>
      </c>
      <c r="G1283" s="12">
        <v>7</v>
      </c>
      <c r="H1283" s="10">
        <f t="shared" si="506"/>
        <v>7</v>
      </c>
      <c r="I1283" s="38"/>
      <c r="J1283" s="19" cm="1">
        <f t="array" ref="J1283">IFERROR(IF(_xlfn.XLOOKUP(L1283,NC導入施設!B:B,NC導入施設!E:E)=0,_xlfn.IFS(H1283&lt;=5,0,H1283&lt;=10,1,H1283&lt;=15,2,H1283&gt;=16,3),"Null"),"-")</f>
        <v>1</v>
      </c>
      <c r="K1283" s="61"/>
      <c r="L1283" s="1">
        <v>3716991200</v>
      </c>
    </row>
    <row r="1284" spans="1:12" ht="18" customHeight="1" x14ac:dyDescent="0.45">
      <c r="A1284" s="8">
        <v>1278</v>
      </c>
      <c r="B1284" s="35" t="str">
        <f t="shared" si="530"/>
        <v>西日本第一本部</v>
      </c>
      <c r="C1284" s="35" t="str">
        <f t="shared" si="530"/>
        <v>そんぽの家　鶴見徳庵</v>
      </c>
      <c r="D1284" s="9" t="s">
        <v>5</v>
      </c>
      <c r="E1284" s="10">
        <v>1</v>
      </c>
      <c r="F1284" s="12">
        <v>1</v>
      </c>
      <c r="G1284" s="12">
        <v>1</v>
      </c>
      <c r="H1284" s="10">
        <f t="shared" si="506"/>
        <v>1</v>
      </c>
      <c r="I1284" s="38"/>
      <c r="J1284" s="19" cm="1">
        <f t="array" ref="J1284">IFERROR(IF(_xlfn.XLOOKUP(L1284,NC導入施設!B:B,NC導入施設!E:E)=0,_xlfn.IFS(H1284&lt;=5,0,H1284&lt;=10,1,H1284&lt;=15,2,H1284&gt;=16,3),"Null"),"-")</f>
        <v>0</v>
      </c>
      <c r="K1284" s="61"/>
      <c r="L1284" s="1">
        <v>3716991200</v>
      </c>
    </row>
    <row r="1285" spans="1:12" ht="18" customHeight="1" x14ac:dyDescent="0.45">
      <c r="A1285" s="8">
        <v>1279</v>
      </c>
      <c r="B1285" s="35" t="str">
        <f t="shared" si="530"/>
        <v>西日本第一本部</v>
      </c>
      <c r="C1285" s="35" t="str">
        <f t="shared" si="530"/>
        <v>そんぽの家　鶴見徳庵</v>
      </c>
      <c r="D1285" s="9" t="s">
        <v>6</v>
      </c>
      <c r="E1285" s="10">
        <v>2</v>
      </c>
      <c r="F1285" s="12">
        <v>11</v>
      </c>
      <c r="G1285" s="12">
        <v>5.5</v>
      </c>
      <c r="H1285" s="10">
        <f t="shared" si="506"/>
        <v>11</v>
      </c>
      <c r="I1285" s="38"/>
      <c r="J1285" s="19" cm="1">
        <f t="array" ref="J1285">IFERROR(IF(_xlfn.XLOOKUP(L1285,NC導入施設!B:B,NC導入施設!E:E)=0,_xlfn.IFS(H1285&lt;=5,0,H1285&lt;=10,1,H1285&lt;=15,2,H1285&gt;=16,3),"Null"),"-")</f>
        <v>2</v>
      </c>
      <c r="K1285" s="61"/>
      <c r="L1285" s="1">
        <v>3716991200</v>
      </c>
    </row>
    <row r="1286" spans="1:12" ht="18" customHeight="1" x14ac:dyDescent="0.45">
      <c r="A1286" s="8">
        <v>1280</v>
      </c>
      <c r="B1286" s="36" t="str">
        <f t="shared" si="530"/>
        <v>西日本第一本部</v>
      </c>
      <c r="C1286" s="36" t="str">
        <f t="shared" si="530"/>
        <v>そんぽの家　鶴見徳庵</v>
      </c>
      <c r="D1286" s="9" t="s">
        <v>2</v>
      </c>
      <c r="E1286" s="10">
        <v>1</v>
      </c>
      <c r="F1286" s="12">
        <v>19</v>
      </c>
      <c r="G1286" s="12">
        <v>19</v>
      </c>
      <c r="H1286" s="10">
        <f t="shared" si="506"/>
        <v>19</v>
      </c>
      <c r="I1286" s="39"/>
      <c r="J1286" s="19" cm="1">
        <f t="array" ref="J1286">IFERROR(IF(_xlfn.XLOOKUP(L1286,NC導入施設!B:B,NC導入施設!E:E)=0,_xlfn.IFS(H1286&lt;=5,0,H1286&lt;=10,1,H1286&lt;=15,2,H1286&gt;=16,3),"Null"),"-")</f>
        <v>3</v>
      </c>
      <c r="K1286" s="62"/>
      <c r="L1286" s="1">
        <v>3716991200</v>
      </c>
    </row>
    <row r="1287" spans="1:12" ht="18" customHeight="1" x14ac:dyDescent="0.45">
      <c r="A1287" s="13">
        <v>1281</v>
      </c>
      <c r="B1287" s="40" t="s">
        <v>85</v>
      </c>
      <c r="C1287" s="40" t="s">
        <v>143</v>
      </c>
      <c r="D1287" s="14" t="s">
        <v>3</v>
      </c>
      <c r="E1287" s="15">
        <v>1</v>
      </c>
      <c r="F1287" s="17">
        <v>6</v>
      </c>
      <c r="G1287" s="17">
        <v>6</v>
      </c>
      <c r="H1287" s="15">
        <f t="shared" si="506"/>
        <v>6</v>
      </c>
      <c r="I1287" s="43" cm="1">
        <f t="array" ref="I1287">IF(J1287="-","-",_xlfn.IFS(K1287&lt;=5,0,K1287&lt;=10,1,K1287&lt;=15,2,K1287&gt;=16,3))</f>
        <v>3</v>
      </c>
      <c r="J1287" s="19" cm="1">
        <f t="array" ref="J1287">IFERROR(IF(_xlfn.XLOOKUP(L1287,NC導入施設!B:B,NC導入施設!E:E)=0,_xlfn.IFS(H1287&lt;=5,0,H1287&lt;=10,1,H1287&lt;=15,2,H1287&gt;=16,3),"Null"),"-")</f>
        <v>1</v>
      </c>
      <c r="K1287" s="60">
        <f t="shared" ref="K1287" si="531">IFERROR(SUM(H1287:H1291),"-")</f>
        <v>36</v>
      </c>
      <c r="L1287" s="1">
        <v>3717021200</v>
      </c>
    </row>
    <row r="1288" spans="1:12" ht="18" customHeight="1" x14ac:dyDescent="0.45">
      <c r="A1288" s="13">
        <v>1282</v>
      </c>
      <c r="B1288" s="41" t="str">
        <f t="shared" ref="B1288:C1291" si="532">B1287</f>
        <v>西日本第一本部</v>
      </c>
      <c r="C1288" s="41" t="str">
        <f t="shared" si="532"/>
        <v>そんぽの家　東大阪日下</v>
      </c>
      <c r="D1288" s="14" t="s">
        <v>4</v>
      </c>
      <c r="E1288" s="15">
        <v>1</v>
      </c>
      <c r="F1288" s="17">
        <v>19</v>
      </c>
      <c r="G1288" s="17">
        <v>19</v>
      </c>
      <c r="H1288" s="15">
        <f t="shared" ref="H1288:H1351" si="533">F1288</f>
        <v>19</v>
      </c>
      <c r="I1288" s="44"/>
      <c r="J1288" s="19" cm="1">
        <f t="array" ref="J1288">IFERROR(IF(_xlfn.XLOOKUP(L1288,NC導入施設!B:B,NC導入施設!E:E)=0,_xlfn.IFS(H1288&lt;=5,0,H1288&lt;=10,1,H1288&lt;=15,2,H1288&gt;=16,3),"Null"),"-")</f>
        <v>3</v>
      </c>
      <c r="K1288" s="61"/>
      <c r="L1288" s="1">
        <v>3717021200</v>
      </c>
    </row>
    <row r="1289" spans="1:12" ht="18" customHeight="1" x14ac:dyDescent="0.45">
      <c r="A1289" s="13">
        <v>1283</v>
      </c>
      <c r="B1289" s="41" t="str">
        <f t="shared" si="532"/>
        <v>西日本第一本部</v>
      </c>
      <c r="C1289" s="41" t="str">
        <f t="shared" si="532"/>
        <v>そんぽの家　東大阪日下</v>
      </c>
      <c r="D1289" s="14" t="s">
        <v>5</v>
      </c>
      <c r="E1289" s="15">
        <v>1</v>
      </c>
      <c r="F1289" s="17">
        <v>0</v>
      </c>
      <c r="G1289" s="17">
        <v>0</v>
      </c>
      <c r="H1289" s="15">
        <f t="shared" si="533"/>
        <v>0</v>
      </c>
      <c r="I1289" s="44"/>
      <c r="J1289" s="19" cm="1">
        <f t="array" ref="J1289">IFERROR(IF(_xlfn.XLOOKUP(L1289,NC導入施設!B:B,NC導入施設!E:E)=0,_xlfn.IFS(H1289&lt;=5,0,H1289&lt;=10,1,H1289&lt;=15,2,H1289&gt;=16,3),"Null"),"-")</f>
        <v>0</v>
      </c>
      <c r="K1289" s="61"/>
      <c r="L1289" s="1">
        <v>3717021200</v>
      </c>
    </row>
    <row r="1290" spans="1:12" ht="18" customHeight="1" x14ac:dyDescent="0.45">
      <c r="A1290" s="13">
        <v>1284</v>
      </c>
      <c r="B1290" s="41" t="str">
        <f t="shared" si="532"/>
        <v>西日本第一本部</v>
      </c>
      <c r="C1290" s="41" t="str">
        <f t="shared" si="532"/>
        <v>そんぽの家　東大阪日下</v>
      </c>
      <c r="D1290" s="14" t="s">
        <v>6</v>
      </c>
      <c r="E1290" s="15">
        <v>3</v>
      </c>
      <c r="F1290" s="17">
        <v>1</v>
      </c>
      <c r="G1290" s="17">
        <v>0.3</v>
      </c>
      <c r="H1290" s="15">
        <f t="shared" si="533"/>
        <v>1</v>
      </c>
      <c r="I1290" s="44"/>
      <c r="J1290" s="19" cm="1">
        <f t="array" ref="J1290">IFERROR(IF(_xlfn.XLOOKUP(L1290,NC導入施設!B:B,NC導入施設!E:E)=0,_xlfn.IFS(H1290&lt;=5,0,H1290&lt;=10,1,H1290&lt;=15,2,H1290&gt;=16,3),"Null"),"-")</f>
        <v>0</v>
      </c>
      <c r="K1290" s="61"/>
      <c r="L1290" s="1">
        <v>3717021200</v>
      </c>
    </row>
    <row r="1291" spans="1:12" ht="18" customHeight="1" x14ac:dyDescent="0.45">
      <c r="A1291" s="13">
        <v>1285</v>
      </c>
      <c r="B1291" s="42" t="str">
        <f t="shared" si="532"/>
        <v>西日本第一本部</v>
      </c>
      <c r="C1291" s="42" t="str">
        <f t="shared" si="532"/>
        <v>そんぽの家　東大阪日下</v>
      </c>
      <c r="D1291" s="14" t="s">
        <v>2</v>
      </c>
      <c r="E1291" s="15">
        <v>1</v>
      </c>
      <c r="F1291" s="17">
        <v>10</v>
      </c>
      <c r="G1291" s="17">
        <v>10</v>
      </c>
      <c r="H1291" s="15">
        <f t="shared" si="533"/>
        <v>10</v>
      </c>
      <c r="I1291" s="45"/>
      <c r="J1291" s="19" cm="1">
        <f t="array" ref="J1291">IFERROR(IF(_xlfn.XLOOKUP(L1291,NC導入施設!B:B,NC導入施設!E:E)=0,_xlfn.IFS(H1291&lt;=5,0,H1291&lt;=10,1,H1291&lt;=15,2,H1291&gt;=16,3),"Null"),"-")</f>
        <v>1</v>
      </c>
      <c r="K1291" s="62"/>
      <c r="L1291" s="1">
        <v>3717021200</v>
      </c>
    </row>
    <row r="1292" spans="1:12" ht="18" customHeight="1" x14ac:dyDescent="0.45">
      <c r="A1292" s="8">
        <v>1286</v>
      </c>
      <c r="B1292" s="34" t="s">
        <v>85</v>
      </c>
      <c r="C1292" s="34" t="s">
        <v>144</v>
      </c>
      <c r="D1292" s="9" t="s">
        <v>3</v>
      </c>
      <c r="E1292" s="10">
        <v>1</v>
      </c>
      <c r="F1292" s="12">
        <v>3</v>
      </c>
      <c r="G1292" s="12">
        <v>3</v>
      </c>
      <c r="H1292" s="10">
        <f t="shared" si="533"/>
        <v>3</v>
      </c>
      <c r="I1292" s="37" cm="1">
        <f t="array" ref="I1292">IF(J1292="-","-",_xlfn.IFS(K1292&lt;=5,0,K1292&lt;=10,1,K1292&lt;=15,2,K1292&gt;=16,3))</f>
        <v>3</v>
      </c>
      <c r="J1292" s="19" cm="1">
        <f t="array" ref="J1292">IFERROR(IF(_xlfn.XLOOKUP(L1292,NC導入施設!B:B,NC導入施設!E:E)=0,_xlfn.IFS(H1292&lt;=5,0,H1292&lt;=10,1,H1292&lt;=15,2,H1292&gt;=16,3),"Null"),"-")</f>
        <v>0</v>
      </c>
      <c r="K1292" s="60">
        <f t="shared" ref="K1292" si="534">IFERROR(SUM(H1292:H1296),"-")</f>
        <v>36</v>
      </c>
      <c r="L1292" s="1">
        <v>3717031200</v>
      </c>
    </row>
    <row r="1293" spans="1:12" ht="18" customHeight="1" x14ac:dyDescent="0.45">
      <c r="A1293" s="8">
        <v>1287</v>
      </c>
      <c r="B1293" s="35" t="str">
        <f t="shared" ref="B1293:C1296" si="535">B1292</f>
        <v>西日本第一本部</v>
      </c>
      <c r="C1293" s="35" t="str">
        <f t="shared" si="535"/>
        <v>そんぽの家　新石切</v>
      </c>
      <c r="D1293" s="9" t="s">
        <v>4</v>
      </c>
      <c r="E1293" s="10">
        <v>1</v>
      </c>
      <c r="F1293" s="12">
        <v>4</v>
      </c>
      <c r="G1293" s="12">
        <v>4</v>
      </c>
      <c r="H1293" s="10">
        <f t="shared" si="533"/>
        <v>4</v>
      </c>
      <c r="I1293" s="38"/>
      <c r="J1293" s="19" cm="1">
        <f t="array" ref="J1293">IFERROR(IF(_xlfn.XLOOKUP(L1293,NC導入施設!B:B,NC導入施設!E:E)=0,_xlfn.IFS(H1293&lt;=5,0,H1293&lt;=10,1,H1293&lt;=15,2,H1293&gt;=16,3),"Null"),"-")</f>
        <v>0</v>
      </c>
      <c r="K1293" s="61"/>
      <c r="L1293" s="1">
        <v>3717031200</v>
      </c>
    </row>
    <row r="1294" spans="1:12" ht="18" customHeight="1" x14ac:dyDescent="0.45">
      <c r="A1294" s="8">
        <v>1288</v>
      </c>
      <c r="B1294" s="35" t="str">
        <f t="shared" si="535"/>
        <v>西日本第一本部</v>
      </c>
      <c r="C1294" s="35" t="str">
        <f t="shared" si="535"/>
        <v>そんぽの家　新石切</v>
      </c>
      <c r="D1294" s="9" t="s">
        <v>5</v>
      </c>
      <c r="E1294" s="10">
        <v>1</v>
      </c>
      <c r="F1294" s="12">
        <v>23</v>
      </c>
      <c r="G1294" s="12">
        <v>23</v>
      </c>
      <c r="H1294" s="10">
        <f t="shared" si="533"/>
        <v>23</v>
      </c>
      <c r="I1294" s="38"/>
      <c r="J1294" s="19" cm="1">
        <f t="array" ref="J1294">IFERROR(IF(_xlfn.XLOOKUP(L1294,NC導入施設!B:B,NC導入施設!E:E)=0,_xlfn.IFS(H1294&lt;=5,0,H1294&lt;=10,1,H1294&lt;=15,2,H1294&gt;=16,3),"Null"),"-")</f>
        <v>3</v>
      </c>
      <c r="K1294" s="61"/>
      <c r="L1294" s="1">
        <v>3717031200</v>
      </c>
    </row>
    <row r="1295" spans="1:12" ht="18" customHeight="1" x14ac:dyDescent="0.45">
      <c r="A1295" s="8">
        <v>1289</v>
      </c>
      <c r="B1295" s="35" t="str">
        <f t="shared" si="535"/>
        <v>西日本第一本部</v>
      </c>
      <c r="C1295" s="35" t="str">
        <f t="shared" si="535"/>
        <v>そんぽの家　新石切</v>
      </c>
      <c r="D1295" s="9" t="s">
        <v>6</v>
      </c>
      <c r="E1295" s="10">
        <v>3</v>
      </c>
      <c r="F1295" s="12">
        <v>3</v>
      </c>
      <c r="G1295" s="12">
        <v>1</v>
      </c>
      <c r="H1295" s="10">
        <f t="shared" si="533"/>
        <v>3</v>
      </c>
      <c r="I1295" s="38"/>
      <c r="J1295" s="19" cm="1">
        <f t="array" ref="J1295">IFERROR(IF(_xlfn.XLOOKUP(L1295,NC導入施設!B:B,NC導入施設!E:E)=0,_xlfn.IFS(H1295&lt;=5,0,H1295&lt;=10,1,H1295&lt;=15,2,H1295&gt;=16,3),"Null"),"-")</f>
        <v>0</v>
      </c>
      <c r="K1295" s="61"/>
      <c r="L1295" s="1">
        <v>3717031200</v>
      </c>
    </row>
    <row r="1296" spans="1:12" ht="18" customHeight="1" x14ac:dyDescent="0.45">
      <c r="A1296" s="8">
        <v>1290</v>
      </c>
      <c r="B1296" s="36" t="str">
        <f t="shared" si="535"/>
        <v>西日本第一本部</v>
      </c>
      <c r="C1296" s="36" t="str">
        <f t="shared" si="535"/>
        <v>そんぽの家　新石切</v>
      </c>
      <c r="D1296" s="9" t="s">
        <v>2</v>
      </c>
      <c r="E1296" s="10">
        <v>3</v>
      </c>
      <c r="F1296" s="12">
        <v>3</v>
      </c>
      <c r="G1296" s="12">
        <v>1</v>
      </c>
      <c r="H1296" s="10">
        <f t="shared" si="533"/>
        <v>3</v>
      </c>
      <c r="I1296" s="39"/>
      <c r="J1296" s="19" cm="1">
        <f t="array" ref="J1296">IFERROR(IF(_xlfn.XLOOKUP(L1296,NC導入施設!B:B,NC導入施設!E:E)=0,_xlfn.IFS(H1296&lt;=5,0,H1296&lt;=10,1,H1296&lt;=15,2,H1296&gt;=16,3),"Null"),"-")</f>
        <v>0</v>
      </c>
      <c r="K1296" s="62"/>
      <c r="L1296" s="1">
        <v>3717031200</v>
      </c>
    </row>
    <row r="1297" spans="1:12" ht="18" customHeight="1" x14ac:dyDescent="0.45">
      <c r="A1297" s="13">
        <v>1291</v>
      </c>
      <c r="B1297" s="40" t="s">
        <v>85</v>
      </c>
      <c r="C1297" s="40" t="s">
        <v>145</v>
      </c>
      <c r="D1297" s="14" t="s">
        <v>3</v>
      </c>
      <c r="E1297" s="15">
        <v>1</v>
      </c>
      <c r="F1297" s="17">
        <v>4</v>
      </c>
      <c r="G1297" s="17">
        <v>4</v>
      </c>
      <c r="H1297" s="15">
        <f t="shared" si="533"/>
        <v>4</v>
      </c>
      <c r="I1297" s="43" cm="1">
        <f t="array" ref="I1297">IF(J1297="-","-",_xlfn.IFS(K1297&lt;=5,0,K1297&lt;=10,1,K1297&lt;=15,2,K1297&gt;=16,3))</f>
        <v>3</v>
      </c>
      <c r="J1297" s="19" cm="1">
        <f t="array" ref="J1297">IFERROR(IF(_xlfn.XLOOKUP(L1297,NC導入施設!B:B,NC導入施設!E:E)=0,_xlfn.IFS(H1297&lt;=5,0,H1297&lt;=10,1,H1297&lt;=15,2,H1297&gt;=16,3),"Null"),"-")</f>
        <v>0</v>
      </c>
      <c r="K1297" s="60">
        <f t="shared" ref="K1297" si="536">IFERROR(SUM(H1297:H1301),"-")</f>
        <v>32</v>
      </c>
      <c r="L1297" s="1">
        <v>3717051200</v>
      </c>
    </row>
    <row r="1298" spans="1:12" ht="18" customHeight="1" x14ac:dyDescent="0.45">
      <c r="A1298" s="13">
        <v>1292</v>
      </c>
      <c r="B1298" s="41" t="str">
        <f t="shared" ref="B1298:C1301" si="537">B1297</f>
        <v>西日本第一本部</v>
      </c>
      <c r="C1298" s="41" t="str">
        <f t="shared" si="537"/>
        <v>そんぽの家　泉北</v>
      </c>
      <c r="D1298" s="14" t="s">
        <v>4</v>
      </c>
      <c r="E1298" s="15">
        <v>1</v>
      </c>
      <c r="F1298" s="17">
        <v>1</v>
      </c>
      <c r="G1298" s="17">
        <v>1</v>
      </c>
      <c r="H1298" s="15">
        <f t="shared" si="533"/>
        <v>1</v>
      </c>
      <c r="I1298" s="44"/>
      <c r="J1298" s="19" cm="1">
        <f t="array" ref="J1298">IFERROR(IF(_xlfn.XLOOKUP(L1298,NC導入施設!B:B,NC導入施設!E:E)=0,_xlfn.IFS(H1298&lt;=5,0,H1298&lt;=10,1,H1298&lt;=15,2,H1298&gt;=16,3),"Null"),"-")</f>
        <v>0</v>
      </c>
      <c r="K1298" s="61"/>
      <c r="L1298" s="1">
        <v>3717051200</v>
      </c>
    </row>
    <row r="1299" spans="1:12" ht="18" customHeight="1" x14ac:dyDescent="0.45">
      <c r="A1299" s="13">
        <v>1293</v>
      </c>
      <c r="B1299" s="41" t="str">
        <f t="shared" si="537"/>
        <v>西日本第一本部</v>
      </c>
      <c r="C1299" s="41" t="str">
        <f t="shared" si="537"/>
        <v>そんぽの家　泉北</v>
      </c>
      <c r="D1299" s="14" t="s">
        <v>5</v>
      </c>
      <c r="E1299" s="15">
        <v>1</v>
      </c>
      <c r="F1299" s="17">
        <v>27</v>
      </c>
      <c r="G1299" s="17">
        <v>27</v>
      </c>
      <c r="H1299" s="15">
        <f t="shared" si="533"/>
        <v>27</v>
      </c>
      <c r="I1299" s="44"/>
      <c r="J1299" s="19" cm="1">
        <f t="array" ref="J1299">IFERROR(IF(_xlfn.XLOOKUP(L1299,NC導入施設!B:B,NC導入施設!E:E)=0,_xlfn.IFS(H1299&lt;=5,0,H1299&lt;=10,1,H1299&lt;=15,2,H1299&gt;=16,3),"Null"),"-")</f>
        <v>3</v>
      </c>
      <c r="K1299" s="61"/>
      <c r="L1299" s="1">
        <v>3717051200</v>
      </c>
    </row>
    <row r="1300" spans="1:12" ht="18" customHeight="1" x14ac:dyDescent="0.45">
      <c r="A1300" s="13">
        <v>1294</v>
      </c>
      <c r="B1300" s="41" t="str">
        <f t="shared" si="537"/>
        <v>西日本第一本部</v>
      </c>
      <c r="C1300" s="41" t="str">
        <f t="shared" si="537"/>
        <v>そんぽの家　泉北</v>
      </c>
      <c r="D1300" s="14" t="s">
        <v>6</v>
      </c>
      <c r="E1300" s="15">
        <v>3</v>
      </c>
      <c r="F1300" s="17">
        <v>0</v>
      </c>
      <c r="G1300" s="17">
        <v>0</v>
      </c>
      <c r="H1300" s="15">
        <f t="shared" si="533"/>
        <v>0</v>
      </c>
      <c r="I1300" s="44"/>
      <c r="J1300" s="19" cm="1">
        <f t="array" ref="J1300">IFERROR(IF(_xlfn.XLOOKUP(L1300,NC導入施設!B:B,NC導入施設!E:E)=0,_xlfn.IFS(H1300&lt;=5,0,H1300&lt;=10,1,H1300&lt;=15,2,H1300&gt;=16,3),"Null"),"-")</f>
        <v>0</v>
      </c>
      <c r="K1300" s="61"/>
      <c r="L1300" s="1">
        <v>3717051200</v>
      </c>
    </row>
    <row r="1301" spans="1:12" ht="18" customHeight="1" x14ac:dyDescent="0.45">
      <c r="A1301" s="13">
        <v>1295</v>
      </c>
      <c r="B1301" s="42" t="str">
        <f t="shared" si="537"/>
        <v>西日本第一本部</v>
      </c>
      <c r="C1301" s="42" t="str">
        <f t="shared" si="537"/>
        <v>そんぽの家　泉北</v>
      </c>
      <c r="D1301" s="14" t="s">
        <v>2</v>
      </c>
      <c r="E1301" s="15">
        <v>2</v>
      </c>
      <c r="F1301" s="17">
        <v>0</v>
      </c>
      <c r="G1301" s="17">
        <v>0</v>
      </c>
      <c r="H1301" s="15">
        <f t="shared" si="533"/>
        <v>0</v>
      </c>
      <c r="I1301" s="45"/>
      <c r="J1301" s="19" cm="1">
        <f t="array" ref="J1301">IFERROR(IF(_xlfn.XLOOKUP(L1301,NC導入施設!B:B,NC導入施設!E:E)=0,_xlfn.IFS(H1301&lt;=5,0,H1301&lt;=10,1,H1301&lt;=15,2,H1301&gt;=16,3),"Null"),"-")</f>
        <v>0</v>
      </c>
      <c r="K1301" s="62"/>
      <c r="L1301" s="1">
        <v>3717051200</v>
      </c>
    </row>
    <row r="1302" spans="1:12" ht="18" customHeight="1" x14ac:dyDescent="0.45">
      <c r="A1302" s="8">
        <v>1296</v>
      </c>
      <c r="B1302" s="34" t="s">
        <v>85</v>
      </c>
      <c r="C1302" s="34" t="s">
        <v>146</v>
      </c>
      <c r="D1302" s="9" t="s">
        <v>3</v>
      </c>
      <c r="E1302" s="10">
        <v>1</v>
      </c>
      <c r="F1302" s="12">
        <v>17</v>
      </c>
      <c r="G1302" s="12">
        <v>17</v>
      </c>
      <c r="H1302" s="10">
        <f t="shared" si="533"/>
        <v>17</v>
      </c>
      <c r="I1302" s="37" cm="1">
        <f t="array" ref="I1302">IF(J1302="-","-",_xlfn.IFS(K1302&lt;=5,0,K1302&lt;=10,1,K1302&lt;=15,2,K1302&gt;=16,3))</f>
        <v>3</v>
      </c>
      <c r="J1302" s="19" cm="1">
        <f t="array" ref="J1302">IFERROR(IF(_xlfn.XLOOKUP(L1302,NC導入施設!B:B,NC導入施設!E:E)=0,_xlfn.IFS(H1302&lt;=5,0,H1302&lt;=10,1,H1302&lt;=15,2,H1302&gt;=16,3),"Null"),"-")</f>
        <v>3</v>
      </c>
      <c r="K1302" s="60">
        <f t="shared" ref="K1302" si="538">IFERROR(SUM(H1302:H1306),"-")</f>
        <v>22</v>
      </c>
      <c r="L1302" s="1">
        <v>3717061200</v>
      </c>
    </row>
    <row r="1303" spans="1:12" ht="18" customHeight="1" x14ac:dyDescent="0.45">
      <c r="A1303" s="8">
        <v>1297</v>
      </c>
      <c r="B1303" s="35" t="str">
        <f t="shared" ref="B1303:C1306" si="539">B1302</f>
        <v>西日本第一本部</v>
      </c>
      <c r="C1303" s="35" t="str">
        <f t="shared" si="539"/>
        <v>そんぽの家　堺浜寺</v>
      </c>
      <c r="D1303" s="9" t="s">
        <v>4</v>
      </c>
      <c r="E1303" s="10">
        <v>1</v>
      </c>
      <c r="F1303" s="12">
        <v>4</v>
      </c>
      <c r="G1303" s="12">
        <v>4</v>
      </c>
      <c r="H1303" s="10">
        <f t="shared" si="533"/>
        <v>4</v>
      </c>
      <c r="I1303" s="38"/>
      <c r="J1303" s="19" cm="1">
        <f t="array" ref="J1303">IFERROR(IF(_xlfn.XLOOKUP(L1303,NC導入施設!B:B,NC導入施設!E:E)=0,_xlfn.IFS(H1303&lt;=5,0,H1303&lt;=10,1,H1303&lt;=15,2,H1303&gt;=16,3),"Null"),"-")</f>
        <v>0</v>
      </c>
      <c r="K1303" s="61"/>
      <c r="L1303" s="1">
        <v>3717061200</v>
      </c>
    </row>
    <row r="1304" spans="1:12" ht="18" customHeight="1" x14ac:dyDescent="0.45">
      <c r="A1304" s="8">
        <v>1298</v>
      </c>
      <c r="B1304" s="35" t="str">
        <f t="shared" si="539"/>
        <v>西日本第一本部</v>
      </c>
      <c r="C1304" s="35" t="str">
        <f t="shared" si="539"/>
        <v>そんぽの家　堺浜寺</v>
      </c>
      <c r="D1304" s="9" t="s">
        <v>5</v>
      </c>
      <c r="E1304" s="10">
        <v>1</v>
      </c>
      <c r="F1304" s="12">
        <v>0</v>
      </c>
      <c r="G1304" s="12">
        <v>0</v>
      </c>
      <c r="H1304" s="10">
        <f t="shared" si="533"/>
        <v>0</v>
      </c>
      <c r="I1304" s="38"/>
      <c r="J1304" s="19" cm="1">
        <f t="array" ref="J1304">IFERROR(IF(_xlfn.XLOOKUP(L1304,NC導入施設!B:B,NC導入施設!E:E)=0,_xlfn.IFS(H1304&lt;=5,0,H1304&lt;=10,1,H1304&lt;=15,2,H1304&gt;=16,3),"Null"),"-")</f>
        <v>0</v>
      </c>
      <c r="K1304" s="61"/>
      <c r="L1304" s="1">
        <v>3717061200</v>
      </c>
    </row>
    <row r="1305" spans="1:12" ht="18" customHeight="1" x14ac:dyDescent="0.45">
      <c r="A1305" s="8">
        <v>1299</v>
      </c>
      <c r="B1305" s="35" t="str">
        <f t="shared" si="539"/>
        <v>西日本第一本部</v>
      </c>
      <c r="C1305" s="35" t="str">
        <f t="shared" si="539"/>
        <v>そんぽの家　堺浜寺</v>
      </c>
      <c r="D1305" s="9" t="s">
        <v>6</v>
      </c>
      <c r="E1305" s="10">
        <v>3</v>
      </c>
      <c r="F1305" s="12">
        <v>0</v>
      </c>
      <c r="G1305" s="12">
        <v>0</v>
      </c>
      <c r="H1305" s="10">
        <f t="shared" si="533"/>
        <v>0</v>
      </c>
      <c r="I1305" s="38"/>
      <c r="J1305" s="19" cm="1">
        <f t="array" ref="J1305">IFERROR(IF(_xlfn.XLOOKUP(L1305,NC導入施設!B:B,NC導入施設!E:E)=0,_xlfn.IFS(H1305&lt;=5,0,H1305&lt;=10,1,H1305&lt;=15,2,H1305&gt;=16,3),"Null"),"-")</f>
        <v>0</v>
      </c>
      <c r="K1305" s="61"/>
      <c r="L1305" s="1">
        <v>3717061200</v>
      </c>
    </row>
    <row r="1306" spans="1:12" ht="18" customHeight="1" x14ac:dyDescent="0.45">
      <c r="A1306" s="8">
        <v>1300</v>
      </c>
      <c r="B1306" s="36" t="str">
        <f t="shared" si="539"/>
        <v>西日本第一本部</v>
      </c>
      <c r="C1306" s="36" t="str">
        <f t="shared" si="539"/>
        <v>そんぽの家　堺浜寺</v>
      </c>
      <c r="D1306" s="9" t="s">
        <v>2</v>
      </c>
      <c r="E1306" s="10">
        <v>2</v>
      </c>
      <c r="F1306" s="12">
        <v>1</v>
      </c>
      <c r="G1306" s="12">
        <v>0.5</v>
      </c>
      <c r="H1306" s="10">
        <f t="shared" si="533"/>
        <v>1</v>
      </c>
      <c r="I1306" s="39"/>
      <c r="J1306" s="19" cm="1">
        <f t="array" ref="J1306">IFERROR(IF(_xlfn.XLOOKUP(L1306,NC導入施設!B:B,NC導入施設!E:E)=0,_xlfn.IFS(H1306&lt;=5,0,H1306&lt;=10,1,H1306&lt;=15,2,H1306&gt;=16,3),"Null"),"-")</f>
        <v>0</v>
      </c>
      <c r="K1306" s="62"/>
      <c r="L1306" s="1">
        <v>3717061200</v>
      </c>
    </row>
    <row r="1307" spans="1:12" ht="18" customHeight="1" x14ac:dyDescent="0.45">
      <c r="A1307" s="13">
        <v>1301</v>
      </c>
      <c r="B1307" s="40" t="s">
        <v>85</v>
      </c>
      <c r="C1307" s="40" t="s">
        <v>147</v>
      </c>
      <c r="D1307" s="14" t="s">
        <v>3</v>
      </c>
      <c r="E1307" s="15">
        <v>1</v>
      </c>
      <c r="F1307" s="17">
        <v>3</v>
      </c>
      <c r="G1307" s="17">
        <v>3</v>
      </c>
      <c r="H1307" s="15">
        <f t="shared" si="533"/>
        <v>3</v>
      </c>
      <c r="I1307" s="43" cm="1">
        <f t="array" ref="I1307">IF(J1307="-","-",_xlfn.IFS(K1307&lt;=5,0,K1307&lt;=10,1,K1307&lt;=15,2,K1307&gt;=16,3))</f>
        <v>0</v>
      </c>
      <c r="J1307" s="19" cm="1">
        <f t="array" ref="J1307">IFERROR(IF(_xlfn.XLOOKUP(L1307,NC導入施設!B:B,NC導入施設!E:E)=0,_xlfn.IFS(H1307&lt;=5,0,H1307&lt;=10,1,H1307&lt;=15,2,H1307&gt;=16,3),"Null"),"-")</f>
        <v>0</v>
      </c>
      <c r="K1307" s="60">
        <f t="shared" ref="K1307" si="540">IFERROR(SUM(H1307:H1311),"-")</f>
        <v>5</v>
      </c>
      <c r="L1307" s="1">
        <v>3717081200</v>
      </c>
    </row>
    <row r="1308" spans="1:12" ht="18" customHeight="1" x14ac:dyDescent="0.45">
      <c r="A1308" s="13">
        <v>1302</v>
      </c>
      <c r="B1308" s="41" t="str">
        <f t="shared" ref="B1308:C1311" si="541">B1307</f>
        <v>西日本第一本部</v>
      </c>
      <c r="C1308" s="41" t="str">
        <f t="shared" si="541"/>
        <v>そんぽの家　狭山</v>
      </c>
      <c r="D1308" s="14" t="s">
        <v>4</v>
      </c>
      <c r="E1308" s="15">
        <v>0</v>
      </c>
      <c r="F1308" s="17">
        <v>0</v>
      </c>
      <c r="G1308" s="17">
        <v>0</v>
      </c>
      <c r="H1308" s="15">
        <f t="shared" si="533"/>
        <v>0</v>
      </c>
      <c r="I1308" s="44"/>
      <c r="J1308" s="19" cm="1">
        <f t="array" ref="J1308">IFERROR(IF(_xlfn.XLOOKUP(L1308,NC導入施設!B:B,NC導入施設!E:E)=0,_xlfn.IFS(H1308&lt;=5,0,H1308&lt;=10,1,H1308&lt;=15,2,H1308&gt;=16,3),"Null"),"-")</f>
        <v>0</v>
      </c>
      <c r="K1308" s="61"/>
      <c r="L1308" s="1">
        <v>3717081200</v>
      </c>
    </row>
    <row r="1309" spans="1:12" ht="18" customHeight="1" x14ac:dyDescent="0.45">
      <c r="A1309" s="13">
        <v>1303</v>
      </c>
      <c r="B1309" s="41" t="str">
        <f t="shared" si="541"/>
        <v>西日本第一本部</v>
      </c>
      <c r="C1309" s="41" t="str">
        <f t="shared" si="541"/>
        <v>そんぽの家　狭山</v>
      </c>
      <c r="D1309" s="14" t="s">
        <v>5</v>
      </c>
      <c r="E1309" s="15">
        <v>1</v>
      </c>
      <c r="F1309" s="17">
        <v>2</v>
      </c>
      <c r="G1309" s="17">
        <v>2</v>
      </c>
      <c r="H1309" s="15">
        <f t="shared" si="533"/>
        <v>2</v>
      </c>
      <c r="I1309" s="44"/>
      <c r="J1309" s="19" cm="1">
        <f t="array" ref="J1309">IFERROR(IF(_xlfn.XLOOKUP(L1309,NC導入施設!B:B,NC導入施設!E:E)=0,_xlfn.IFS(H1309&lt;=5,0,H1309&lt;=10,1,H1309&lt;=15,2,H1309&gt;=16,3),"Null"),"-")</f>
        <v>0</v>
      </c>
      <c r="K1309" s="61"/>
      <c r="L1309" s="1">
        <v>3717081200</v>
      </c>
    </row>
    <row r="1310" spans="1:12" ht="18" customHeight="1" x14ac:dyDescent="0.45">
      <c r="A1310" s="13">
        <v>1304</v>
      </c>
      <c r="B1310" s="41" t="str">
        <f t="shared" si="541"/>
        <v>西日本第一本部</v>
      </c>
      <c r="C1310" s="41" t="str">
        <f t="shared" si="541"/>
        <v>そんぽの家　狭山</v>
      </c>
      <c r="D1310" s="14" t="s">
        <v>6</v>
      </c>
      <c r="E1310" s="15">
        <v>3</v>
      </c>
      <c r="F1310" s="17">
        <v>0</v>
      </c>
      <c r="G1310" s="17">
        <v>0</v>
      </c>
      <c r="H1310" s="15">
        <f t="shared" si="533"/>
        <v>0</v>
      </c>
      <c r="I1310" s="44"/>
      <c r="J1310" s="19" cm="1">
        <f t="array" ref="J1310">IFERROR(IF(_xlfn.XLOOKUP(L1310,NC導入施設!B:B,NC導入施設!E:E)=0,_xlfn.IFS(H1310&lt;=5,0,H1310&lt;=10,1,H1310&lt;=15,2,H1310&gt;=16,3),"Null"),"-")</f>
        <v>0</v>
      </c>
      <c r="K1310" s="61"/>
      <c r="L1310" s="1">
        <v>3717081200</v>
      </c>
    </row>
    <row r="1311" spans="1:12" ht="18" customHeight="1" x14ac:dyDescent="0.45">
      <c r="A1311" s="13">
        <v>1305</v>
      </c>
      <c r="B1311" s="42" t="str">
        <f t="shared" si="541"/>
        <v>西日本第一本部</v>
      </c>
      <c r="C1311" s="42" t="str">
        <f t="shared" si="541"/>
        <v>そんぽの家　狭山</v>
      </c>
      <c r="D1311" s="14" t="s">
        <v>2</v>
      </c>
      <c r="E1311" s="15">
        <v>1</v>
      </c>
      <c r="F1311" s="17">
        <v>0</v>
      </c>
      <c r="G1311" s="17">
        <v>0</v>
      </c>
      <c r="H1311" s="15">
        <f t="shared" si="533"/>
        <v>0</v>
      </c>
      <c r="I1311" s="45"/>
      <c r="J1311" s="19" cm="1">
        <f t="array" ref="J1311">IFERROR(IF(_xlfn.XLOOKUP(L1311,NC導入施設!B:B,NC導入施設!E:E)=0,_xlfn.IFS(H1311&lt;=5,0,H1311&lt;=10,1,H1311&lt;=15,2,H1311&gt;=16,3),"Null"),"-")</f>
        <v>0</v>
      </c>
      <c r="K1311" s="62"/>
      <c r="L1311" s="1">
        <v>3717081200</v>
      </c>
    </row>
    <row r="1312" spans="1:12" ht="18" customHeight="1" x14ac:dyDescent="0.45">
      <c r="A1312" s="8">
        <v>1306</v>
      </c>
      <c r="B1312" s="34" t="s">
        <v>85</v>
      </c>
      <c r="C1312" s="34" t="s">
        <v>148</v>
      </c>
      <c r="D1312" s="9" t="s">
        <v>3</v>
      </c>
      <c r="E1312" s="10">
        <v>1</v>
      </c>
      <c r="F1312" s="12">
        <v>11</v>
      </c>
      <c r="G1312" s="12">
        <v>11</v>
      </c>
      <c r="H1312" s="10">
        <f t="shared" si="533"/>
        <v>11</v>
      </c>
      <c r="I1312" s="37" cm="1">
        <f t="array" ref="I1312">IF(J1312="-","-",_xlfn.IFS(K1312&lt;=5,0,K1312&lt;=10,1,K1312&lt;=15,2,K1312&gt;=16,3))</f>
        <v>3</v>
      </c>
      <c r="J1312" s="19" cm="1">
        <f t="array" ref="J1312">IFERROR(IF(_xlfn.XLOOKUP(L1312,NC導入施設!B:B,NC導入施設!E:E)=0,_xlfn.IFS(H1312&lt;=5,0,H1312&lt;=10,1,H1312&lt;=15,2,H1312&gt;=16,3),"Null"),"-")</f>
        <v>2</v>
      </c>
      <c r="K1312" s="60">
        <f t="shared" ref="K1312" si="542">IFERROR(SUM(H1312:H1316),"-")</f>
        <v>48</v>
      </c>
      <c r="L1312" s="1">
        <v>3717611200</v>
      </c>
    </row>
    <row r="1313" spans="1:12" ht="18" customHeight="1" x14ac:dyDescent="0.45">
      <c r="A1313" s="8">
        <v>1307</v>
      </c>
      <c r="B1313" s="35" t="str">
        <f t="shared" ref="B1313:C1316" si="543">B1312</f>
        <v>西日本第一本部</v>
      </c>
      <c r="C1313" s="35" t="str">
        <f t="shared" si="543"/>
        <v>そんぽの家　我孫子東</v>
      </c>
      <c r="D1313" s="9" t="s">
        <v>4</v>
      </c>
      <c r="E1313" s="10">
        <v>1</v>
      </c>
      <c r="F1313" s="12">
        <v>18</v>
      </c>
      <c r="G1313" s="12">
        <v>18</v>
      </c>
      <c r="H1313" s="10">
        <f t="shared" si="533"/>
        <v>18</v>
      </c>
      <c r="I1313" s="38"/>
      <c r="J1313" s="19" cm="1">
        <f t="array" ref="J1313">IFERROR(IF(_xlfn.XLOOKUP(L1313,NC導入施設!B:B,NC導入施設!E:E)=0,_xlfn.IFS(H1313&lt;=5,0,H1313&lt;=10,1,H1313&lt;=15,2,H1313&gt;=16,3),"Null"),"-")</f>
        <v>3</v>
      </c>
      <c r="K1313" s="61"/>
      <c r="L1313" s="1">
        <v>3717611200</v>
      </c>
    </row>
    <row r="1314" spans="1:12" ht="18" customHeight="1" x14ac:dyDescent="0.45">
      <c r="A1314" s="8">
        <v>1308</v>
      </c>
      <c r="B1314" s="35" t="str">
        <f t="shared" si="543"/>
        <v>西日本第一本部</v>
      </c>
      <c r="C1314" s="35" t="str">
        <f t="shared" si="543"/>
        <v>そんぽの家　我孫子東</v>
      </c>
      <c r="D1314" s="9" t="s">
        <v>5</v>
      </c>
      <c r="E1314" s="10">
        <v>1</v>
      </c>
      <c r="F1314" s="12">
        <v>19</v>
      </c>
      <c r="G1314" s="12">
        <v>19</v>
      </c>
      <c r="H1314" s="10">
        <f t="shared" si="533"/>
        <v>19</v>
      </c>
      <c r="I1314" s="38"/>
      <c r="J1314" s="19" cm="1">
        <f t="array" ref="J1314">IFERROR(IF(_xlfn.XLOOKUP(L1314,NC導入施設!B:B,NC導入施設!E:E)=0,_xlfn.IFS(H1314&lt;=5,0,H1314&lt;=10,1,H1314&lt;=15,2,H1314&gt;=16,3),"Null"),"-")</f>
        <v>3</v>
      </c>
      <c r="K1314" s="61"/>
      <c r="L1314" s="1">
        <v>3717611200</v>
      </c>
    </row>
    <row r="1315" spans="1:12" ht="18" customHeight="1" x14ac:dyDescent="0.45">
      <c r="A1315" s="8">
        <v>1309</v>
      </c>
      <c r="B1315" s="35" t="str">
        <f t="shared" si="543"/>
        <v>西日本第一本部</v>
      </c>
      <c r="C1315" s="35" t="str">
        <f t="shared" si="543"/>
        <v>そんぽの家　我孫子東</v>
      </c>
      <c r="D1315" s="9" t="s">
        <v>6</v>
      </c>
      <c r="E1315" s="10">
        <v>3</v>
      </c>
      <c r="F1315" s="12">
        <v>0</v>
      </c>
      <c r="G1315" s="12">
        <v>0</v>
      </c>
      <c r="H1315" s="10">
        <f t="shared" si="533"/>
        <v>0</v>
      </c>
      <c r="I1315" s="38"/>
      <c r="J1315" s="19" cm="1">
        <f t="array" ref="J1315">IFERROR(IF(_xlfn.XLOOKUP(L1315,NC導入施設!B:B,NC導入施設!E:E)=0,_xlfn.IFS(H1315&lt;=5,0,H1315&lt;=10,1,H1315&lt;=15,2,H1315&gt;=16,3),"Null"),"-")</f>
        <v>0</v>
      </c>
      <c r="K1315" s="61"/>
      <c r="L1315" s="1">
        <v>3717611200</v>
      </c>
    </row>
    <row r="1316" spans="1:12" ht="18" customHeight="1" x14ac:dyDescent="0.45">
      <c r="A1316" s="8">
        <v>1310</v>
      </c>
      <c r="B1316" s="36" t="str">
        <f t="shared" si="543"/>
        <v>西日本第一本部</v>
      </c>
      <c r="C1316" s="36" t="str">
        <f t="shared" si="543"/>
        <v>そんぽの家　我孫子東</v>
      </c>
      <c r="D1316" s="9" t="s">
        <v>2</v>
      </c>
      <c r="E1316" s="10">
        <v>1</v>
      </c>
      <c r="F1316" s="12">
        <v>0</v>
      </c>
      <c r="G1316" s="12">
        <v>0</v>
      </c>
      <c r="H1316" s="10">
        <f t="shared" si="533"/>
        <v>0</v>
      </c>
      <c r="I1316" s="39"/>
      <c r="J1316" s="19" cm="1">
        <f t="array" ref="J1316">IFERROR(IF(_xlfn.XLOOKUP(L1316,NC導入施設!B:B,NC導入施設!E:E)=0,_xlfn.IFS(H1316&lt;=5,0,H1316&lt;=10,1,H1316&lt;=15,2,H1316&gt;=16,3),"Null"),"-")</f>
        <v>0</v>
      </c>
      <c r="K1316" s="62"/>
      <c r="L1316" s="1">
        <v>3717611200</v>
      </c>
    </row>
    <row r="1317" spans="1:12" ht="18" customHeight="1" x14ac:dyDescent="0.45">
      <c r="A1317" s="13">
        <v>1311</v>
      </c>
      <c r="B1317" s="40" t="s">
        <v>149</v>
      </c>
      <c r="C1317" s="40" t="s">
        <v>150</v>
      </c>
      <c r="D1317" s="14" t="s">
        <v>3</v>
      </c>
      <c r="E1317" s="15">
        <v>1</v>
      </c>
      <c r="F1317" s="17">
        <v>4</v>
      </c>
      <c r="G1317" s="17">
        <v>4</v>
      </c>
      <c r="H1317" s="15">
        <f t="shared" si="533"/>
        <v>4</v>
      </c>
      <c r="I1317" s="43" cm="1">
        <f t="array" ref="I1317">IF(J1317="-","-",_xlfn.IFS(K1317&lt;=5,0,K1317&lt;=10,1,K1317&lt;=15,2,K1317&gt;=16,3))</f>
        <v>3</v>
      </c>
      <c r="J1317" s="19" cm="1">
        <f t="array" ref="J1317">IFERROR(IF(_xlfn.XLOOKUP(L1317,NC導入施設!B:B,NC導入施設!E:E)=0,_xlfn.IFS(H1317&lt;=5,0,H1317&lt;=10,1,H1317&lt;=15,2,H1317&gt;=16,3),"Null"),"-")</f>
        <v>0</v>
      </c>
      <c r="K1317" s="60">
        <f t="shared" ref="K1317" si="544">IFERROR(SUM(H1317:H1321),"-")</f>
        <v>34</v>
      </c>
      <c r="L1317" s="1">
        <v>3817101200</v>
      </c>
    </row>
    <row r="1318" spans="1:12" ht="18" customHeight="1" x14ac:dyDescent="0.45">
      <c r="A1318" s="13">
        <v>1312</v>
      </c>
      <c r="B1318" s="41" t="str">
        <f t="shared" ref="B1318:C1321" si="545">B1317</f>
        <v>西日本第二本部</v>
      </c>
      <c r="C1318" s="41" t="str">
        <f t="shared" si="545"/>
        <v>そんぽの家　伊丹荒牧</v>
      </c>
      <c r="D1318" s="14" t="s">
        <v>4</v>
      </c>
      <c r="E1318" s="15">
        <v>1</v>
      </c>
      <c r="F1318" s="17">
        <v>1</v>
      </c>
      <c r="G1318" s="17">
        <v>1</v>
      </c>
      <c r="H1318" s="15">
        <f t="shared" si="533"/>
        <v>1</v>
      </c>
      <c r="I1318" s="44"/>
      <c r="J1318" s="19" cm="1">
        <f t="array" ref="J1318">IFERROR(IF(_xlfn.XLOOKUP(L1318,NC導入施設!B:B,NC導入施設!E:E)=0,_xlfn.IFS(H1318&lt;=5,0,H1318&lt;=10,1,H1318&lt;=15,2,H1318&gt;=16,3),"Null"),"-")</f>
        <v>0</v>
      </c>
      <c r="K1318" s="61"/>
      <c r="L1318" s="1">
        <v>3817101200</v>
      </c>
    </row>
    <row r="1319" spans="1:12" ht="18" customHeight="1" x14ac:dyDescent="0.45">
      <c r="A1319" s="13">
        <v>1313</v>
      </c>
      <c r="B1319" s="41" t="str">
        <f t="shared" si="545"/>
        <v>西日本第二本部</v>
      </c>
      <c r="C1319" s="41" t="str">
        <f t="shared" si="545"/>
        <v>そんぽの家　伊丹荒牧</v>
      </c>
      <c r="D1319" s="14" t="s">
        <v>5</v>
      </c>
      <c r="E1319" s="15">
        <v>1</v>
      </c>
      <c r="F1319" s="17">
        <v>18</v>
      </c>
      <c r="G1319" s="17">
        <v>18</v>
      </c>
      <c r="H1319" s="15">
        <f t="shared" si="533"/>
        <v>18</v>
      </c>
      <c r="I1319" s="44"/>
      <c r="J1319" s="19" cm="1">
        <f t="array" ref="J1319">IFERROR(IF(_xlfn.XLOOKUP(L1319,NC導入施設!B:B,NC導入施設!E:E)=0,_xlfn.IFS(H1319&lt;=5,0,H1319&lt;=10,1,H1319&lt;=15,2,H1319&gt;=16,3),"Null"),"-")</f>
        <v>3</v>
      </c>
      <c r="K1319" s="61"/>
      <c r="L1319" s="1">
        <v>3817101200</v>
      </c>
    </row>
    <row r="1320" spans="1:12" ht="18" customHeight="1" x14ac:dyDescent="0.45">
      <c r="A1320" s="13">
        <v>1314</v>
      </c>
      <c r="B1320" s="41" t="str">
        <f t="shared" si="545"/>
        <v>西日本第二本部</v>
      </c>
      <c r="C1320" s="41" t="str">
        <f t="shared" si="545"/>
        <v>そんぽの家　伊丹荒牧</v>
      </c>
      <c r="D1320" s="14" t="s">
        <v>6</v>
      </c>
      <c r="E1320" s="15">
        <v>3</v>
      </c>
      <c r="F1320" s="17">
        <v>1</v>
      </c>
      <c r="G1320" s="17">
        <v>0.3</v>
      </c>
      <c r="H1320" s="15">
        <f t="shared" si="533"/>
        <v>1</v>
      </c>
      <c r="I1320" s="44"/>
      <c r="J1320" s="19" cm="1">
        <f t="array" ref="J1320">IFERROR(IF(_xlfn.XLOOKUP(L1320,NC導入施設!B:B,NC導入施設!E:E)=0,_xlfn.IFS(H1320&lt;=5,0,H1320&lt;=10,1,H1320&lt;=15,2,H1320&gt;=16,3),"Null"),"-")</f>
        <v>0</v>
      </c>
      <c r="K1320" s="61"/>
      <c r="L1320" s="1">
        <v>3817101200</v>
      </c>
    </row>
    <row r="1321" spans="1:12" ht="18" customHeight="1" x14ac:dyDescent="0.45">
      <c r="A1321" s="13">
        <v>1315</v>
      </c>
      <c r="B1321" s="42" t="str">
        <f t="shared" si="545"/>
        <v>西日本第二本部</v>
      </c>
      <c r="C1321" s="42" t="str">
        <f t="shared" si="545"/>
        <v>そんぽの家　伊丹荒牧</v>
      </c>
      <c r="D1321" s="14" t="s">
        <v>2</v>
      </c>
      <c r="E1321" s="15">
        <v>2</v>
      </c>
      <c r="F1321" s="17">
        <v>10</v>
      </c>
      <c r="G1321" s="17">
        <v>5</v>
      </c>
      <c r="H1321" s="15">
        <f t="shared" si="533"/>
        <v>10</v>
      </c>
      <c r="I1321" s="45"/>
      <c r="J1321" s="19" cm="1">
        <f t="array" ref="J1321">IFERROR(IF(_xlfn.XLOOKUP(L1321,NC導入施設!B:B,NC導入施設!E:E)=0,_xlfn.IFS(H1321&lt;=5,0,H1321&lt;=10,1,H1321&lt;=15,2,H1321&gt;=16,3),"Null"),"-")</f>
        <v>1</v>
      </c>
      <c r="K1321" s="62"/>
      <c r="L1321" s="1">
        <v>3817101200</v>
      </c>
    </row>
    <row r="1322" spans="1:12" ht="18" customHeight="1" x14ac:dyDescent="0.45">
      <c r="A1322" s="8">
        <v>1316</v>
      </c>
      <c r="B1322" s="34" t="s">
        <v>149</v>
      </c>
      <c r="C1322" s="34" t="s">
        <v>151</v>
      </c>
      <c r="D1322" s="9" t="s">
        <v>3</v>
      </c>
      <c r="E1322" s="10">
        <v>1</v>
      </c>
      <c r="F1322" s="12">
        <v>14</v>
      </c>
      <c r="G1322" s="12">
        <v>14</v>
      </c>
      <c r="H1322" s="10">
        <f t="shared" si="533"/>
        <v>14</v>
      </c>
      <c r="I1322" s="37" cm="1">
        <f t="array" ref="I1322">IF(J1322="-","-",_xlfn.IFS(K1322&lt;=5,0,K1322&lt;=10,1,K1322&lt;=15,2,K1322&gt;=16,3))</f>
        <v>3</v>
      </c>
      <c r="J1322" s="19" cm="1">
        <f t="array" ref="J1322">IFERROR(IF(_xlfn.XLOOKUP(L1322,NC導入施設!B:B,NC導入施設!E:E)=0,_xlfn.IFS(H1322&lt;=5,0,H1322&lt;=10,1,H1322&lt;=15,2,H1322&gt;=16,3),"Null"),"-")</f>
        <v>2</v>
      </c>
      <c r="K1322" s="60">
        <f t="shared" ref="K1322" si="546">IFERROR(SUM(H1322:H1326),"-")</f>
        <v>58</v>
      </c>
      <c r="L1322" s="1">
        <v>3817131200</v>
      </c>
    </row>
    <row r="1323" spans="1:12" ht="18" customHeight="1" x14ac:dyDescent="0.45">
      <c r="A1323" s="8">
        <v>1317</v>
      </c>
      <c r="B1323" s="35" t="str">
        <f t="shared" ref="B1323:C1326" si="547">B1322</f>
        <v>西日本第二本部</v>
      </c>
      <c r="C1323" s="35" t="str">
        <f t="shared" si="547"/>
        <v>そんぽの家　川西鶴之荘</v>
      </c>
      <c r="D1323" s="9" t="s">
        <v>4</v>
      </c>
      <c r="E1323" s="10">
        <v>1</v>
      </c>
      <c r="F1323" s="12">
        <v>19</v>
      </c>
      <c r="G1323" s="12">
        <v>19</v>
      </c>
      <c r="H1323" s="10">
        <f t="shared" si="533"/>
        <v>19</v>
      </c>
      <c r="I1323" s="38"/>
      <c r="J1323" s="19" cm="1">
        <f t="array" ref="J1323">IFERROR(IF(_xlfn.XLOOKUP(L1323,NC導入施設!B:B,NC導入施設!E:E)=0,_xlfn.IFS(H1323&lt;=5,0,H1323&lt;=10,1,H1323&lt;=15,2,H1323&gt;=16,3),"Null"),"-")</f>
        <v>3</v>
      </c>
      <c r="K1323" s="61"/>
      <c r="L1323" s="1">
        <v>3817131200</v>
      </c>
    </row>
    <row r="1324" spans="1:12" ht="18" customHeight="1" x14ac:dyDescent="0.45">
      <c r="A1324" s="8">
        <v>1318</v>
      </c>
      <c r="B1324" s="35" t="str">
        <f t="shared" si="547"/>
        <v>西日本第二本部</v>
      </c>
      <c r="C1324" s="35" t="str">
        <f t="shared" si="547"/>
        <v>そんぽの家　川西鶴之荘</v>
      </c>
      <c r="D1324" s="9" t="s">
        <v>5</v>
      </c>
      <c r="E1324" s="10">
        <v>1</v>
      </c>
      <c r="F1324" s="12">
        <v>1</v>
      </c>
      <c r="G1324" s="12">
        <v>1</v>
      </c>
      <c r="H1324" s="10">
        <f t="shared" si="533"/>
        <v>1</v>
      </c>
      <c r="I1324" s="38"/>
      <c r="J1324" s="19" cm="1">
        <f t="array" ref="J1324">IFERROR(IF(_xlfn.XLOOKUP(L1324,NC導入施設!B:B,NC導入施設!E:E)=0,_xlfn.IFS(H1324&lt;=5,0,H1324&lt;=10,1,H1324&lt;=15,2,H1324&gt;=16,3),"Null"),"-")</f>
        <v>0</v>
      </c>
      <c r="K1324" s="61"/>
      <c r="L1324" s="1">
        <v>3817131200</v>
      </c>
    </row>
    <row r="1325" spans="1:12" ht="18" customHeight="1" x14ac:dyDescent="0.45">
      <c r="A1325" s="8">
        <v>1319</v>
      </c>
      <c r="B1325" s="35" t="str">
        <f t="shared" si="547"/>
        <v>西日本第二本部</v>
      </c>
      <c r="C1325" s="35" t="str">
        <f t="shared" si="547"/>
        <v>そんぽの家　川西鶴之荘</v>
      </c>
      <c r="D1325" s="9" t="s">
        <v>6</v>
      </c>
      <c r="E1325" s="10">
        <v>3</v>
      </c>
      <c r="F1325" s="12">
        <v>22</v>
      </c>
      <c r="G1325" s="12">
        <v>7.3</v>
      </c>
      <c r="H1325" s="10">
        <f t="shared" si="533"/>
        <v>22</v>
      </c>
      <c r="I1325" s="38"/>
      <c r="J1325" s="19" cm="1">
        <f t="array" ref="J1325">IFERROR(IF(_xlfn.XLOOKUP(L1325,NC導入施設!B:B,NC導入施設!E:E)=0,_xlfn.IFS(H1325&lt;=5,0,H1325&lt;=10,1,H1325&lt;=15,2,H1325&gt;=16,3),"Null"),"-")</f>
        <v>3</v>
      </c>
      <c r="K1325" s="61"/>
      <c r="L1325" s="1">
        <v>3817131200</v>
      </c>
    </row>
    <row r="1326" spans="1:12" ht="18" customHeight="1" x14ac:dyDescent="0.45">
      <c r="A1326" s="8">
        <v>1320</v>
      </c>
      <c r="B1326" s="36" t="str">
        <f t="shared" si="547"/>
        <v>西日本第二本部</v>
      </c>
      <c r="C1326" s="36" t="str">
        <f t="shared" si="547"/>
        <v>そんぽの家　川西鶴之荘</v>
      </c>
      <c r="D1326" s="9" t="s">
        <v>2</v>
      </c>
      <c r="E1326" s="10">
        <v>1</v>
      </c>
      <c r="F1326" s="12">
        <v>2</v>
      </c>
      <c r="G1326" s="12">
        <v>2</v>
      </c>
      <c r="H1326" s="10">
        <f t="shared" si="533"/>
        <v>2</v>
      </c>
      <c r="I1326" s="39"/>
      <c r="J1326" s="19" cm="1">
        <f t="array" ref="J1326">IFERROR(IF(_xlfn.XLOOKUP(L1326,NC導入施設!B:B,NC導入施設!E:E)=0,_xlfn.IFS(H1326&lt;=5,0,H1326&lt;=10,1,H1326&lt;=15,2,H1326&gt;=16,3),"Null"),"-")</f>
        <v>0</v>
      </c>
      <c r="K1326" s="62"/>
      <c r="L1326" s="1">
        <v>3817131200</v>
      </c>
    </row>
    <row r="1327" spans="1:12" ht="18" customHeight="1" x14ac:dyDescent="0.45">
      <c r="A1327" s="13">
        <v>1321</v>
      </c>
      <c r="B1327" s="40" t="s">
        <v>149</v>
      </c>
      <c r="C1327" s="40" t="s">
        <v>315</v>
      </c>
      <c r="D1327" s="14" t="s">
        <v>3</v>
      </c>
      <c r="E1327" s="15">
        <v>1</v>
      </c>
      <c r="F1327" s="17">
        <v>17</v>
      </c>
      <c r="G1327" s="17">
        <v>17</v>
      </c>
      <c r="H1327" s="15">
        <f t="shared" si="533"/>
        <v>17</v>
      </c>
      <c r="I1327" s="43" cm="1">
        <f t="array" ref="I1327">IF(J1327="-","-",_xlfn.IFS(K1327&lt;=5,0,K1327&lt;=10,1,K1327&lt;=15,2,K1327&gt;=16,3))</f>
        <v>3</v>
      </c>
      <c r="J1327" s="19" cm="1">
        <f t="array" ref="J1327">IFERROR(IF(_xlfn.XLOOKUP(L1327,NC導入施設!B:B,NC導入施設!E:E)=0,_xlfn.IFS(H1327&lt;=5,0,H1327&lt;=10,1,H1327&lt;=15,2,H1327&gt;=16,3),"Null"),"-")</f>
        <v>3</v>
      </c>
      <c r="K1327" s="60">
        <f t="shared" ref="K1327" si="548">IFERROR(SUM(H1327:H1331),"-")</f>
        <v>75</v>
      </c>
      <c r="L1327" s="1">
        <v>3817161200</v>
      </c>
    </row>
    <row r="1328" spans="1:12" ht="18" customHeight="1" x14ac:dyDescent="0.45">
      <c r="A1328" s="13">
        <v>1322</v>
      </c>
      <c r="B1328" s="41" t="str">
        <f t="shared" ref="B1328:C1331" si="549">B1327</f>
        <v>西日本第二本部</v>
      </c>
      <c r="C1328" s="41" t="str">
        <f t="shared" si="549"/>
        <v>ラヴィーレ西宮</v>
      </c>
      <c r="D1328" s="14" t="s">
        <v>4</v>
      </c>
      <c r="E1328" s="15">
        <v>1</v>
      </c>
      <c r="F1328" s="17">
        <v>21</v>
      </c>
      <c r="G1328" s="17">
        <v>21</v>
      </c>
      <c r="H1328" s="15">
        <f t="shared" si="533"/>
        <v>21</v>
      </c>
      <c r="I1328" s="44"/>
      <c r="J1328" s="19" cm="1">
        <f t="array" ref="J1328">IFERROR(IF(_xlfn.XLOOKUP(L1328,NC導入施設!B:B,NC導入施設!E:E)=0,_xlfn.IFS(H1328&lt;=5,0,H1328&lt;=10,1,H1328&lt;=15,2,H1328&gt;=16,3),"Null"),"-")</f>
        <v>3</v>
      </c>
      <c r="K1328" s="61"/>
      <c r="L1328" s="1">
        <v>3817161200</v>
      </c>
    </row>
    <row r="1329" spans="1:12" ht="18" customHeight="1" x14ac:dyDescent="0.45">
      <c r="A1329" s="13">
        <v>1323</v>
      </c>
      <c r="B1329" s="41" t="str">
        <f t="shared" si="549"/>
        <v>西日本第二本部</v>
      </c>
      <c r="C1329" s="41" t="str">
        <f t="shared" si="549"/>
        <v>ラヴィーレ西宮</v>
      </c>
      <c r="D1329" s="14" t="s">
        <v>5</v>
      </c>
      <c r="E1329" s="15">
        <v>1</v>
      </c>
      <c r="F1329" s="17">
        <v>17</v>
      </c>
      <c r="G1329" s="17">
        <v>17</v>
      </c>
      <c r="H1329" s="15">
        <f t="shared" si="533"/>
        <v>17</v>
      </c>
      <c r="I1329" s="44"/>
      <c r="J1329" s="19" cm="1">
        <f t="array" ref="J1329">IFERROR(IF(_xlfn.XLOOKUP(L1329,NC導入施設!B:B,NC導入施設!E:E)=0,_xlfn.IFS(H1329&lt;=5,0,H1329&lt;=10,1,H1329&lt;=15,2,H1329&gt;=16,3),"Null"),"-")</f>
        <v>3</v>
      </c>
      <c r="K1329" s="61"/>
      <c r="L1329" s="1">
        <v>3817161200</v>
      </c>
    </row>
    <row r="1330" spans="1:12" ht="18" customHeight="1" x14ac:dyDescent="0.45">
      <c r="A1330" s="13">
        <v>1324</v>
      </c>
      <c r="B1330" s="41" t="str">
        <f t="shared" si="549"/>
        <v>西日本第二本部</v>
      </c>
      <c r="C1330" s="41" t="str">
        <f t="shared" si="549"/>
        <v>ラヴィーレ西宮</v>
      </c>
      <c r="D1330" s="14" t="s">
        <v>6</v>
      </c>
      <c r="E1330" s="15">
        <v>3</v>
      </c>
      <c r="F1330" s="17">
        <v>6</v>
      </c>
      <c r="G1330" s="17">
        <v>2</v>
      </c>
      <c r="H1330" s="15">
        <f t="shared" si="533"/>
        <v>6</v>
      </c>
      <c r="I1330" s="44"/>
      <c r="J1330" s="19" cm="1">
        <f t="array" ref="J1330">IFERROR(IF(_xlfn.XLOOKUP(L1330,NC導入施設!B:B,NC導入施設!E:E)=0,_xlfn.IFS(H1330&lt;=5,0,H1330&lt;=10,1,H1330&lt;=15,2,H1330&gt;=16,3),"Null"),"-")</f>
        <v>1</v>
      </c>
      <c r="K1330" s="61"/>
      <c r="L1330" s="1">
        <v>3817161200</v>
      </c>
    </row>
    <row r="1331" spans="1:12" ht="18" customHeight="1" x14ac:dyDescent="0.45">
      <c r="A1331" s="13">
        <v>1325</v>
      </c>
      <c r="B1331" s="42" t="str">
        <f t="shared" si="549"/>
        <v>西日本第二本部</v>
      </c>
      <c r="C1331" s="42" t="str">
        <f t="shared" si="549"/>
        <v>ラヴィーレ西宮</v>
      </c>
      <c r="D1331" s="14" t="s">
        <v>2</v>
      </c>
      <c r="E1331" s="15">
        <v>1</v>
      </c>
      <c r="F1331" s="17">
        <v>14</v>
      </c>
      <c r="G1331" s="17">
        <v>14</v>
      </c>
      <c r="H1331" s="15">
        <f t="shared" si="533"/>
        <v>14</v>
      </c>
      <c r="I1331" s="45"/>
      <c r="J1331" s="19" cm="1">
        <f t="array" ref="J1331">IFERROR(IF(_xlfn.XLOOKUP(L1331,NC導入施設!B:B,NC導入施設!E:E)=0,_xlfn.IFS(H1331&lt;=5,0,H1331&lt;=10,1,H1331&lt;=15,2,H1331&gt;=16,3),"Null"),"-")</f>
        <v>2</v>
      </c>
      <c r="K1331" s="62"/>
      <c r="L1331" s="1">
        <v>3817161200</v>
      </c>
    </row>
    <row r="1332" spans="1:12" ht="18" customHeight="1" x14ac:dyDescent="0.45">
      <c r="A1332" s="8">
        <v>1326</v>
      </c>
      <c r="B1332" s="34" t="s">
        <v>149</v>
      </c>
      <c r="C1332" s="34" t="s">
        <v>152</v>
      </c>
      <c r="D1332" s="9" t="s">
        <v>3</v>
      </c>
      <c r="E1332" s="10">
        <v>1</v>
      </c>
      <c r="F1332" s="12">
        <v>2</v>
      </c>
      <c r="G1332" s="12">
        <v>2</v>
      </c>
      <c r="H1332" s="10">
        <f t="shared" si="533"/>
        <v>2</v>
      </c>
      <c r="I1332" s="37" cm="1">
        <f t="array" ref="I1332">IF(J1332="-","-",_xlfn.IFS(K1332&lt;=5,0,K1332&lt;=10,1,K1332&lt;=15,2,K1332&gt;=16,3))</f>
        <v>3</v>
      </c>
      <c r="J1332" s="19" cm="1">
        <f t="array" ref="J1332">IFERROR(IF(_xlfn.XLOOKUP(L1332,NC導入施設!B:B,NC導入施設!E:E)=0,_xlfn.IFS(H1332&lt;=5,0,H1332&lt;=10,1,H1332&lt;=15,2,H1332&gt;=16,3),"Null"),"-")</f>
        <v>0</v>
      </c>
      <c r="K1332" s="60">
        <f t="shared" ref="K1332" si="550">IFERROR(SUM(H1332:H1336),"-")</f>
        <v>44</v>
      </c>
      <c r="L1332" s="1">
        <v>3817181100</v>
      </c>
    </row>
    <row r="1333" spans="1:12" ht="18" customHeight="1" x14ac:dyDescent="0.45">
      <c r="A1333" s="8">
        <v>1327</v>
      </c>
      <c r="B1333" s="35" t="str">
        <f t="shared" ref="B1333:C1336" si="551">B1332</f>
        <v>西日本第二本部</v>
      </c>
      <c r="C1333" s="35" t="str">
        <f t="shared" si="551"/>
        <v>そんぽの家　武庫之荘</v>
      </c>
      <c r="D1333" s="9" t="s">
        <v>4</v>
      </c>
      <c r="E1333" s="10">
        <v>1</v>
      </c>
      <c r="F1333" s="12">
        <v>17</v>
      </c>
      <c r="G1333" s="12">
        <v>17</v>
      </c>
      <c r="H1333" s="10">
        <f t="shared" si="533"/>
        <v>17</v>
      </c>
      <c r="I1333" s="38"/>
      <c r="J1333" s="19" cm="1">
        <f t="array" ref="J1333">IFERROR(IF(_xlfn.XLOOKUP(L1333,NC導入施設!B:B,NC導入施設!E:E)=0,_xlfn.IFS(H1333&lt;=5,0,H1333&lt;=10,1,H1333&lt;=15,2,H1333&gt;=16,3),"Null"),"-")</f>
        <v>3</v>
      </c>
      <c r="K1333" s="61"/>
      <c r="L1333" s="1">
        <v>3817181100</v>
      </c>
    </row>
    <row r="1334" spans="1:12" ht="18" customHeight="1" x14ac:dyDescent="0.45">
      <c r="A1334" s="8">
        <v>1328</v>
      </c>
      <c r="B1334" s="35" t="str">
        <f t="shared" si="551"/>
        <v>西日本第二本部</v>
      </c>
      <c r="C1334" s="35" t="str">
        <f t="shared" si="551"/>
        <v>そんぽの家　武庫之荘</v>
      </c>
      <c r="D1334" s="9" t="s">
        <v>5</v>
      </c>
      <c r="E1334" s="10">
        <v>1</v>
      </c>
      <c r="F1334" s="12">
        <v>0</v>
      </c>
      <c r="G1334" s="12">
        <v>0</v>
      </c>
      <c r="H1334" s="10">
        <f t="shared" si="533"/>
        <v>0</v>
      </c>
      <c r="I1334" s="38"/>
      <c r="J1334" s="19" cm="1">
        <f t="array" ref="J1334">IFERROR(IF(_xlfn.XLOOKUP(L1334,NC導入施設!B:B,NC導入施設!E:E)=0,_xlfn.IFS(H1334&lt;=5,0,H1334&lt;=10,1,H1334&lt;=15,2,H1334&gt;=16,3),"Null"),"-")</f>
        <v>0</v>
      </c>
      <c r="K1334" s="61"/>
      <c r="L1334" s="1">
        <v>3817181100</v>
      </c>
    </row>
    <row r="1335" spans="1:12" ht="18" customHeight="1" x14ac:dyDescent="0.45">
      <c r="A1335" s="8">
        <v>1329</v>
      </c>
      <c r="B1335" s="35" t="str">
        <f t="shared" si="551"/>
        <v>西日本第二本部</v>
      </c>
      <c r="C1335" s="35" t="str">
        <f t="shared" si="551"/>
        <v>そんぽの家　武庫之荘</v>
      </c>
      <c r="D1335" s="9" t="s">
        <v>6</v>
      </c>
      <c r="E1335" s="10">
        <v>3</v>
      </c>
      <c r="F1335" s="12">
        <v>22</v>
      </c>
      <c r="G1335" s="12">
        <v>7.3</v>
      </c>
      <c r="H1335" s="10">
        <f t="shared" si="533"/>
        <v>22</v>
      </c>
      <c r="I1335" s="38"/>
      <c r="J1335" s="19" cm="1">
        <f t="array" ref="J1335">IFERROR(IF(_xlfn.XLOOKUP(L1335,NC導入施設!B:B,NC導入施設!E:E)=0,_xlfn.IFS(H1335&lt;=5,0,H1335&lt;=10,1,H1335&lt;=15,2,H1335&gt;=16,3),"Null"),"-")</f>
        <v>3</v>
      </c>
      <c r="K1335" s="61"/>
      <c r="L1335" s="1">
        <v>3817181100</v>
      </c>
    </row>
    <row r="1336" spans="1:12" ht="18" customHeight="1" x14ac:dyDescent="0.45">
      <c r="A1336" s="8">
        <v>1330</v>
      </c>
      <c r="B1336" s="36" t="str">
        <f t="shared" si="551"/>
        <v>西日本第二本部</v>
      </c>
      <c r="C1336" s="36" t="str">
        <f t="shared" si="551"/>
        <v>そんぽの家　武庫之荘</v>
      </c>
      <c r="D1336" s="9" t="s">
        <v>2</v>
      </c>
      <c r="E1336" s="10">
        <v>1</v>
      </c>
      <c r="F1336" s="12">
        <v>3</v>
      </c>
      <c r="G1336" s="12">
        <v>3</v>
      </c>
      <c r="H1336" s="10">
        <f t="shared" si="533"/>
        <v>3</v>
      </c>
      <c r="I1336" s="39"/>
      <c r="J1336" s="19" cm="1">
        <f t="array" ref="J1336">IFERROR(IF(_xlfn.XLOOKUP(L1336,NC導入施設!B:B,NC導入施設!E:E)=0,_xlfn.IFS(H1336&lt;=5,0,H1336&lt;=10,1,H1336&lt;=15,2,H1336&gt;=16,3),"Null"),"-")</f>
        <v>0</v>
      </c>
      <c r="K1336" s="62"/>
      <c r="L1336" s="1">
        <v>3817181100</v>
      </c>
    </row>
    <row r="1337" spans="1:12" ht="18" customHeight="1" x14ac:dyDescent="0.45">
      <c r="A1337" s="13">
        <v>1331</v>
      </c>
      <c r="B1337" s="40" t="s">
        <v>149</v>
      </c>
      <c r="C1337" s="40" t="s">
        <v>153</v>
      </c>
      <c r="D1337" s="14" t="s">
        <v>3</v>
      </c>
      <c r="E1337" s="15">
        <v>1</v>
      </c>
      <c r="F1337" s="17">
        <v>31</v>
      </c>
      <c r="G1337" s="17">
        <v>31</v>
      </c>
      <c r="H1337" s="15">
        <f t="shared" si="533"/>
        <v>31</v>
      </c>
      <c r="I1337" s="43" cm="1">
        <f t="array" ref="I1337">IF(J1337="-","-",_xlfn.IFS(K1337&lt;=5,0,K1337&lt;=10,1,K1337&lt;=15,2,K1337&gt;=16,3))</f>
        <v>3</v>
      </c>
      <c r="J1337" s="19" cm="1">
        <f t="array" ref="J1337">IFERROR(IF(_xlfn.XLOOKUP(L1337,NC導入施設!B:B,NC導入施設!E:E)=0,_xlfn.IFS(H1337&lt;=5,0,H1337&lt;=10,1,H1337&lt;=15,2,H1337&gt;=16,3),"Null"),"-")</f>
        <v>3</v>
      </c>
      <c r="K1337" s="60">
        <f t="shared" ref="K1337" si="552">IFERROR(SUM(H1337:H1341),"-")</f>
        <v>76</v>
      </c>
      <c r="L1337" s="1">
        <v>3817191200</v>
      </c>
    </row>
    <row r="1338" spans="1:12" ht="18" customHeight="1" x14ac:dyDescent="0.45">
      <c r="A1338" s="13">
        <v>1332</v>
      </c>
      <c r="B1338" s="41" t="str">
        <f t="shared" ref="B1338:C1341" si="553">B1337</f>
        <v>西日本第二本部</v>
      </c>
      <c r="C1338" s="41" t="str">
        <f t="shared" si="553"/>
        <v>そんぽの家　尼崎田能</v>
      </c>
      <c r="D1338" s="14" t="s">
        <v>4</v>
      </c>
      <c r="E1338" s="15">
        <v>2</v>
      </c>
      <c r="F1338" s="17">
        <v>3</v>
      </c>
      <c r="G1338" s="17">
        <v>1.5</v>
      </c>
      <c r="H1338" s="15">
        <f t="shared" si="533"/>
        <v>3</v>
      </c>
      <c r="I1338" s="44"/>
      <c r="J1338" s="19" cm="1">
        <f t="array" ref="J1338">IFERROR(IF(_xlfn.XLOOKUP(L1338,NC導入施設!B:B,NC導入施設!E:E)=0,_xlfn.IFS(H1338&lt;=5,0,H1338&lt;=10,1,H1338&lt;=15,2,H1338&gt;=16,3),"Null"),"-")</f>
        <v>0</v>
      </c>
      <c r="K1338" s="61"/>
      <c r="L1338" s="1">
        <v>3817191200</v>
      </c>
    </row>
    <row r="1339" spans="1:12" ht="18" customHeight="1" x14ac:dyDescent="0.45">
      <c r="A1339" s="13">
        <v>1333</v>
      </c>
      <c r="B1339" s="41" t="str">
        <f t="shared" si="553"/>
        <v>西日本第二本部</v>
      </c>
      <c r="C1339" s="41" t="str">
        <f t="shared" si="553"/>
        <v>そんぽの家　尼崎田能</v>
      </c>
      <c r="D1339" s="14" t="s">
        <v>5</v>
      </c>
      <c r="E1339" s="15">
        <v>1</v>
      </c>
      <c r="F1339" s="17">
        <v>22</v>
      </c>
      <c r="G1339" s="17">
        <v>22</v>
      </c>
      <c r="H1339" s="15">
        <f t="shared" si="533"/>
        <v>22</v>
      </c>
      <c r="I1339" s="44"/>
      <c r="J1339" s="19" cm="1">
        <f t="array" ref="J1339">IFERROR(IF(_xlfn.XLOOKUP(L1339,NC導入施設!B:B,NC導入施設!E:E)=0,_xlfn.IFS(H1339&lt;=5,0,H1339&lt;=10,1,H1339&lt;=15,2,H1339&gt;=16,3),"Null"),"-")</f>
        <v>3</v>
      </c>
      <c r="K1339" s="61"/>
      <c r="L1339" s="1">
        <v>3817191200</v>
      </c>
    </row>
    <row r="1340" spans="1:12" ht="18" customHeight="1" x14ac:dyDescent="0.45">
      <c r="A1340" s="13">
        <v>1334</v>
      </c>
      <c r="B1340" s="41" t="str">
        <f t="shared" si="553"/>
        <v>西日本第二本部</v>
      </c>
      <c r="C1340" s="41" t="str">
        <f t="shared" si="553"/>
        <v>そんぽの家　尼崎田能</v>
      </c>
      <c r="D1340" s="14" t="s">
        <v>6</v>
      </c>
      <c r="E1340" s="15">
        <v>3</v>
      </c>
      <c r="F1340" s="17">
        <v>14</v>
      </c>
      <c r="G1340" s="17">
        <v>4.7</v>
      </c>
      <c r="H1340" s="15">
        <f t="shared" si="533"/>
        <v>14</v>
      </c>
      <c r="I1340" s="44"/>
      <c r="J1340" s="19" cm="1">
        <f t="array" ref="J1340">IFERROR(IF(_xlfn.XLOOKUP(L1340,NC導入施設!B:B,NC導入施設!E:E)=0,_xlfn.IFS(H1340&lt;=5,0,H1340&lt;=10,1,H1340&lt;=15,2,H1340&gt;=16,3),"Null"),"-")</f>
        <v>2</v>
      </c>
      <c r="K1340" s="61"/>
      <c r="L1340" s="1">
        <v>3817191200</v>
      </c>
    </row>
    <row r="1341" spans="1:12" ht="18" customHeight="1" x14ac:dyDescent="0.45">
      <c r="A1341" s="13">
        <v>1335</v>
      </c>
      <c r="B1341" s="42" t="str">
        <f t="shared" si="553"/>
        <v>西日本第二本部</v>
      </c>
      <c r="C1341" s="42" t="str">
        <f t="shared" si="553"/>
        <v>そんぽの家　尼崎田能</v>
      </c>
      <c r="D1341" s="14" t="s">
        <v>2</v>
      </c>
      <c r="E1341" s="15">
        <v>1</v>
      </c>
      <c r="F1341" s="17">
        <v>6</v>
      </c>
      <c r="G1341" s="17">
        <v>6</v>
      </c>
      <c r="H1341" s="15">
        <f t="shared" si="533"/>
        <v>6</v>
      </c>
      <c r="I1341" s="45"/>
      <c r="J1341" s="19" cm="1">
        <f t="array" ref="J1341">IFERROR(IF(_xlfn.XLOOKUP(L1341,NC導入施設!B:B,NC導入施設!E:E)=0,_xlfn.IFS(H1341&lt;=5,0,H1341&lt;=10,1,H1341&lt;=15,2,H1341&gt;=16,3),"Null"),"-")</f>
        <v>1</v>
      </c>
      <c r="K1341" s="62"/>
      <c r="L1341" s="1">
        <v>3817191200</v>
      </c>
    </row>
    <row r="1342" spans="1:12" ht="18" customHeight="1" x14ac:dyDescent="0.45">
      <c r="A1342" s="8">
        <v>1336</v>
      </c>
      <c r="B1342" s="34" t="s">
        <v>149</v>
      </c>
      <c r="C1342" s="34" t="s">
        <v>316</v>
      </c>
      <c r="D1342" s="9" t="s">
        <v>3</v>
      </c>
      <c r="E1342" s="10">
        <v>1</v>
      </c>
      <c r="F1342" s="12">
        <v>12</v>
      </c>
      <c r="G1342" s="12">
        <v>12</v>
      </c>
      <c r="H1342" s="10">
        <f t="shared" si="533"/>
        <v>12</v>
      </c>
      <c r="I1342" s="37" cm="1">
        <f t="array" ref="I1342">IF(J1342="-","-",_xlfn.IFS(K1342&lt;=5,0,K1342&lt;=10,1,K1342&lt;=15,2,K1342&gt;=16,3))</f>
        <v>3</v>
      </c>
      <c r="J1342" s="19" cm="1">
        <f t="array" ref="J1342">IFERROR(IF(_xlfn.XLOOKUP(L1342,NC導入施設!B:B,NC導入施設!E:E)=0,_xlfn.IFS(H1342&lt;=5,0,H1342&lt;=10,1,H1342&lt;=15,2,H1342&gt;=16,3),"Null"),"-")</f>
        <v>2</v>
      </c>
      <c r="K1342" s="60">
        <f t="shared" ref="K1342" si="554">IFERROR(SUM(H1342:H1346),"-")</f>
        <v>93</v>
      </c>
      <c r="L1342" s="1">
        <v>3817221200</v>
      </c>
    </row>
    <row r="1343" spans="1:12" ht="18" customHeight="1" x14ac:dyDescent="0.45">
      <c r="A1343" s="8">
        <v>1337</v>
      </c>
      <c r="B1343" s="35" t="str">
        <f t="shared" ref="B1343:C1346" si="555">B1342</f>
        <v>西日本第二本部</v>
      </c>
      <c r="C1343" s="35" t="str">
        <f t="shared" si="555"/>
        <v>ラヴィーレ神戸伊川谷</v>
      </c>
      <c r="D1343" s="9" t="s">
        <v>4</v>
      </c>
      <c r="E1343" s="10">
        <v>1</v>
      </c>
      <c r="F1343" s="12">
        <v>27</v>
      </c>
      <c r="G1343" s="12">
        <v>27</v>
      </c>
      <c r="H1343" s="10">
        <f t="shared" si="533"/>
        <v>27</v>
      </c>
      <c r="I1343" s="38"/>
      <c r="J1343" s="19" cm="1">
        <f t="array" ref="J1343">IFERROR(IF(_xlfn.XLOOKUP(L1343,NC導入施設!B:B,NC導入施設!E:E)=0,_xlfn.IFS(H1343&lt;=5,0,H1343&lt;=10,1,H1343&lt;=15,2,H1343&gt;=16,3),"Null"),"-")</f>
        <v>3</v>
      </c>
      <c r="K1343" s="61"/>
      <c r="L1343" s="1">
        <v>3817221200</v>
      </c>
    </row>
    <row r="1344" spans="1:12" ht="18" customHeight="1" x14ac:dyDescent="0.45">
      <c r="A1344" s="8">
        <v>1338</v>
      </c>
      <c r="B1344" s="35" t="str">
        <f t="shared" si="555"/>
        <v>西日本第二本部</v>
      </c>
      <c r="C1344" s="35" t="str">
        <f t="shared" si="555"/>
        <v>ラヴィーレ神戸伊川谷</v>
      </c>
      <c r="D1344" s="9" t="s">
        <v>5</v>
      </c>
      <c r="E1344" s="10">
        <v>2</v>
      </c>
      <c r="F1344" s="12">
        <v>27</v>
      </c>
      <c r="G1344" s="12">
        <v>13.5</v>
      </c>
      <c r="H1344" s="10">
        <f t="shared" si="533"/>
        <v>27</v>
      </c>
      <c r="I1344" s="38"/>
      <c r="J1344" s="19" cm="1">
        <f t="array" ref="J1344">IFERROR(IF(_xlfn.XLOOKUP(L1344,NC導入施設!B:B,NC導入施設!E:E)=0,_xlfn.IFS(H1344&lt;=5,0,H1344&lt;=10,1,H1344&lt;=15,2,H1344&gt;=16,3),"Null"),"-")</f>
        <v>3</v>
      </c>
      <c r="K1344" s="61"/>
      <c r="L1344" s="1">
        <v>3817221200</v>
      </c>
    </row>
    <row r="1345" spans="1:12" ht="18" customHeight="1" x14ac:dyDescent="0.45">
      <c r="A1345" s="8">
        <v>1339</v>
      </c>
      <c r="B1345" s="35" t="str">
        <f t="shared" si="555"/>
        <v>西日本第二本部</v>
      </c>
      <c r="C1345" s="35" t="str">
        <f t="shared" si="555"/>
        <v>ラヴィーレ神戸伊川谷</v>
      </c>
      <c r="D1345" s="9" t="s">
        <v>6</v>
      </c>
      <c r="E1345" s="10">
        <v>5</v>
      </c>
      <c r="F1345" s="12">
        <v>3</v>
      </c>
      <c r="G1345" s="12">
        <v>0.6</v>
      </c>
      <c r="H1345" s="10">
        <f t="shared" si="533"/>
        <v>3</v>
      </c>
      <c r="I1345" s="38"/>
      <c r="J1345" s="19" cm="1">
        <f t="array" ref="J1345">IFERROR(IF(_xlfn.XLOOKUP(L1345,NC導入施設!B:B,NC導入施設!E:E)=0,_xlfn.IFS(H1345&lt;=5,0,H1345&lt;=10,1,H1345&lt;=15,2,H1345&gt;=16,3),"Null"),"-")</f>
        <v>0</v>
      </c>
      <c r="K1345" s="61"/>
      <c r="L1345" s="1">
        <v>3817221200</v>
      </c>
    </row>
    <row r="1346" spans="1:12" ht="18" customHeight="1" x14ac:dyDescent="0.45">
      <c r="A1346" s="8">
        <v>1340</v>
      </c>
      <c r="B1346" s="36" t="str">
        <f t="shared" si="555"/>
        <v>西日本第二本部</v>
      </c>
      <c r="C1346" s="36" t="str">
        <f t="shared" si="555"/>
        <v>ラヴィーレ神戸伊川谷</v>
      </c>
      <c r="D1346" s="9" t="s">
        <v>2</v>
      </c>
      <c r="E1346" s="10">
        <v>2</v>
      </c>
      <c r="F1346" s="12">
        <v>24</v>
      </c>
      <c r="G1346" s="12">
        <v>12</v>
      </c>
      <c r="H1346" s="10">
        <f t="shared" si="533"/>
        <v>24</v>
      </c>
      <c r="I1346" s="39"/>
      <c r="J1346" s="19" cm="1">
        <f t="array" ref="J1346">IFERROR(IF(_xlfn.XLOOKUP(L1346,NC導入施設!B:B,NC導入施設!E:E)=0,_xlfn.IFS(H1346&lt;=5,0,H1346&lt;=10,1,H1346&lt;=15,2,H1346&gt;=16,3),"Null"),"-")</f>
        <v>3</v>
      </c>
      <c r="K1346" s="62"/>
      <c r="L1346" s="1">
        <v>3817221200</v>
      </c>
    </row>
    <row r="1347" spans="1:12" ht="18" customHeight="1" x14ac:dyDescent="0.45">
      <c r="A1347" s="13">
        <v>1341</v>
      </c>
      <c r="B1347" s="40" t="s">
        <v>149</v>
      </c>
      <c r="C1347" s="40" t="s">
        <v>154</v>
      </c>
      <c r="D1347" s="14" t="s">
        <v>3</v>
      </c>
      <c r="E1347" s="15">
        <v>1</v>
      </c>
      <c r="F1347" s="17">
        <v>3</v>
      </c>
      <c r="G1347" s="17">
        <v>3</v>
      </c>
      <c r="H1347" s="15">
        <f t="shared" si="533"/>
        <v>3</v>
      </c>
      <c r="I1347" s="43" cm="1">
        <f t="array" ref="I1347">IF(J1347="-","-",_xlfn.IFS(K1347&lt;=5,0,K1347&lt;=10,1,K1347&lt;=15,2,K1347&gt;=16,3))</f>
        <v>1</v>
      </c>
      <c r="J1347" s="19" cm="1">
        <f t="array" ref="J1347">IFERROR(IF(_xlfn.XLOOKUP(L1347,NC導入施設!B:B,NC導入施設!E:E)=0,_xlfn.IFS(H1347&lt;=5,0,H1347&lt;=10,1,H1347&lt;=15,2,H1347&gt;=16,3),"Null"),"-")</f>
        <v>0</v>
      </c>
      <c r="K1347" s="60">
        <f t="shared" ref="K1347" si="556">IFERROR(SUM(H1347:H1351),"-")</f>
        <v>8</v>
      </c>
      <c r="L1347" s="1">
        <v>3817231200</v>
      </c>
    </row>
    <row r="1348" spans="1:12" ht="18" customHeight="1" x14ac:dyDescent="0.45">
      <c r="A1348" s="13">
        <v>1342</v>
      </c>
      <c r="B1348" s="41" t="str">
        <f t="shared" ref="B1348:C1351" si="557">B1347</f>
        <v>西日本第二本部</v>
      </c>
      <c r="C1348" s="41" t="str">
        <f t="shared" si="557"/>
        <v>そんぽの家　神戸垂水</v>
      </c>
      <c r="D1348" s="14" t="s">
        <v>4</v>
      </c>
      <c r="E1348" s="15">
        <v>1</v>
      </c>
      <c r="F1348" s="17">
        <v>4</v>
      </c>
      <c r="G1348" s="17">
        <v>4</v>
      </c>
      <c r="H1348" s="15">
        <f t="shared" si="533"/>
        <v>4</v>
      </c>
      <c r="I1348" s="44"/>
      <c r="J1348" s="19" cm="1">
        <f t="array" ref="J1348">IFERROR(IF(_xlfn.XLOOKUP(L1348,NC導入施設!B:B,NC導入施設!E:E)=0,_xlfn.IFS(H1348&lt;=5,0,H1348&lt;=10,1,H1348&lt;=15,2,H1348&gt;=16,3),"Null"),"-")</f>
        <v>0</v>
      </c>
      <c r="K1348" s="61"/>
      <c r="L1348" s="1">
        <v>3817231200</v>
      </c>
    </row>
    <row r="1349" spans="1:12" ht="18" customHeight="1" x14ac:dyDescent="0.45">
      <c r="A1349" s="13">
        <v>1343</v>
      </c>
      <c r="B1349" s="41" t="str">
        <f t="shared" si="557"/>
        <v>西日本第二本部</v>
      </c>
      <c r="C1349" s="41" t="str">
        <f t="shared" si="557"/>
        <v>そんぽの家　神戸垂水</v>
      </c>
      <c r="D1349" s="14" t="s">
        <v>5</v>
      </c>
      <c r="E1349" s="15">
        <v>1</v>
      </c>
      <c r="F1349" s="17">
        <v>1</v>
      </c>
      <c r="G1349" s="17">
        <v>1</v>
      </c>
      <c r="H1349" s="15">
        <f t="shared" si="533"/>
        <v>1</v>
      </c>
      <c r="I1349" s="44"/>
      <c r="J1349" s="19" cm="1">
        <f t="array" ref="J1349">IFERROR(IF(_xlfn.XLOOKUP(L1349,NC導入施設!B:B,NC導入施設!E:E)=0,_xlfn.IFS(H1349&lt;=5,0,H1349&lt;=10,1,H1349&lt;=15,2,H1349&gt;=16,3),"Null"),"-")</f>
        <v>0</v>
      </c>
      <c r="K1349" s="61"/>
      <c r="L1349" s="1">
        <v>3817231200</v>
      </c>
    </row>
    <row r="1350" spans="1:12" ht="18" customHeight="1" x14ac:dyDescent="0.45">
      <c r="A1350" s="13">
        <v>1344</v>
      </c>
      <c r="B1350" s="41" t="str">
        <f t="shared" si="557"/>
        <v>西日本第二本部</v>
      </c>
      <c r="C1350" s="41" t="str">
        <f t="shared" si="557"/>
        <v>そんぽの家　神戸垂水</v>
      </c>
      <c r="D1350" s="14" t="s">
        <v>6</v>
      </c>
      <c r="E1350" s="15">
        <v>3</v>
      </c>
      <c r="F1350" s="17">
        <v>0</v>
      </c>
      <c r="G1350" s="17">
        <v>0</v>
      </c>
      <c r="H1350" s="15">
        <f t="shared" si="533"/>
        <v>0</v>
      </c>
      <c r="I1350" s="44"/>
      <c r="J1350" s="19" cm="1">
        <f t="array" ref="J1350">IFERROR(IF(_xlfn.XLOOKUP(L1350,NC導入施設!B:B,NC導入施設!E:E)=0,_xlfn.IFS(H1350&lt;=5,0,H1350&lt;=10,1,H1350&lt;=15,2,H1350&gt;=16,3),"Null"),"-")</f>
        <v>0</v>
      </c>
      <c r="K1350" s="61"/>
      <c r="L1350" s="1">
        <v>3817231200</v>
      </c>
    </row>
    <row r="1351" spans="1:12" ht="18" customHeight="1" x14ac:dyDescent="0.45">
      <c r="A1351" s="13">
        <v>1345</v>
      </c>
      <c r="B1351" s="42" t="str">
        <f t="shared" si="557"/>
        <v>西日本第二本部</v>
      </c>
      <c r="C1351" s="42" t="str">
        <f t="shared" si="557"/>
        <v>そんぽの家　神戸垂水</v>
      </c>
      <c r="D1351" s="14" t="s">
        <v>2</v>
      </c>
      <c r="E1351" s="15">
        <v>2</v>
      </c>
      <c r="F1351" s="17">
        <v>0</v>
      </c>
      <c r="G1351" s="17">
        <v>0</v>
      </c>
      <c r="H1351" s="15">
        <f t="shared" si="533"/>
        <v>0</v>
      </c>
      <c r="I1351" s="45"/>
      <c r="J1351" s="19" cm="1">
        <f t="array" ref="J1351">IFERROR(IF(_xlfn.XLOOKUP(L1351,NC導入施設!B:B,NC導入施設!E:E)=0,_xlfn.IFS(H1351&lt;=5,0,H1351&lt;=10,1,H1351&lt;=15,2,H1351&gt;=16,3),"Null"),"-")</f>
        <v>0</v>
      </c>
      <c r="K1351" s="62"/>
      <c r="L1351" s="1">
        <v>3817231200</v>
      </c>
    </row>
    <row r="1352" spans="1:12" ht="18" customHeight="1" x14ac:dyDescent="0.45">
      <c r="A1352" s="8">
        <v>1346</v>
      </c>
      <c r="B1352" s="34" t="s">
        <v>149</v>
      </c>
      <c r="C1352" s="34" t="s">
        <v>155</v>
      </c>
      <c r="D1352" s="9" t="s">
        <v>3</v>
      </c>
      <c r="E1352" s="10">
        <v>1</v>
      </c>
      <c r="F1352" s="12">
        <v>0</v>
      </c>
      <c r="G1352" s="12">
        <v>0</v>
      </c>
      <c r="H1352" s="10">
        <f t="shared" ref="H1352:H1415" si="558">F1352</f>
        <v>0</v>
      </c>
      <c r="I1352" s="37" cm="1">
        <f t="array" ref="I1352">IF(J1352="-","-",_xlfn.IFS(K1352&lt;=5,0,K1352&lt;=10,1,K1352&lt;=15,2,K1352&gt;=16,3))</f>
        <v>1</v>
      </c>
      <c r="J1352" s="19" cm="1">
        <f t="array" ref="J1352">IFERROR(IF(_xlfn.XLOOKUP(L1352,NC導入施設!B:B,NC導入施設!E:E)=0,_xlfn.IFS(H1352&lt;=5,0,H1352&lt;=10,1,H1352&lt;=15,2,H1352&gt;=16,3),"Null"),"-")</f>
        <v>0</v>
      </c>
      <c r="K1352" s="60">
        <f t="shared" ref="K1352" si="559">IFERROR(SUM(H1352:H1356),"-")</f>
        <v>10</v>
      </c>
      <c r="L1352" s="1">
        <v>3817241200</v>
      </c>
    </row>
    <row r="1353" spans="1:12" ht="18" customHeight="1" x14ac:dyDescent="0.45">
      <c r="A1353" s="8">
        <v>1347</v>
      </c>
      <c r="B1353" s="35" t="str">
        <f t="shared" ref="B1353:C1356" si="560">B1352</f>
        <v>西日本第二本部</v>
      </c>
      <c r="C1353" s="35" t="str">
        <f t="shared" si="560"/>
        <v>そんぽの家　南多聞台</v>
      </c>
      <c r="D1353" s="9" t="s">
        <v>4</v>
      </c>
      <c r="E1353" s="10">
        <v>1</v>
      </c>
      <c r="F1353" s="12">
        <v>0</v>
      </c>
      <c r="G1353" s="12">
        <v>0</v>
      </c>
      <c r="H1353" s="10">
        <f t="shared" si="558"/>
        <v>0</v>
      </c>
      <c r="I1353" s="38"/>
      <c r="J1353" s="19" cm="1">
        <f t="array" ref="J1353">IFERROR(IF(_xlfn.XLOOKUP(L1353,NC導入施設!B:B,NC導入施設!E:E)=0,_xlfn.IFS(H1353&lt;=5,0,H1353&lt;=10,1,H1353&lt;=15,2,H1353&gt;=16,3),"Null"),"-")</f>
        <v>0</v>
      </c>
      <c r="K1353" s="61"/>
      <c r="L1353" s="1">
        <v>3817241200</v>
      </c>
    </row>
    <row r="1354" spans="1:12" ht="18" customHeight="1" x14ac:dyDescent="0.45">
      <c r="A1354" s="8">
        <v>1348</v>
      </c>
      <c r="B1354" s="35" t="str">
        <f t="shared" si="560"/>
        <v>西日本第二本部</v>
      </c>
      <c r="C1354" s="35" t="str">
        <f t="shared" si="560"/>
        <v>そんぽの家　南多聞台</v>
      </c>
      <c r="D1354" s="9" t="s">
        <v>5</v>
      </c>
      <c r="E1354" s="10">
        <v>1</v>
      </c>
      <c r="F1354" s="12">
        <v>5</v>
      </c>
      <c r="G1354" s="12">
        <v>5</v>
      </c>
      <c r="H1354" s="10">
        <f t="shared" si="558"/>
        <v>5</v>
      </c>
      <c r="I1354" s="38"/>
      <c r="J1354" s="19" cm="1">
        <f t="array" ref="J1354">IFERROR(IF(_xlfn.XLOOKUP(L1354,NC導入施設!B:B,NC導入施設!E:E)=0,_xlfn.IFS(H1354&lt;=5,0,H1354&lt;=10,1,H1354&lt;=15,2,H1354&gt;=16,3),"Null"),"-")</f>
        <v>0</v>
      </c>
      <c r="K1354" s="61"/>
      <c r="L1354" s="1">
        <v>3817241200</v>
      </c>
    </row>
    <row r="1355" spans="1:12" ht="18" customHeight="1" x14ac:dyDescent="0.45">
      <c r="A1355" s="8">
        <v>1349</v>
      </c>
      <c r="B1355" s="35" t="str">
        <f t="shared" si="560"/>
        <v>西日本第二本部</v>
      </c>
      <c r="C1355" s="35" t="str">
        <f t="shared" si="560"/>
        <v>そんぽの家　南多聞台</v>
      </c>
      <c r="D1355" s="9" t="s">
        <v>6</v>
      </c>
      <c r="E1355" s="10">
        <v>4</v>
      </c>
      <c r="F1355" s="12">
        <v>0</v>
      </c>
      <c r="G1355" s="12">
        <v>0</v>
      </c>
      <c r="H1355" s="10">
        <f t="shared" si="558"/>
        <v>0</v>
      </c>
      <c r="I1355" s="38"/>
      <c r="J1355" s="19" cm="1">
        <f t="array" ref="J1355">IFERROR(IF(_xlfn.XLOOKUP(L1355,NC導入施設!B:B,NC導入施設!E:E)=0,_xlfn.IFS(H1355&lt;=5,0,H1355&lt;=10,1,H1355&lt;=15,2,H1355&gt;=16,3),"Null"),"-")</f>
        <v>0</v>
      </c>
      <c r="K1355" s="61"/>
      <c r="L1355" s="1">
        <v>3817241200</v>
      </c>
    </row>
    <row r="1356" spans="1:12" ht="18" customHeight="1" x14ac:dyDescent="0.45">
      <c r="A1356" s="8">
        <v>1350</v>
      </c>
      <c r="B1356" s="36" t="str">
        <f t="shared" si="560"/>
        <v>西日本第二本部</v>
      </c>
      <c r="C1356" s="36" t="str">
        <f t="shared" si="560"/>
        <v>そんぽの家　南多聞台</v>
      </c>
      <c r="D1356" s="9" t="s">
        <v>2</v>
      </c>
      <c r="E1356" s="10">
        <v>2</v>
      </c>
      <c r="F1356" s="12">
        <v>5</v>
      </c>
      <c r="G1356" s="12">
        <v>2.5</v>
      </c>
      <c r="H1356" s="10">
        <f t="shared" si="558"/>
        <v>5</v>
      </c>
      <c r="I1356" s="39"/>
      <c r="J1356" s="19" cm="1">
        <f t="array" ref="J1356">IFERROR(IF(_xlfn.XLOOKUP(L1356,NC導入施設!B:B,NC導入施設!E:E)=0,_xlfn.IFS(H1356&lt;=5,0,H1356&lt;=10,1,H1356&lt;=15,2,H1356&gt;=16,3),"Null"),"-")</f>
        <v>0</v>
      </c>
      <c r="K1356" s="62"/>
      <c r="L1356" s="1">
        <v>3817241200</v>
      </c>
    </row>
    <row r="1357" spans="1:12" ht="18" customHeight="1" x14ac:dyDescent="0.45">
      <c r="A1357" s="13">
        <v>1351</v>
      </c>
      <c r="B1357" s="40" t="s">
        <v>149</v>
      </c>
      <c r="C1357" s="40" t="s">
        <v>317</v>
      </c>
      <c r="D1357" s="14" t="s">
        <v>3</v>
      </c>
      <c r="E1357" s="15">
        <v>1</v>
      </c>
      <c r="F1357" s="17">
        <v>2</v>
      </c>
      <c r="G1357" s="17">
        <v>2</v>
      </c>
      <c r="H1357" s="15">
        <f t="shared" si="558"/>
        <v>2</v>
      </c>
      <c r="I1357" s="43" cm="1">
        <f t="array" ref="I1357">IF(J1357="-","-",_xlfn.IFS(K1357&lt;=5,0,K1357&lt;=10,1,K1357&lt;=15,2,K1357&gt;=16,3))</f>
        <v>3</v>
      </c>
      <c r="J1357" s="19" cm="1">
        <f t="array" ref="J1357">IFERROR(IF(_xlfn.XLOOKUP(L1357,NC導入施設!B:B,NC導入施設!E:E)=0,_xlfn.IFS(H1357&lt;=5,0,H1357&lt;=10,1,H1357&lt;=15,2,H1357&gt;=16,3),"Null"),"-")</f>
        <v>0</v>
      </c>
      <c r="K1357" s="60">
        <f t="shared" ref="K1357" si="561">IFERROR(SUM(H1357:H1361),"-")</f>
        <v>36</v>
      </c>
      <c r="L1357" s="1">
        <v>3817251200</v>
      </c>
    </row>
    <row r="1358" spans="1:12" ht="18" customHeight="1" x14ac:dyDescent="0.45">
      <c r="A1358" s="13">
        <v>1352</v>
      </c>
      <c r="B1358" s="41" t="str">
        <f t="shared" ref="B1358:C1361" si="562">B1357</f>
        <v>西日本第二本部</v>
      </c>
      <c r="C1358" s="41" t="str">
        <f t="shared" si="562"/>
        <v>ラヴィーレ神戸垂水</v>
      </c>
      <c r="D1358" s="14" t="s">
        <v>4</v>
      </c>
      <c r="E1358" s="15">
        <v>2</v>
      </c>
      <c r="F1358" s="17">
        <v>7</v>
      </c>
      <c r="G1358" s="17">
        <v>3.5</v>
      </c>
      <c r="H1358" s="15">
        <f t="shared" si="558"/>
        <v>7</v>
      </c>
      <c r="I1358" s="44"/>
      <c r="J1358" s="19" cm="1">
        <f t="array" ref="J1358">IFERROR(IF(_xlfn.XLOOKUP(L1358,NC導入施設!B:B,NC導入施設!E:E)=0,_xlfn.IFS(H1358&lt;=5,0,H1358&lt;=10,1,H1358&lt;=15,2,H1358&gt;=16,3),"Null"),"-")</f>
        <v>1</v>
      </c>
      <c r="K1358" s="61"/>
      <c r="L1358" s="1">
        <v>3817251200</v>
      </c>
    </row>
    <row r="1359" spans="1:12" ht="18" customHeight="1" x14ac:dyDescent="0.45">
      <c r="A1359" s="13">
        <v>1353</v>
      </c>
      <c r="B1359" s="41" t="str">
        <f t="shared" si="562"/>
        <v>西日本第二本部</v>
      </c>
      <c r="C1359" s="41" t="str">
        <f t="shared" si="562"/>
        <v>ラヴィーレ神戸垂水</v>
      </c>
      <c r="D1359" s="14" t="s">
        <v>5</v>
      </c>
      <c r="E1359" s="15">
        <v>2</v>
      </c>
      <c r="F1359" s="17">
        <v>22</v>
      </c>
      <c r="G1359" s="17">
        <v>11</v>
      </c>
      <c r="H1359" s="15">
        <f t="shared" si="558"/>
        <v>22</v>
      </c>
      <c r="I1359" s="44"/>
      <c r="J1359" s="19" cm="1">
        <f t="array" ref="J1359">IFERROR(IF(_xlfn.XLOOKUP(L1359,NC導入施設!B:B,NC導入施設!E:E)=0,_xlfn.IFS(H1359&lt;=5,0,H1359&lt;=10,1,H1359&lt;=15,2,H1359&gt;=16,3),"Null"),"-")</f>
        <v>3</v>
      </c>
      <c r="K1359" s="61"/>
      <c r="L1359" s="1">
        <v>3817251200</v>
      </c>
    </row>
    <row r="1360" spans="1:12" ht="18" customHeight="1" x14ac:dyDescent="0.45">
      <c r="A1360" s="13">
        <v>1354</v>
      </c>
      <c r="B1360" s="41" t="str">
        <f t="shared" si="562"/>
        <v>西日本第二本部</v>
      </c>
      <c r="C1360" s="41" t="str">
        <f t="shared" si="562"/>
        <v>ラヴィーレ神戸垂水</v>
      </c>
      <c r="D1360" s="14" t="s">
        <v>6</v>
      </c>
      <c r="E1360" s="15">
        <v>4</v>
      </c>
      <c r="F1360" s="17">
        <v>1</v>
      </c>
      <c r="G1360" s="17">
        <v>0.3</v>
      </c>
      <c r="H1360" s="15">
        <f t="shared" si="558"/>
        <v>1</v>
      </c>
      <c r="I1360" s="44"/>
      <c r="J1360" s="19" cm="1">
        <f t="array" ref="J1360">IFERROR(IF(_xlfn.XLOOKUP(L1360,NC導入施設!B:B,NC導入施設!E:E)=0,_xlfn.IFS(H1360&lt;=5,0,H1360&lt;=10,1,H1360&lt;=15,2,H1360&gt;=16,3),"Null"),"-")</f>
        <v>0</v>
      </c>
      <c r="K1360" s="61"/>
      <c r="L1360" s="1">
        <v>3817251200</v>
      </c>
    </row>
    <row r="1361" spans="1:12" ht="18" customHeight="1" x14ac:dyDescent="0.45">
      <c r="A1361" s="13">
        <v>1355</v>
      </c>
      <c r="B1361" s="42" t="str">
        <f t="shared" si="562"/>
        <v>西日本第二本部</v>
      </c>
      <c r="C1361" s="42" t="str">
        <f t="shared" si="562"/>
        <v>ラヴィーレ神戸垂水</v>
      </c>
      <c r="D1361" s="14" t="s">
        <v>2</v>
      </c>
      <c r="E1361" s="15">
        <v>1</v>
      </c>
      <c r="F1361" s="17">
        <v>4</v>
      </c>
      <c r="G1361" s="17">
        <v>4</v>
      </c>
      <c r="H1361" s="15">
        <f t="shared" si="558"/>
        <v>4</v>
      </c>
      <c r="I1361" s="45"/>
      <c r="J1361" s="19" cm="1">
        <f t="array" ref="J1361">IFERROR(IF(_xlfn.XLOOKUP(L1361,NC導入施設!B:B,NC導入施設!E:E)=0,_xlfn.IFS(H1361&lt;=5,0,H1361&lt;=10,1,H1361&lt;=15,2,H1361&gt;=16,3),"Null"),"-")</f>
        <v>0</v>
      </c>
      <c r="K1361" s="62"/>
      <c r="L1361" s="1">
        <v>3817251200</v>
      </c>
    </row>
    <row r="1362" spans="1:12" ht="18" customHeight="1" x14ac:dyDescent="0.45">
      <c r="A1362" s="8">
        <v>1356</v>
      </c>
      <c r="B1362" s="34" t="s">
        <v>149</v>
      </c>
      <c r="C1362" s="34" t="s">
        <v>156</v>
      </c>
      <c r="D1362" s="9" t="s">
        <v>3</v>
      </c>
      <c r="E1362" s="10">
        <v>1</v>
      </c>
      <c r="F1362" s="12">
        <v>2</v>
      </c>
      <c r="G1362" s="12">
        <v>2</v>
      </c>
      <c r="H1362" s="10">
        <f t="shared" si="558"/>
        <v>2</v>
      </c>
      <c r="I1362" s="37" cm="1">
        <f t="array" ref="I1362">IF(J1362="-","-",_xlfn.IFS(K1362&lt;=5,0,K1362&lt;=10,1,K1362&lt;=15,2,K1362&gt;=16,3))</f>
        <v>1</v>
      </c>
      <c r="J1362" s="19" cm="1">
        <f t="array" ref="J1362">IFERROR(IF(_xlfn.XLOOKUP(L1362,NC導入施設!B:B,NC導入施設!E:E)=0,_xlfn.IFS(H1362&lt;=5,0,H1362&lt;=10,1,H1362&lt;=15,2,H1362&gt;=16,3),"Null"),"-")</f>
        <v>0</v>
      </c>
      <c r="K1362" s="60">
        <f t="shared" ref="K1362" si="563">IFERROR(SUM(H1362:H1366),"-")</f>
        <v>9</v>
      </c>
      <c r="L1362" s="1">
        <v>3817281200</v>
      </c>
    </row>
    <row r="1363" spans="1:12" ht="18" customHeight="1" x14ac:dyDescent="0.45">
      <c r="A1363" s="8">
        <v>1357</v>
      </c>
      <c r="B1363" s="35" t="str">
        <f t="shared" ref="B1363:C1366" si="564">B1362</f>
        <v>西日本第二本部</v>
      </c>
      <c r="C1363" s="35" t="str">
        <f t="shared" si="564"/>
        <v>そんぽの家　兵庫柳原</v>
      </c>
      <c r="D1363" s="9" t="s">
        <v>4</v>
      </c>
      <c r="E1363" s="10">
        <v>2</v>
      </c>
      <c r="F1363" s="12">
        <v>3</v>
      </c>
      <c r="G1363" s="12">
        <v>1.5</v>
      </c>
      <c r="H1363" s="10">
        <f t="shared" si="558"/>
        <v>3</v>
      </c>
      <c r="I1363" s="38"/>
      <c r="J1363" s="19" cm="1">
        <f t="array" ref="J1363">IFERROR(IF(_xlfn.XLOOKUP(L1363,NC導入施設!B:B,NC導入施設!E:E)=0,_xlfn.IFS(H1363&lt;=5,0,H1363&lt;=10,1,H1363&lt;=15,2,H1363&gt;=16,3),"Null"),"-")</f>
        <v>0</v>
      </c>
      <c r="K1363" s="61"/>
      <c r="L1363" s="1">
        <v>3817281200</v>
      </c>
    </row>
    <row r="1364" spans="1:12" ht="18" customHeight="1" x14ac:dyDescent="0.45">
      <c r="A1364" s="8">
        <v>1358</v>
      </c>
      <c r="B1364" s="35" t="str">
        <f t="shared" si="564"/>
        <v>西日本第二本部</v>
      </c>
      <c r="C1364" s="35" t="str">
        <f t="shared" si="564"/>
        <v>そんぽの家　兵庫柳原</v>
      </c>
      <c r="D1364" s="9" t="s">
        <v>5</v>
      </c>
      <c r="E1364" s="10">
        <v>3</v>
      </c>
      <c r="F1364" s="12">
        <v>2</v>
      </c>
      <c r="G1364" s="12">
        <v>0.7</v>
      </c>
      <c r="H1364" s="10">
        <f t="shared" si="558"/>
        <v>2</v>
      </c>
      <c r="I1364" s="38"/>
      <c r="J1364" s="19" cm="1">
        <f t="array" ref="J1364">IFERROR(IF(_xlfn.XLOOKUP(L1364,NC導入施設!B:B,NC導入施設!E:E)=0,_xlfn.IFS(H1364&lt;=5,0,H1364&lt;=10,1,H1364&lt;=15,2,H1364&gt;=16,3),"Null"),"-")</f>
        <v>0</v>
      </c>
      <c r="K1364" s="61"/>
      <c r="L1364" s="1">
        <v>3817281200</v>
      </c>
    </row>
    <row r="1365" spans="1:12" ht="18" customHeight="1" x14ac:dyDescent="0.45">
      <c r="A1365" s="8">
        <v>1359</v>
      </c>
      <c r="B1365" s="35" t="str">
        <f t="shared" si="564"/>
        <v>西日本第二本部</v>
      </c>
      <c r="C1365" s="35" t="str">
        <f t="shared" si="564"/>
        <v>そんぽの家　兵庫柳原</v>
      </c>
      <c r="D1365" s="9" t="s">
        <v>6</v>
      </c>
      <c r="E1365" s="10">
        <v>4</v>
      </c>
      <c r="F1365" s="12">
        <v>2</v>
      </c>
      <c r="G1365" s="12">
        <v>0.5</v>
      </c>
      <c r="H1365" s="10">
        <f t="shared" si="558"/>
        <v>2</v>
      </c>
      <c r="I1365" s="38"/>
      <c r="J1365" s="19" cm="1">
        <f t="array" ref="J1365">IFERROR(IF(_xlfn.XLOOKUP(L1365,NC導入施設!B:B,NC導入施設!E:E)=0,_xlfn.IFS(H1365&lt;=5,0,H1365&lt;=10,1,H1365&lt;=15,2,H1365&gt;=16,3),"Null"),"-")</f>
        <v>0</v>
      </c>
      <c r="K1365" s="61"/>
      <c r="L1365" s="1">
        <v>3817281200</v>
      </c>
    </row>
    <row r="1366" spans="1:12" ht="18" customHeight="1" x14ac:dyDescent="0.45">
      <c r="A1366" s="8">
        <v>1360</v>
      </c>
      <c r="B1366" s="36" t="str">
        <f t="shared" si="564"/>
        <v>西日本第二本部</v>
      </c>
      <c r="C1366" s="36" t="str">
        <f t="shared" si="564"/>
        <v>そんぽの家　兵庫柳原</v>
      </c>
      <c r="D1366" s="9" t="s">
        <v>2</v>
      </c>
      <c r="E1366" s="10">
        <v>1</v>
      </c>
      <c r="F1366" s="12">
        <v>0</v>
      </c>
      <c r="G1366" s="12">
        <v>0</v>
      </c>
      <c r="H1366" s="10">
        <f t="shared" si="558"/>
        <v>0</v>
      </c>
      <c r="I1366" s="39"/>
      <c r="J1366" s="19" cm="1">
        <f t="array" ref="J1366">IFERROR(IF(_xlfn.XLOOKUP(L1366,NC導入施設!B:B,NC導入施設!E:E)=0,_xlfn.IFS(H1366&lt;=5,0,H1366&lt;=10,1,H1366&lt;=15,2,H1366&gt;=16,3),"Null"),"-")</f>
        <v>0</v>
      </c>
      <c r="K1366" s="62"/>
      <c r="L1366" s="1">
        <v>3817281200</v>
      </c>
    </row>
    <row r="1367" spans="1:12" ht="18" customHeight="1" x14ac:dyDescent="0.45">
      <c r="A1367" s="13">
        <v>1361</v>
      </c>
      <c r="B1367" s="40" t="s">
        <v>149</v>
      </c>
      <c r="C1367" s="40" t="s">
        <v>318</v>
      </c>
      <c r="D1367" s="14" t="s">
        <v>3</v>
      </c>
      <c r="E1367" s="15">
        <v>1</v>
      </c>
      <c r="F1367" s="17">
        <v>2</v>
      </c>
      <c r="G1367" s="17">
        <v>2</v>
      </c>
      <c r="H1367" s="15">
        <f t="shared" si="558"/>
        <v>2</v>
      </c>
      <c r="I1367" s="43" cm="1">
        <f t="array" ref="I1367">IF(J1367="-","-",_xlfn.IFS(K1367&lt;=5,0,K1367&lt;=10,1,K1367&lt;=15,2,K1367&gt;=16,3))</f>
        <v>3</v>
      </c>
      <c r="J1367" s="19" cm="1">
        <f t="array" ref="J1367">IFERROR(IF(_xlfn.XLOOKUP(L1367,NC導入施設!B:B,NC導入施設!E:E)=0,_xlfn.IFS(H1367&lt;=5,0,H1367&lt;=10,1,H1367&lt;=15,2,H1367&gt;=16,3),"Null"),"-")</f>
        <v>0</v>
      </c>
      <c r="K1367" s="60">
        <f t="shared" ref="K1367" si="565">IFERROR(SUM(H1367:H1371),"-")</f>
        <v>28</v>
      </c>
      <c r="L1367" s="1">
        <v>3817301100</v>
      </c>
    </row>
    <row r="1368" spans="1:12" ht="18" customHeight="1" x14ac:dyDescent="0.45">
      <c r="A1368" s="13">
        <v>1362</v>
      </c>
      <c r="B1368" s="41" t="str">
        <f t="shared" ref="B1368:C1371" si="566">B1367</f>
        <v>西日本第二本部</v>
      </c>
      <c r="C1368" s="41" t="str">
        <f t="shared" si="566"/>
        <v>ラヴィーレ六甲</v>
      </c>
      <c r="D1368" s="14" t="s">
        <v>4</v>
      </c>
      <c r="E1368" s="15">
        <v>2</v>
      </c>
      <c r="F1368" s="17">
        <v>20</v>
      </c>
      <c r="G1368" s="17">
        <v>10</v>
      </c>
      <c r="H1368" s="15">
        <f t="shared" si="558"/>
        <v>20</v>
      </c>
      <c r="I1368" s="44"/>
      <c r="J1368" s="19" cm="1">
        <f t="array" ref="J1368">IFERROR(IF(_xlfn.XLOOKUP(L1368,NC導入施設!B:B,NC導入施設!E:E)=0,_xlfn.IFS(H1368&lt;=5,0,H1368&lt;=10,1,H1368&lt;=15,2,H1368&gt;=16,3),"Null"),"-")</f>
        <v>3</v>
      </c>
      <c r="K1368" s="61"/>
      <c r="L1368" s="1">
        <v>3817301100</v>
      </c>
    </row>
    <row r="1369" spans="1:12" ht="18" customHeight="1" x14ac:dyDescent="0.45">
      <c r="A1369" s="13">
        <v>1363</v>
      </c>
      <c r="B1369" s="41" t="str">
        <f t="shared" si="566"/>
        <v>西日本第二本部</v>
      </c>
      <c r="C1369" s="41" t="str">
        <f t="shared" si="566"/>
        <v>ラヴィーレ六甲</v>
      </c>
      <c r="D1369" s="14" t="s">
        <v>5</v>
      </c>
      <c r="E1369" s="15">
        <v>2</v>
      </c>
      <c r="F1369" s="17">
        <v>6</v>
      </c>
      <c r="G1369" s="17">
        <v>3</v>
      </c>
      <c r="H1369" s="15">
        <f t="shared" si="558"/>
        <v>6</v>
      </c>
      <c r="I1369" s="44"/>
      <c r="J1369" s="19" cm="1">
        <f t="array" ref="J1369">IFERROR(IF(_xlfn.XLOOKUP(L1369,NC導入施設!B:B,NC導入施設!E:E)=0,_xlfn.IFS(H1369&lt;=5,0,H1369&lt;=10,1,H1369&lt;=15,2,H1369&gt;=16,3),"Null"),"-")</f>
        <v>1</v>
      </c>
      <c r="K1369" s="61"/>
      <c r="L1369" s="1">
        <v>3817301100</v>
      </c>
    </row>
    <row r="1370" spans="1:12" ht="18" customHeight="1" x14ac:dyDescent="0.45">
      <c r="A1370" s="13">
        <v>1364</v>
      </c>
      <c r="B1370" s="41" t="str">
        <f t="shared" si="566"/>
        <v>西日本第二本部</v>
      </c>
      <c r="C1370" s="41" t="str">
        <f t="shared" si="566"/>
        <v>ラヴィーレ六甲</v>
      </c>
      <c r="D1370" s="14" t="s">
        <v>6</v>
      </c>
      <c r="E1370" s="15">
        <v>5</v>
      </c>
      <c r="F1370" s="17">
        <v>0</v>
      </c>
      <c r="G1370" s="17">
        <v>0</v>
      </c>
      <c r="H1370" s="15">
        <f t="shared" si="558"/>
        <v>0</v>
      </c>
      <c r="I1370" s="44"/>
      <c r="J1370" s="19" cm="1">
        <f t="array" ref="J1370">IFERROR(IF(_xlfn.XLOOKUP(L1370,NC導入施設!B:B,NC導入施設!E:E)=0,_xlfn.IFS(H1370&lt;=5,0,H1370&lt;=10,1,H1370&lt;=15,2,H1370&gt;=16,3),"Null"),"-")</f>
        <v>0</v>
      </c>
      <c r="K1370" s="61"/>
      <c r="L1370" s="1">
        <v>3817301100</v>
      </c>
    </row>
    <row r="1371" spans="1:12" ht="18" customHeight="1" x14ac:dyDescent="0.45">
      <c r="A1371" s="13">
        <v>1365</v>
      </c>
      <c r="B1371" s="42" t="str">
        <f t="shared" si="566"/>
        <v>西日本第二本部</v>
      </c>
      <c r="C1371" s="42" t="str">
        <f t="shared" si="566"/>
        <v>ラヴィーレ六甲</v>
      </c>
      <c r="D1371" s="14" t="s">
        <v>2</v>
      </c>
      <c r="E1371" s="15">
        <v>3</v>
      </c>
      <c r="F1371" s="17">
        <v>0</v>
      </c>
      <c r="G1371" s="17">
        <v>0</v>
      </c>
      <c r="H1371" s="15">
        <f t="shared" si="558"/>
        <v>0</v>
      </c>
      <c r="I1371" s="45"/>
      <c r="J1371" s="19" cm="1">
        <f t="array" ref="J1371">IFERROR(IF(_xlfn.XLOOKUP(L1371,NC導入施設!B:B,NC導入施設!E:E)=0,_xlfn.IFS(H1371&lt;=5,0,H1371&lt;=10,1,H1371&lt;=15,2,H1371&gt;=16,3),"Null"),"-")</f>
        <v>0</v>
      </c>
      <c r="K1371" s="62"/>
      <c r="L1371" s="1">
        <v>3817301100</v>
      </c>
    </row>
    <row r="1372" spans="1:12" ht="18" customHeight="1" x14ac:dyDescent="0.45">
      <c r="A1372" s="8">
        <v>1366</v>
      </c>
      <c r="B1372" s="34" t="s">
        <v>149</v>
      </c>
      <c r="C1372" s="34" t="s">
        <v>319</v>
      </c>
      <c r="D1372" s="9" t="s">
        <v>3</v>
      </c>
      <c r="E1372" s="10">
        <v>1</v>
      </c>
      <c r="F1372" s="12">
        <v>12</v>
      </c>
      <c r="G1372" s="12">
        <v>12</v>
      </c>
      <c r="H1372" s="10">
        <f t="shared" si="558"/>
        <v>12</v>
      </c>
      <c r="I1372" s="37" cm="1">
        <f t="array" ref="I1372">IF(J1372="-","-",_xlfn.IFS(K1372&lt;=5,0,K1372&lt;=10,1,K1372&lt;=15,2,K1372&gt;=16,3))</f>
        <v>3</v>
      </c>
      <c r="J1372" s="19" cm="1">
        <f t="array" ref="J1372">IFERROR(IF(_xlfn.XLOOKUP(L1372,NC導入施設!B:B,NC導入施設!E:E)=0,_xlfn.IFS(H1372&lt;=5,0,H1372&lt;=10,1,H1372&lt;=15,2,H1372&gt;=16,3),"Null"),"-")</f>
        <v>2</v>
      </c>
      <c r="K1372" s="60">
        <f t="shared" ref="K1372" si="567">IFERROR(SUM(H1372:H1376),"-")</f>
        <v>38</v>
      </c>
      <c r="L1372" s="1">
        <v>3817541100</v>
      </c>
    </row>
    <row r="1373" spans="1:12" ht="18" customHeight="1" x14ac:dyDescent="0.45">
      <c r="A1373" s="8">
        <v>1367</v>
      </c>
      <c r="B1373" s="35" t="str">
        <f t="shared" ref="B1373:C1376" si="568">B1372</f>
        <v>西日本第二本部</v>
      </c>
      <c r="C1373" s="35" t="str">
        <f t="shared" si="568"/>
        <v>ラヴィーレグラン夙川</v>
      </c>
      <c r="D1373" s="9" t="s">
        <v>4</v>
      </c>
      <c r="E1373" s="10">
        <v>1</v>
      </c>
      <c r="F1373" s="12">
        <v>5</v>
      </c>
      <c r="G1373" s="12">
        <v>5</v>
      </c>
      <c r="H1373" s="10">
        <f t="shared" si="558"/>
        <v>5</v>
      </c>
      <c r="I1373" s="38"/>
      <c r="J1373" s="19" cm="1">
        <f t="array" ref="J1373">IFERROR(IF(_xlfn.XLOOKUP(L1373,NC導入施設!B:B,NC導入施設!E:E)=0,_xlfn.IFS(H1373&lt;=5,0,H1373&lt;=10,1,H1373&lt;=15,2,H1373&gt;=16,3),"Null"),"-")</f>
        <v>0</v>
      </c>
      <c r="K1373" s="61"/>
      <c r="L1373" s="1">
        <v>3817541100</v>
      </c>
    </row>
    <row r="1374" spans="1:12" ht="18" customHeight="1" x14ac:dyDescent="0.45">
      <c r="A1374" s="8">
        <v>1368</v>
      </c>
      <c r="B1374" s="35" t="str">
        <f t="shared" si="568"/>
        <v>西日本第二本部</v>
      </c>
      <c r="C1374" s="35" t="str">
        <f t="shared" si="568"/>
        <v>ラヴィーレグラン夙川</v>
      </c>
      <c r="D1374" s="9" t="s">
        <v>5</v>
      </c>
      <c r="E1374" s="10">
        <v>1</v>
      </c>
      <c r="F1374" s="12">
        <v>2</v>
      </c>
      <c r="G1374" s="12">
        <v>2</v>
      </c>
      <c r="H1374" s="10">
        <f t="shared" si="558"/>
        <v>2</v>
      </c>
      <c r="I1374" s="38"/>
      <c r="J1374" s="19" cm="1">
        <f t="array" ref="J1374">IFERROR(IF(_xlfn.XLOOKUP(L1374,NC導入施設!B:B,NC導入施設!E:E)=0,_xlfn.IFS(H1374&lt;=5,0,H1374&lt;=10,1,H1374&lt;=15,2,H1374&gt;=16,3),"Null"),"-")</f>
        <v>0</v>
      </c>
      <c r="K1374" s="61"/>
      <c r="L1374" s="1">
        <v>3817541100</v>
      </c>
    </row>
    <row r="1375" spans="1:12" ht="18" customHeight="1" x14ac:dyDescent="0.45">
      <c r="A1375" s="8">
        <v>1369</v>
      </c>
      <c r="B1375" s="35" t="str">
        <f t="shared" si="568"/>
        <v>西日本第二本部</v>
      </c>
      <c r="C1375" s="35" t="str">
        <f t="shared" si="568"/>
        <v>ラヴィーレグラン夙川</v>
      </c>
      <c r="D1375" s="9" t="s">
        <v>6</v>
      </c>
      <c r="E1375" s="10">
        <v>9</v>
      </c>
      <c r="F1375" s="12">
        <v>11</v>
      </c>
      <c r="G1375" s="12">
        <v>1.2</v>
      </c>
      <c r="H1375" s="10">
        <f t="shared" si="558"/>
        <v>11</v>
      </c>
      <c r="I1375" s="38"/>
      <c r="J1375" s="19" cm="1">
        <f t="array" ref="J1375">IFERROR(IF(_xlfn.XLOOKUP(L1375,NC導入施設!B:B,NC導入施設!E:E)=0,_xlfn.IFS(H1375&lt;=5,0,H1375&lt;=10,1,H1375&lt;=15,2,H1375&gt;=16,3),"Null"),"-")</f>
        <v>2</v>
      </c>
      <c r="K1375" s="61"/>
      <c r="L1375" s="1">
        <v>3817541100</v>
      </c>
    </row>
    <row r="1376" spans="1:12" ht="18" customHeight="1" x14ac:dyDescent="0.45">
      <c r="A1376" s="8">
        <v>1370</v>
      </c>
      <c r="B1376" s="36" t="str">
        <f t="shared" si="568"/>
        <v>西日本第二本部</v>
      </c>
      <c r="C1376" s="36" t="str">
        <f t="shared" si="568"/>
        <v>ラヴィーレグラン夙川</v>
      </c>
      <c r="D1376" s="9" t="s">
        <v>2</v>
      </c>
      <c r="E1376" s="10">
        <v>3</v>
      </c>
      <c r="F1376" s="12">
        <v>8</v>
      </c>
      <c r="G1376" s="12">
        <v>2.7</v>
      </c>
      <c r="H1376" s="10">
        <f t="shared" si="558"/>
        <v>8</v>
      </c>
      <c r="I1376" s="39"/>
      <c r="J1376" s="19" cm="1">
        <f t="array" ref="J1376">IFERROR(IF(_xlfn.XLOOKUP(L1376,NC導入施設!B:B,NC導入施設!E:E)=0,_xlfn.IFS(H1376&lt;=5,0,H1376&lt;=10,1,H1376&lt;=15,2,H1376&gt;=16,3),"Null"),"-")</f>
        <v>1</v>
      </c>
      <c r="K1376" s="62"/>
      <c r="L1376" s="1">
        <v>3817541100</v>
      </c>
    </row>
    <row r="1377" spans="1:12" ht="18" customHeight="1" x14ac:dyDescent="0.45">
      <c r="A1377" s="13">
        <v>1371</v>
      </c>
      <c r="B1377" s="40" t="s">
        <v>149</v>
      </c>
      <c r="C1377" s="40" t="s">
        <v>157</v>
      </c>
      <c r="D1377" s="14" t="s">
        <v>3</v>
      </c>
      <c r="E1377" s="15">
        <v>1</v>
      </c>
      <c r="F1377" s="17">
        <v>18</v>
      </c>
      <c r="G1377" s="17">
        <v>18</v>
      </c>
      <c r="H1377" s="15">
        <f t="shared" si="558"/>
        <v>18</v>
      </c>
      <c r="I1377" s="43" cm="1">
        <f t="array" ref="I1377">IF(J1377="-","-",_xlfn.IFS(K1377&lt;=5,0,K1377&lt;=10,1,K1377&lt;=15,2,K1377&gt;=16,3))</f>
        <v>3</v>
      </c>
      <c r="J1377" s="19" cm="1">
        <f t="array" ref="J1377">IFERROR(IF(_xlfn.XLOOKUP(L1377,NC導入施設!B:B,NC導入施設!E:E)=0,_xlfn.IFS(H1377&lt;=5,0,H1377&lt;=10,1,H1377&lt;=15,2,H1377&gt;=16,3),"Null"),"-")</f>
        <v>3</v>
      </c>
      <c r="K1377" s="60">
        <f t="shared" ref="K1377" si="569">IFERROR(SUM(H1377:H1381),"-")</f>
        <v>51</v>
      </c>
      <c r="L1377" s="1">
        <v>4317331200</v>
      </c>
    </row>
    <row r="1378" spans="1:12" ht="18" customHeight="1" x14ac:dyDescent="0.45">
      <c r="A1378" s="13">
        <v>1372</v>
      </c>
      <c r="B1378" s="41" t="str">
        <f t="shared" ref="B1378:C1381" si="570">B1377</f>
        <v>西日本第二本部</v>
      </c>
      <c r="C1378" s="41" t="str">
        <f t="shared" si="570"/>
        <v>そんぽの家　南岡山</v>
      </c>
      <c r="D1378" s="14" t="s">
        <v>4</v>
      </c>
      <c r="E1378" s="15">
        <v>1</v>
      </c>
      <c r="F1378" s="17">
        <v>12</v>
      </c>
      <c r="G1378" s="17">
        <v>12</v>
      </c>
      <c r="H1378" s="15">
        <f t="shared" si="558"/>
        <v>12</v>
      </c>
      <c r="I1378" s="44"/>
      <c r="J1378" s="19" cm="1">
        <f t="array" ref="J1378">IFERROR(IF(_xlfn.XLOOKUP(L1378,NC導入施設!B:B,NC導入施設!E:E)=0,_xlfn.IFS(H1378&lt;=5,0,H1378&lt;=10,1,H1378&lt;=15,2,H1378&gt;=16,3),"Null"),"-")</f>
        <v>2</v>
      </c>
      <c r="K1378" s="61"/>
      <c r="L1378" s="1">
        <v>4317331200</v>
      </c>
    </row>
    <row r="1379" spans="1:12" ht="18" customHeight="1" x14ac:dyDescent="0.45">
      <c r="A1379" s="13">
        <v>1373</v>
      </c>
      <c r="B1379" s="41" t="str">
        <f t="shared" si="570"/>
        <v>西日本第二本部</v>
      </c>
      <c r="C1379" s="41" t="str">
        <f t="shared" si="570"/>
        <v>そんぽの家　南岡山</v>
      </c>
      <c r="D1379" s="14" t="s">
        <v>5</v>
      </c>
      <c r="E1379" s="15">
        <v>1</v>
      </c>
      <c r="F1379" s="17">
        <v>11</v>
      </c>
      <c r="G1379" s="17">
        <v>11</v>
      </c>
      <c r="H1379" s="15">
        <f t="shared" si="558"/>
        <v>11</v>
      </c>
      <c r="I1379" s="44"/>
      <c r="J1379" s="19" cm="1">
        <f t="array" ref="J1379">IFERROR(IF(_xlfn.XLOOKUP(L1379,NC導入施設!B:B,NC導入施設!E:E)=0,_xlfn.IFS(H1379&lt;=5,0,H1379&lt;=10,1,H1379&lt;=15,2,H1379&gt;=16,3),"Null"),"-")</f>
        <v>2</v>
      </c>
      <c r="K1379" s="61"/>
      <c r="L1379" s="1">
        <v>4317331200</v>
      </c>
    </row>
    <row r="1380" spans="1:12" ht="18" customHeight="1" x14ac:dyDescent="0.45">
      <c r="A1380" s="13">
        <v>1374</v>
      </c>
      <c r="B1380" s="41" t="str">
        <f t="shared" si="570"/>
        <v>西日本第二本部</v>
      </c>
      <c r="C1380" s="41" t="str">
        <f t="shared" si="570"/>
        <v>そんぽの家　南岡山</v>
      </c>
      <c r="D1380" s="14" t="s">
        <v>6</v>
      </c>
      <c r="E1380" s="15">
        <v>3</v>
      </c>
      <c r="F1380" s="17">
        <v>6</v>
      </c>
      <c r="G1380" s="17">
        <v>2</v>
      </c>
      <c r="H1380" s="15">
        <f t="shared" si="558"/>
        <v>6</v>
      </c>
      <c r="I1380" s="44"/>
      <c r="J1380" s="19" cm="1">
        <f t="array" ref="J1380">IFERROR(IF(_xlfn.XLOOKUP(L1380,NC導入施設!B:B,NC導入施設!E:E)=0,_xlfn.IFS(H1380&lt;=5,0,H1380&lt;=10,1,H1380&lt;=15,2,H1380&gt;=16,3),"Null"),"-")</f>
        <v>1</v>
      </c>
      <c r="K1380" s="61"/>
      <c r="L1380" s="1">
        <v>4317331200</v>
      </c>
    </row>
    <row r="1381" spans="1:12" ht="18" customHeight="1" x14ac:dyDescent="0.45">
      <c r="A1381" s="13">
        <v>1375</v>
      </c>
      <c r="B1381" s="42" t="str">
        <f t="shared" si="570"/>
        <v>西日本第二本部</v>
      </c>
      <c r="C1381" s="42" t="str">
        <f t="shared" si="570"/>
        <v>そんぽの家　南岡山</v>
      </c>
      <c r="D1381" s="14" t="s">
        <v>2</v>
      </c>
      <c r="E1381" s="15">
        <v>1</v>
      </c>
      <c r="F1381" s="17">
        <v>4</v>
      </c>
      <c r="G1381" s="17">
        <v>4</v>
      </c>
      <c r="H1381" s="15">
        <f t="shared" si="558"/>
        <v>4</v>
      </c>
      <c r="I1381" s="45"/>
      <c r="J1381" s="19" cm="1">
        <f t="array" ref="J1381">IFERROR(IF(_xlfn.XLOOKUP(L1381,NC導入施設!B:B,NC導入施設!E:E)=0,_xlfn.IFS(H1381&lt;=5,0,H1381&lt;=10,1,H1381&lt;=15,2,H1381&gt;=16,3),"Null"),"-")</f>
        <v>0</v>
      </c>
      <c r="K1381" s="62"/>
      <c r="L1381" s="1">
        <v>4317331200</v>
      </c>
    </row>
    <row r="1382" spans="1:12" ht="18" customHeight="1" x14ac:dyDescent="0.45">
      <c r="A1382" s="8">
        <v>1376</v>
      </c>
      <c r="B1382" s="34" t="s">
        <v>149</v>
      </c>
      <c r="C1382" s="34" t="s">
        <v>158</v>
      </c>
      <c r="D1382" s="9" t="s">
        <v>3</v>
      </c>
      <c r="E1382" s="10">
        <v>1</v>
      </c>
      <c r="F1382" s="12">
        <v>18</v>
      </c>
      <c r="G1382" s="12">
        <v>18</v>
      </c>
      <c r="H1382" s="10">
        <f t="shared" si="558"/>
        <v>18</v>
      </c>
      <c r="I1382" s="37" cm="1">
        <f t="array" ref="I1382">IF(J1382="-","-",_xlfn.IFS(K1382&lt;=5,0,K1382&lt;=10,1,K1382&lt;=15,2,K1382&gt;=16,3))</f>
        <v>3</v>
      </c>
      <c r="J1382" s="19" cm="1">
        <f t="array" ref="J1382">IFERROR(IF(_xlfn.XLOOKUP(L1382,NC導入施設!B:B,NC導入施設!E:E)=0,_xlfn.IFS(H1382&lt;=5,0,H1382&lt;=10,1,H1382&lt;=15,2,H1382&gt;=16,3),"Null"),"-")</f>
        <v>3</v>
      </c>
      <c r="K1382" s="60">
        <f t="shared" ref="K1382" si="571">IFERROR(SUM(H1382:H1386),"-")</f>
        <v>47</v>
      </c>
      <c r="L1382" s="1">
        <v>4317341200</v>
      </c>
    </row>
    <row r="1383" spans="1:12" ht="18" customHeight="1" x14ac:dyDescent="0.45">
      <c r="A1383" s="8">
        <v>1377</v>
      </c>
      <c r="B1383" s="35" t="str">
        <f t="shared" ref="B1383:C1386" si="572">B1382</f>
        <v>西日本第二本部</v>
      </c>
      <c r="C1383" s="35" t="str">
        <f t="shared" si="572"/>
        <v>そんぽの家　東岡山</v>
      </c>
      <c r="D1383" s="9" t="s">
        <v>4</v>
      </c>
      <c r="E1383" s="10">
        <v>1</v>
      </c>
      <c r="F1383" s="12">
        <v>14</v>
      </c>
      <c r="G1383" s="12">
        <v>14</v>
      </c>
      <c r="H1383" s="10">
        <f t="shared" si="558"/>
        <v>14</v>
      </c>
      <c r="I1383" s="38"/>
      <c r="J1383" s="19" cm="1">
        <f t="array" ref="J1383">IFERROR(IF(_xlfn.XLOOKUP(L1383,NC導入施設!B:B,NC導入施設!E:E)=0,_xlfn.IFS(H1383&lt;=5,0,H1383&lt;=10,1,H1383&lt;=15,2,H1383&gt;=16,3),"Null"),"-")</f>
        <v>2</v>
      </c>
      <c r="K1383" s="61"/>
      <c r="L1383" s="1">
        <v>4317341200</v>
      </c>
    </row>
    <row r="1384" spans="1:12" ht="18" customHeight="1" x14ac:dyDescent="0.45">
      <c r="A1384" s="8">
        <v>1378</v>
      </c>
      <c r="B1384" s="35" t="str">
        <f t="shared" si="572"/>
        <v>西日本第二本部</v>
      </c>
      <c r="C1384" s="35" t="str">
        <f t="shared" si="572"/>
        <v>そんぽの家　東岡山</v>
      </c>
      <c r="D1384" s="9" t="s">
        <v>5</v>
      </c>
      <c r="E1384" s="10">
        <v>1</v>
      </c>
      <c r="F1384" s="12">
        <v>3</v>
      </c>
      <c r="G1384" s="12">
        <v>3</v>
      </c>
      <c r="H1384" s="10">
        <f t="shared" si="558"/>
        <v>3</v>
      </c>
      <c r="I1384" s="38"/>
      <c r="J1384" s="19" cm="1">
        <f t="array" ref="J1384">IFERROR(IF(_xlfn.XLOOKUP(L1384,NC導入施設!B:B,NC導入施設!E:E)=0,_xlfn.IFS(H1384&lt;=5,0,H1384&lt;=10,1,H1384&lt;=15,2,H1384&gt;=16,3),"Null"),"-")</f>
        <v>0</v>
      </c>
      <c r="K1384" s="61"/>
      <c r="L1384" s="1">
        <v>4317341200</v>
      </c>
    </row>
    <row r="1385" spans="1:12" ht="18" customHeight="1" x14ac:dyDescent="0.45">
      <c r="A1385" s="8">
        <v>1379</v>
      </c>
      <c r="B1385" s="35" t="str">
        <f t="shared" si="572"/>
        <v>西日本第二本部</v>
      </c>
      <c r="C1385" s="35" t="str">
        <f t="shared" si="572"/>
        <v>そんぽの家　東岡山</v>
      </c>
      <c r="D1385" s="9" t="s">
        <v>6</v>
      </c>
      <c r="E1385" s="10">
        <v>4</v>
      </c>
      <c r="F1385" s="12">
        <v>5</v>
      </c>
      <c r="G1385" s="12">
        <v>1.3</v>
      </c>
      <c r="H1385" s="10">
        <f t="shared" si="558"/>
        <v>5</v>
      </c>
      <c r="I1385" s="38"/>
      <c r="J1385" s="19" cm="1">
        <f t="array" ref="J1385">IFERROR(IF(_xlfn.XLOOKUP(L1385,NC導入施設!B:B,NC導入施設!E:E)=0,_xlfn.IFS(H1385&lt;=5,0,H1385&lt;=10,1,H1385&lt;=15,2,H1385&gt;=16,3),"Null"),"-")</f>
        <v>0</v>
      </c>
      <c r="K1385" s="61"/>
      <c r="L1385" s="1">
        <v>4317341200</v>
      </c>
    </row>
    <row r="1386" spans="1:12" ht="18" customHeight="1" x14ac:dyDescent="0.45">
      <c r="A1386" s="8">
        <v>1380</v>
      </c>
      <c r="B1386" s="36" t="str">
        <f t="shared" si="572"/>
        <v>西日本第二本部</v>
      </c>
      <c r="C1386" s="36" t="str">
        <f t="shared" si="572"/>
        <v>そんぽの家　東岡山</v>
      </c>
      <c r="D1386" s="9" t="s">
        <v>2</v>
      </c>
      <c r="E1386" s="10">
        <v>1</v>
      </c>
      <c r="F1386" s="12">
        <v>7</v>
      </c>
      <c r="G1386" s="12">
        <v>7</v>
      </c>
      <c r="H1386" s="10">
        <f t="shared" si="558"/>
        <v>7</v>
      </c>
      <c r="I1386" s="39"/>
      <c r="J1386" s="19" cm="1">
        <f t="array" ref="J1386">IFERROR(IF(_xlfn.XLOOKUP(L1386,NC導入施設!B:B,NC導入施設!E:E)=0,_xlfn.IFS(H1386&lt;=5,0,H1386&lt;=10,1,H1386&lt;=15,2,H1386&gt;=16,3),"Null"),"-")</f>
        <v>1</v>
      </c>
      <c r="K1386" s="62"/>
      <c r="L1386" s="1">
        <v>4317341200</v>
      </c>
    </row>
    <row r="1387" spans="1:12" ht="18" customHeight="1" x14ac:dyDescent="0.45">
      <c r="A1387" s="13">
        <v>1381</v>
      </c>
      <c r="B1387" s="40" t="s">
        <v>149</v>
      </c>
      <c r="C1387" s="40" t="s">
        <v>159</v>
      </c>
      <c r="D1387" s="14" t="s">
        <v>3</v>
      </c>
      <c r="E1387" s="15">
        <v>1</v>
      </c>
      <c r="F1387" s="17">
        <v>20</v>
      </c>
      <c r="G1387" s="17">
        <v>20</v>
      </c>
      <c r="H1387" s="15">
        <f t="shared" si="558"/>
        <v>20</v>
      </c>
      <c r="I1387" s="43" cm="1">
        <f t="array" ref="I1387">IF(J1387="-","-",_xlfn.IFS(K1387&lt;=5,0,K1387&lt;=10,1,K1387&lt;=15,2,K1387&gt;=16,3))</f>
        <v>3</v>
      </c>
      <c r="J1387" s="19" cm="1">
        <f t="array" ref="J1387">IFERROR(IF(_xlfn.XLOOKUP(L1387,NC導入施設!B:B,NC導入施設!E:E)=0,_xlfn.IFS(H1387&lt;=5,0,H1387&lt;=10,1,H1387&lt;=15,2,H1387&gt;=16,3),"Null"),"-")</f>
        <v>3</v>
      </c>
      <c r="K1387" s="60">
        <f t="shared" ref="K1387" si="573">IFERROR(SUM(H1387:H1391),"-")</f>
        <v>48</v>
      </c>
      <c r="L1387" s="1">
        <v>4317362100</v>
      </c>
    </row>
    <row r="1388" spans="1:12" ht="18" customHeight="1" x14ac:dyDescent="0.45">
      <c r="A1388" s="13">
        <v>1382</v>
      </c>
      <c r="B1388" s="41" t="str">
        <f t="shared" ref="B1388:C1391" si="574">B1387</f>
        <v>西日本第二本部</v>
      </c>
      <c r="C1388" s="41" t="str">
        <f t="shared" si="574"/>
        <v>そんぽの家　岡山平井</v>
      </c>
      <c r="D1388" s="14" t="s">
        <v>4</v>
      </c>
      <c r="E1388" s="15">
        <v>0</v>
      </c>
      <c r="F1388" s="17">
        <v>0</v>
      </c>
      <c r="G1388" s="17">
        <v>0</v>
      </c>
      <c r="H1388" s="15">
        <f t="shared" si="558"/>
        <v>0</v>
      </c>
      <c r="I1388" s="44"/>
      <c r="J1388" s="19" cm="1">
        <f t="array" ref="J1388">IFERROR(IF(_xlfn.XLOOKUP(L1388,NC導入施設!B:B,NC導入施設!E:E)=0,_xlfn.IFS(H1388&lt;=5,0,H1388&lt;=10,1,H1388&lt;=15,2,H1388&gt;=16,3),"Null"),"-")</f>
        <v>0</v>
      </c>
      <c r="K1388" s="61"/>
      <c r="L1388" s="1">
        <v>4317362100</v>
      </c>
    </row>
    <row r="1389" spans="1:12" ht="18" customHeight="1" x14ac:dyDescent="0.45">
      <c r="A1389" s="13">
        <v>1383</v>
      </c>
      <c r="B1389" s="41" t="str">
        <f t="shared" si="574"/>
        <v>西日本第二本部</v>
      </c>
      <c r="C1389" s="41" t="str">
        <f t="shared" si="574"/>
        <v>そんぽの家　岡山平井</v>
      </c>
      <c r="D1389" s="14" t="s">
        <v>5</v>
      </c>
      <c r="E1389" s="15">
        <v>1</v>
      </c>
      <c r="F1389" s="17">
        <v>0</v>
      </c>
      <c r="G1389" s="17">
        <v>0</v>
      </c>
      <c r="H1389" s="15">
        <f t="shared" si="558"/>
        <v>0</v>
      </c>
      <c r="I1389" s="44"/>
      <c r="J1389" s="19" cm="1">
        <f t="array" ref="J1389">IFERROR(IF(_xlfn.XLOOKUP(L1389,NC導入施設!B:B,NC導入施設!E:E)=0,_xlfn.IFS(H1389&lt;=5,0,H1389&lt;=10,1,H1389&lt;=15,2,H1389&gt;=16,3),"Null"),"-")</f>
        <v>0</v>
      </c>
      <c r="K1389" s="61"/>
      <c r="L1389" s="1">
        <v>4317362100</v>
      </c>
    </row>
    <row r="1390" spans="1:12" ht="18" customHeight="1" x14ac:dyDescent="0.45">
      <c r="A1390" s="13">
        <v>1384</v>
      </c>
      <c r="B1390" s="41" t="str">
        <f t="shared" si="574"/>
        <v>西日本第二本部</v>
      </c>
      <c r="C1390" s="41" t="str">
        <f t="shared" si="574"/>
        <v>そんぽの家　岡山平井</v>
      </c>
      <c r="D1390" s="14" t="s">
        <v>6</v>
      </c>
      <c r="E1390" s="15">
        <v>3</v>
      </c>
      <c r="F1390" s="17">
        <v>15</v>
      </c>
      <c r="G1390" s="17">
        <v>5</v>
      </c>
      <c r="H1390" s="15">
        <f t="shared" si="558"/>
        <v>15</v>
      </c>
      <c r="I1390" s="44"/>
      <c r="J1390" s="19" cm="1">
        <f t="array" ref="J1390">IFERROR(IF(_xlfn.XLOOKUP(L1390,NC導入施設!B:B,NC導入施設!E:E)=0,_xlfn.IFS(H1390&lt;=5,0,H1390&lt;=10,1,H1390&lt;=15,2,H1390&gt;=16,3),"Null"),"-")</f>
        <v>2</v>
      </c>
      <c r="K1390" s="61"/>
      <c r="L1390" s="1">
        <v>4317362100</v>
      </c>
    </row>
    <row r="1391" spans="1:12" ht="18" customHeight="1" x14ac:dyDescent="0.45">
      <c r="A1391" s="13">
        <v>1385</v>
      </c>
      <c r="B1391" s="42" t="str">
        <f t="shared" si="574"/>
        <v>西日本第二本部</v>
      </c>
      <c r="C1391" s="42" t="str">
        <f t="shared" si="574"/>
        <v>そんぽの家　岡山平井</v>
      </c>
      <c r="D1391" s="14" t="s">
        <v>2</v>
      </c>
      <c r="E1391" s="15">
        <v>1</v>
      </c>
      <c r="F1391" s="17">
        <v>13</v>
      </c>
      <c r="G1391" s="17">
        <v>13</v>
      </c>
      <c r="H1391" s="15">
        <f t="shared" si="558"/>
        <v>13</v>
      </c>
      <c r="I1391" s="45"/>
      <c r="J1391" s="19" cm="1">
        <f t="array" ref="J1391">IFERROR(IF(_xlfn.XLOOKUP(L1391,NC導入施設!B:B,NC導入施設!E:E)=0,_xlfn.IFS(H1391&lt;=5,0,H1391&lt;=10,1,H1391&lt;=15,2,H1391&gt;=16,3),"Null"),"-")</f>
        <v>2</v>
      </c>
      <c r="K1391" s="62"/>
      <c r="L1391" s="1">
        <v>4317362100</v>
      </c>
    </row>
    <row r="1392" spans="1:12" ht="18" customHeight="1" x14ac:dyDescent="0.45">
      <c r="A1392" s="8">
        <v>1386</v>
      </c>
      <c r="B1392" s="34" t="s">
        <v>149</v>
      </c>
      <c r="C1392" s="34" t="s">
        <v>160</v>
      </c>
      <c r="D1392" s="9" t="s">
        <v>3</v>
      </c>
      <c r="E1392" s="10">
        <v>1</v>
      </c>
      <c r="F1392" s="12">
        <v>12</v>
      </c>
      <c r="G1392" s="12">
        <v>12</v>
      </c>
      <c r="H1392" s="10">
        <f t="shared" si="558"/>
        <v>12</v>
      </c>
      <c r="I1392" s="37" cm="1">
        <f t="array" ref="I1392">IF(J1392="-","-",_xlfn.IFS(K1392&lt;=5,0,K1392&lt;=10,1,K1392&lt;=15,2,K1392&gt;=16,3))</f>
        <v>3</v>
      </c>
      <c r="J1392" s="19" cm="1">
        <f t="array" ref="J1392">IFERROR(IF(_xlfn.XLOOKUP(L1392,NC導入施設!B:B,NC導入施設!E:E)=0,_xlfn.IFS(H1392&lt;=5,0,H1392&lt;=10,1,H1392&lt;=15,2,H1392&gt;=16,3),"Null"),"-")</f>
        <v>2</v>
      </c>
      <c r="K1392" s="60">
        <f t="shared" ref="K1392" si="575">IFERROR(SUM(H1392:H1396),"-")</f>
        <v>34</v>
      </c>
      <c r="L1392" s="1">
        <v>4317381200</v>
      </c>
    </row>
    <row r="1393" spans="1:12" ht="18" customHeight="1" x14ac:dyDescent="0.45">
      <c r="A1393" s="8">
        <v>1387</v>
      </c>
      <c r="B1393" s="35" t="str">
        <f t="shared" ref="B1393:C1396" si="576">B1392</f>
        <v>西日本第二本部</v>
      </c>
      <c r="C1393" s="35" t="str">
        <f t="shared" si="576"/>
        <v>そんぽの家　岡山平田</v>
      </c>
      <c r="D1393" s="9" t="s">
        <v>4</v>
      </c>
      <c r="E1393" s="10">
        <v>1</v>
      </c>
      <c r="F1393" s="12">
        <v>15</v>
      </c>
      <c r="G1393" s="12">
        <v>15</v>
      </c>
      <c r="H1393" s="10">
        <f t="shared" si="558"/>
        <v>15</v>
      </c>
      <c r="I1393" s="38"/>
      <c r="J1393" s="19" cm="1">
        <f t="array" ref="J1393">IFERROR(IF(_xlfn.XLOOKUP(L1393,NC導入施設!B:B,NC導入施設!E:E)=0,_xlfn.IFS(H1393&lt;=5,0,H1393&lt;=10,1,H1393&lt;=15,2,H1393&gt;=16,3),"Null"),"-")</f>
        <v>2</v>
      </c>
      <c r="K1393" s="61"/>
      <c r="L1393" s="1">
        <v>4317381200</v>
      </c>
    </row>
    <row r="1394" spans="1:12" ht="18" customHeight="1" x14ac:dyDescent="0.45">
      <c r="A1394" s="8">
        <v>1388</v>
      </c>
      <c r="B1394" s="35" t="str">
        <f t="shared" si="576"/>
        <v>西日本第二本部</v>
      </c>
      <c r="C1394" s="35" t="str">
        <f t="shared" si="576"/>
        <v>そんぽの家　岡山平田</v>
      </c>
      <c r="D1394" s="9" t="s">
        <v>5</v>
      </c>
      <c r="E1394" s="10">
        <v>1</v>
      </c>
      <c r="F1394" s="12">
        <v>1</v>
      </c>
      <c r="G1394" s="12">
        <v>1</v>
      </c>
      <c r="H1394" s="10">
        <f t="shared" si="558"/>
        <v>1</v>
      </c>
      <c r="I1394" s="38"/>
      <c r="J1394" s="19" cm="1">
        <f t="array" ref="J1394">IFERROR(IF(_xlfn.XLOOKUP(L1394,NC導入施設!B:B,NC導入施設!E:E)=0,_xlfn.IFS(H1394&lt;=5,0,H1394&lt;=10,1,H1394&lt;=15,2,H1394&gt;=16,3),"Null"),"-")</f>
        <v>0</v>
      </c>
      <c r="K1394" s="61"/>
      <c r="L1394" s="1">
        <v>4317381200</v>
      </c>
    </row>
    <row r="1395" spans="1:12" ht="18" customHeight="1" x14ac:dyDescent="0.45">
      <c r="A1395" s="8">
        <v>1389</v>
      </c>
      <c r="B1395" s="35" t="str">
        <f t="shared" si="576"/>
        <v>西日本第二本部</v>
      </c>
      <c r="C1395" s="35" t="str">
        <f t="shared" si="576"/>
        <v>そんぽの家　岡山平田</v>
      </c>
      <c r="D1395" s="9" t="s">
        <v>6</v>
      </c>
      <c r="E1395" s="10">
        <v>3</v>
      </c>
      <c r="F1395" s="12">
        <v>5</v>
      </c>
      <c r="G1395" s="12">
        <v>1.7</v>
      </c>
      <c r="H1395" s="10">
        <f t="shared" si="558"/>
        <v>5</v>
      </c>
      <c r="I1395" s="38"/>
      <c r="J1395" s="19" cm="1">
        <f t="array" ref="J1395">IFERROR(IF(_xlfn.XLOOKUP(L1395,NC導入施設!B:B,NC導入施設!E:E)=0,_xlfn.IFS(H1395&lt;=5,0,H1395&lt;=10,1,H1395&lt;=15,2,H1395&gt;=16,3),"Null"),"-")</f>
        <v>0</v>
      </c>
      <c r="K1395" s="61"/>
      <c r="L1395" s="1">
        <v>4317381200</v>
      </c>
    </row>
    <row r="1396" spans="1:12" ht="18" customHeight="1" x14ac:dyDescent="0.45">
      <c r="A1396" s="8">
        <v>1390</v>
      </c>
      <c r="B1396" s="36" t="str">
        <f t="shared" si="576"/>
        <v>西日本第二本部</v>
      </c>
      <c r="C1396" s="36" t="str">
        <f t="shared" si="576"/>
        <v>そんぽの家　岡山平田</v>
      </c>
      <c r="D1396" s="9" t="s">
        <v>2</v>
      </c>
      <c r="E1396" s="10">
        <v>1</v>
      </c>
      <c r="F1396" s="12">
        <v>1</v>
      </c>
      <c r="G1396" s="12">
        <v>1</v>
      </c>
      <c r="H1396" s="10">
        <f t="shared" si="558"/>
        <v>1</v>
      </c>
      <c r="I1396" s="39"/>
      <c r="J1396" s="19" cm="1">
        <f t="array" ref="J1396">IFERROR(IF(_xlfn.XLOOKUP(L1396,NC導入施設!B:B,NC導入施設!E:E)=0,_xlfn.IFS(H1396&lt;=5,0,H1396&lt;=10,1,H1396&lt;=15,2,H1396&gt;=16,3),"Null"),"-")</f>
        <v>0</v>
      </c>
      <c r="K1396" s="62"/>
      <c r="L1396" s="1">
        <v>4317381200</v>
      </c>
    </row>
    <row r="1397" spans="1:12" ht="18" customHeight="1" x14ac:dyDescent="0.45">
      <c r="A1397" s="13">
        <v>1391</v>
      </c>
      <c r="B1397" s="40" t="s">
        <v>149</v>
      </c>
      <c r="C1397" s="40" t="s">
        <v>161</v>
      </c>
      <c r="D1397" s="14" t="s">
        <v>3</v>
      </c>
      <c r="E1397" s="15">
        <v>1</v>
      </c>
      <c r="F1397" s="17">
        <v>12</v>
      </c>
      <c r="G1397" s="17">
        <v>12</v>
      </c>
      <c r="H1397" s="15">
        <f t="shared" si="558"/>
        <v>12</v>
      </c>
      <c r="I1397" s="43" cm="1">
        <f t="array" ref="I1397">IF(J1397="-","-",_xlfn.IFS(K1397&lt;=5,0,K1397&lt;=10,1,K1397&lt;=15,2,K1397&gt;=16,3))</f>
        <v>3</v>
      </c>
      <c r="J1397" s="19" cm="1">
        <f t="array" ref="J1397">IFERROR(IF(_xlfn.XLOOKUP(L1397,NC導入施設!B:B,NC導入施設!E:E)=0,_xlfn.IFS(H1397&lt;=5,0,H1397&lt;=10,1,H1397&lt;=15,2,H1397&gt;=16,3),"Null"),"-")</f>
        <v>2</v>
      </c>
      <c r="K1397" s="60">
        <f t="shared" ref="K1397" si="577">IFERROR(SUM(H1397:H1401),"-")</f>
        <v>44</v>
      </c>
      <c r="L1397" s="1">
        <v>4317391200</v>
      </c>
    </row>
    <row r="1398" spans="1:12" ht="18" customHeight="1" x14ac:dyDescent="0.45">
      <c r="A1398" s="13">
        <v>1392</v>
      </c>
      <c r="B1398" s="41" t="str">
        <f t="shared" ref="B1398:C1401" si="578">B1397</f>
        <v>西日本第二本部</v>
      </c>
      <c r="C1398" s="41" t="str">
        <f t="shared" si="578"/>
        <v>そんぽの家　西岡山</v>
      </c>
      <c r="D1398" s="14" t="s">
        <v>4</v>
      </c>
      <c r="E1398" s="15">
        <v>1</v>
      </c>
      <c r="F1398" s="17">
        <v>15</v>
      </c>
      <c r="G1398" s="17">
        <v>15</v>
      </c>
      <c r="H1398" s="15">
        <f t="shared" si="558"/>
        <v>15</v>
      </c>
      <c r="I1398" s="44"/>
      <c r="J1398" s="19" cm="1">
        <f t="array" ref="J1398">IFERROR(IF(_xlfn.XLOOKUP(L1398,NC導入施設!B:B,NC導入施設!E:E)=0,_xlfn.IFS(H1398&lt;=5,0,H1398&lt;=10,1,H1398&lt;=15,2,H1398&gt;=16,3),"Null"),"-")</f>
        <v>2</v>
      </c>
      <c r="K1398" s="61"/>
      <c r="L1398" s="1">
        <v>4317391200</v>
      </c>
    </row>
    <row r="1399" spans="1:12" ht="18" customHeight="1" x14ac:dyDescent="0.45">
      <c r="A1399" s="13">
        <v>1393</v>
      </c>
      <c r="B1399" s="41" t="str">
        <f t="shared" si="578"/>
        <v>西日本第二本部</v>
      </c>
      <c r="C1399" s="41" t="str">
        <f t="shared" si="578"/>
        <v>そんぽの家　西岡山</v>
      </c>
      <c r="D1399" s="14" t="s">
        <v>5</v>
      </c>
      <c r="E1399" s="15">
        <v>1</v>
      </c>
      <c r="F1399" s="17">
        <v>12</v>
      </c>
      <c r="G1399" s="17">
        <v>12</v>
      </c>
      <c r="H1399" s="15">
        <f t="shared" si="558"/>
        <v>12</v>
      </c>
      <c r="I1399" s="44"/>
      <c r="J1399" s="19" cm="1">
        <f t="array" ref="J1399">IFERROR(IF(_xlfn.XLOOKUP(L1399,NC導入施設!B:B,NC導入施設!E:E)=0,_xlfn.IFS(H1399&lt;=5,0,H1399&lt;=10,1,H1399&lt;=15,2,H1399&gt;=16,3),"Null"),"-")</f>
        <v>2</v>
      </c>
      <c r="K1399" s="61"/>
      <c r="L1399" s="1">
        <v>4317391200</v>
      </c>
    </row>
    <row r="1400" spans="1:12" ht="18" customHeight="1" x14ac:dyDescent="0.45">
      <c r="A1400" s="13">
        <v>1394</v>
      </c>
      <c r="B1400" s="41" t="str">
        <f t="shared" si="578"/>
        <v>西日本第二本部</v>
      </c>
      <c r="C1400" s="41" t="str">
        <f t="shared" si="578"/>
        <v>そんぽの家　西岡山</v>
      </c>
      <c r="D1400" s="14" t="s">
        <v>6</v>
      </c>
      <c r="E1400" s="15">
        <v>2</v>
      </c>
      <c r="F1400" s="17">
        <v>4</v>
      </c>
      <c r="G1400" s="17">
        <v>2</v>
      </c>
      <c r="H1400" s="15">
        <f t="shared" si="558"/>
        <v>4</v>
      </c>
      <c r="I1400" s="44"/>
      <c r="J1400" s="19" cm="1">
        <f t="array" ref="J1400">IFERROR(IF(_xlfn.XLOOKUP(L1400,NC導入施設!B:B,NC導入施設!E:E)=0,_xlfn.IFS(H1400&lt;=5,0,H1400&lt;=10,1,H1400&lt;=15,2,H1400&gt;=16,3),"Null"),"-")</f>
        <v>0</v>
      </c>
      <c r="K1400" s="61"/>
      <c r="L1400" s="1">
        <v>4317391200</v>
      </c>
    </row>
    <row r="1401" spans="1:12" ht="18" customHeight="1" x14ac:dyDescent="0.45">
      <c r="A1401" s="13">
        <v>1395</v>
      </c>
      <c r="B1401" s="42" t="str">
        <f t="shared" si="578"/>
        <v>西日本第二本部</v>
      </c>
      <c r="C1401" s="42" t="str">
        <f t="shared" si="578"/>
        <v>そんぽの家　西岡山</v>
      </c>
      <c r="D1401" s="14" t="s">
        <v>2</v>
      </c>
      <c r="E1401" s="15">
        <v>1</v>
      </c>
      <c r="F1401" s="17">
        <v>1</v>
      </c>
      <c r="G1401" s="17">
        <v>1</v>
      </c>
      <c r="H1401" s="15">
        <f t="shared" si="558"/>
        <v>1</v>
      </c>
      <c r="I1401" s="45"/>
      <c r="J1401" s="19" cm="1">
        <f t="array" ref="J1401">IFERROR(IF(_xlfn.XLOOKUP(L1401,NC導入施設!B:B,NC導入施設!E:E)=0,_xlfn.IFS(H1401&lt;=5,0,H1401&lt;=10,1,H1401&lt;=15,2,H1401&gt;=16,3),"Null"),"-")</f>
        <v>0</v>
      </c>
      <c r="K1401" s="62"/>
      <c r="L1401" s="1">
        <v>4317391200</v>
      </c>
    </row>
    <row r="1402" spans="1:12" ht="18" customHeight="1" x14ac:dyDescent="0.45">
      <c r="A1402" s="8">
        <v>1396</v>
      </c>
      <c r="B1402" s="34" t="s">
        <v>149</v>
      </c>
      <c r="C1402" s="34" t="s">
        <v>162</v>
      </c>
      <c r="D1402" s="9" t="s">
        <v>3</v>
      </c>
      <c r="E1402" s="10">
        <v>1</v>
      </c>
      <c r="F1402" s="12">
        <v>19</v>
      </c>
      <c r="G1402" s="12">
        <v>19</v>
      </c>
      <c r="H1402" s="10">
        <f t="shared" si="558"/>
        <v>19</v>
      </c>
      <c r="I1402" s="37" cm="1">
        <f t="array" ref="I1402">IF(J1402="-","-",_xlfn.IFS(K1402&lt;=5,0,K1402&lt;=10,1,K1402&lt;=15,2,K1402&gt;=16,3))</f>
        <v>3</v>
      </c>
      <c r="J1402" s="19" cm="1">
        <f t="array" ref="J1402">IFERROR(IF(_xlfn.XLOOKUP(L1402,NC導入施設!B:B,NC導入施設!E:E)=0,_xlfn.IFS(H1402&lt;=5,0,H1402&lt;=10,1,H1402&lt;=15,2,H1402&gt;=16,3),"Null"),"-")</f>
        <v>3</v>
      </c>
      <c r="K1402" s="60">
        <f t="shared" ref="K1402" si="579">IFERROR(SUM(H1402:H1406),"-")</f>
        <v>53</v>
      </c>
      <c r="L1402" s="1">
        <v>4317401200</v>
      </c>
    </row>
    <row r="1403" spans="1:12" ht="18" customHeight="1" x14ac:dyDescent="0.45">
      <c r="A1403" s="8">
        <v>1397</v>
      </c>
      <c r="B1403" s="35" t="str">
        <f t="shared" ref="B1403:C1406" si="580">B1402</f>
        <v>西日本第二本部</v>
      </c>
      <c r="C1403" s="35" t="str">
        <f t="shared" si="580"/>
        <v>そんぽの家　下中野</v>
      </c>
      <c r="D1403" s="9" t="s">
        <v>4</v>
      </c>
      <c r="E1403" s="10">
        <v>1</v>
      </c>
      <c r="F1403" s="12">
        <v>16</v>
      </c>
      <c r="G1403" s="12">
        <v>16</v>
      </c>
      <c r="H1403" s="10">
        <f t="shared" si="558"/>
        <v>16</v>
      </c>
      <c r="I1403" s="38"/>
      <c r="J1403" s="19" cm="1">
        <f t="array" ref="J1403">IFERROR(IF(_xlfn.XLOOKUP(L1403,NC導入施設!B:B,NC導入施設!E:E)=0,_xlfn.IFS(H1403&lt;=5,0,H1403&lt;=10,1,H1403&lt;=15,2,H1403&gt;=16,3),"Null"),"-")</f>
        <v>3</v>
      </c>
      <c r="K1403" s="61"/>
      <c r="L1403" s="1">
        <v>4317401200</v>
      </c>
    </row>
    <row r="1404" spans="1:12" ht="18" customHeight="1" x14ac:dyDescent="0.45">
      <c r="A1404" s="8">
        <v>1398</v>
      </c>
      <c r="B1404" s="35" t="str">
        <f t="shared" si="580"/>
        <v>西日本第二本部</v>
      </c>
      <c r="C1404" s="35" t="str">
        <f t="shared" si="580"/>
        <v>そんぽの家　下中野</v>
      </c>
      <c r="D1404" s="9" t="s">
        <v>5</v>
      </c>
      <c r="E1404" s="10">
        <v>1</v>
      </c>
      <c r="F1404" s="12">
        <v>5</v>
      </c>
      <c r="G1404" s="12">
        <v>5</v>
      </c>
      <c r="H1404" s="10">
        <f t="shared" si="558"/>
        <v>5</v>
      </c>
      <c r="I1404" s="38"/>
      <c r="J1404" s="19" cm="1">
        <f t="array" ref="J1404">IFERROR(IF(_xlfn.XLOOKUP(L1404,NC導入施設!B:B,NC導入施設!E:E)=0,_xlfn.IFS(H1404&lt;=5,0,H1404&lt;=10,1,H1404&lt;=15,2,H1404&gt;=16,3),"Null"),"-")</f>
        <v>0</v>
      </c>
      <c r="K1404" s="61"/>
      <c r="L1404" s="1">
        <v>4317401200</v>
      </c>
    </row>
    <row r="1405" spans="1:12" ht="18" customHeight="1" x14ac:dyDescent="0.45">
      <c r="A1405" s="8">
        <v>1399</v>
      </c>
      <c r="B1405" s="35" t="str">
        <f t="shared" si="580"/>
        <v>西日本第二本部</v>
      </c>
      <c r="C1405" s="35" t="str">
        <f t="shared" si="580"/>
        <v>そんぽの家　下中野</v>
      </c>
      <c r="D1405" s="9" t="s">
        <v>6</v>
      </c>
      <c r="E1405" s="10">
        <v>3</v>
      </c>
      <c r="F1405" s="12">
        <v>5</v>
      </c>
      <c r="G1405" s="12">
        <v>1.7</v>
      </c>
      <c r="H1405" s="10">
        <f t="shared" si="558"/>
        <v>5</v>
      </c>
      <c r="I1405" s="38"/>
      <c r="J1405" s="19" cm="1">
        <f t="array" ref="J1405">IFERROR(IF(_xlfn.XLOOKUP(L1405,NC導入施設!B:B,NC導入施設!E:E)=0,_xlfn.IFS(H1405&lt;=5,0,H1405&lt;=10,1,H1405&lt;=15,2,H1405&gt;=16,3),"Null"),"-")</f>
        <v>0</v>
      </c>
      <c r="K1405" s="61"/>
      <c r="L1405" s="1">
        <v>4317401200</v>
      </c>
    </row>
    <row r="1406" spans="1:12" ht="18" customHeight="1" x14ac:dyDescent="0.45">
      <c r="A1406" s="8">
        <v>1400</v>
      </c>
      <c r="B1406" s="36" t="str">
        <f t="shared" si="580"/>
        <v>西日本第二本部</v>
      </c>
      <c r="C1406" s="36" t="str">
        <f t="shared" si="580"/>
        <v>そんぽの家　下中野</v>
      </c>
      <c r="D1406" s="9" t="s">
        <v>2</v>
      </c>
      <c r="E1406" s="10">
        <v>1</v>
      </c>
      <c r="F1406" s="12">
        <v>8</v>
      </c>
      <c r="G1406" s="12">
        <v>8</v>
      </c>
      <c r="H1406" s="10">
        <f t="shared" si="558"/>
        <v>8</v>
      </c>
      <c r="I1406" s="39"/>
      <c r="J1406" s="19" cm="1">
        <f t="array" ref="J1406">IFERROR(IF(_xlfn.XLOOKUP(L1406,NC導入施設!B:B,NC導入施設!E:E)=0,_xlfn.IFS(H1406&lt;=5,0,H1406&lt;=10,1,H1406&lt;=15,2,H1406&gt;=16,3),"Null"),"-")</f>
        <v>1</v>
      </c>
      <c r="K1406" s="62"/>
      <c r="L1406" s="1">
        <v>4317401200</v>
      </c>
    </row>
    <row r="1407" spans="1:12" ht="18" customHeight="1" x14ac:dyDescent="0.45">
      <c r="A1407" s="13">
        <v>1401</v>
      </c>
      <c r="B1407" s="40" t="s">
        <v>149</v>
      </c>
      <c r="C1407" s="40" t="s">
        <v>163</v>
      </c>
      <c r="D1407" s="14" t="s">
        <v>3</v>
      </c>
      <c r="E1407" s="15">
        <v>1</v>
      </c>
      <c r="F1407" s="17">
        <v>13</v>
      </c>
      <c r="G1407" s="17">
        <v>13</v>
      </c>
      <c r="H1407" s="15">
        <f t="shared" si="558"/>
        <v>13</v>
      </c>
      <c r="I1407" s="43" cm="1">
        <f t="array" ref="I1407">IF(J1407="-","-",_xlfn.IFS(K1407&lt;=5,0,K1407&lt;=10,1,K1407&lt;=15,2,K1407&gt;=16,3))</f>
        <v>3</v>
      </c>
      <c r="J1407" s="19" cm="1">
        <f t="array" ref="J1407">IFERROR(IF(_xlfn.XLOOKUP(L1407,NC導入施設!B:B,NC導入施設!E:E)=0,_xlfn.IFS(H1407&lt;=5,0,H1407&lt;=10,1,H1407&lt;=15,2,H1407&gt;=16,3),"Null"),"-")</f>
        <v>2</v>
      </c>
      <c r="K1407" s="60">
        <f t="shared" ref="K1407" si="581">IFERROR(SUM(H1407:H1411),"-")</f>
        <v>57</v>
      </c>
      <c r="L1407" s="1">
        <v>4317411200</v>
      </c>
    </row>
    <row r="1408" spans="1:12" ht="18" customHeight="1" x14ac:dyDescent="0.45">
      <c r="A1408" s="13">
        <v>1402</v>
      </c>
      <c r="B1408" s="41" t="str">
        <f t="shared" ref="B1408:C1411" si="582">B1407</f>
        <v>西日本第二本部</v>
      </c>
      <c r="C1408" s="41" t="str">
        <f t="shared" si="582"/>
        <v>そんぽの家　津高</v>
      </c>
      <c r="D1408" s="14" t="s">
        <v>4</v>
      </c>
      <c r="E1408" s="15">
        <v>2</v>
      </c>
      <c r="F1408" s="17">
        <v>14</v>
      </c>
      <c r="G1408" s="17">
        <v>7</v>
      </c>
      <c r="H1408" s="15">
        <f t="shared" si="558"/>
        <v>14</v>
      </c>
      <c r="I1408" s="44"/>
      <c r="J1408" s="19" cm="1">
        <f t="array" ref="J1408">IFERROR(IF(_xlfn.XLOOKUP(L1408,NC導入施設!B:B,NC導入施設!E:E)=0,_xlfn.IFS(H1408&lt;=5,0,H1408&lt;=10,1,H1408&lt;=15,2,H1408&gt;=16,3),"Null"),"-")</f>
        <v>2</v>
      </c>
      <c r="K1408" s="61"/>
      <c r="L1408" s="1">
        <v>4317411200</v>
      </c>
    </row>
    <row r="1409" spans="1:12" ht="18" customHeight="1" x14ac:dyDescent="0.45">
      <c r="A1409" s="13">
        <v>1403</v>
      </c>
      <c r="B1409" s="41" t="str">
        <f t="shared" si="582"/>
        <v>西日本第二本部</v>
      </c>
      <c r="C1409" s="41" t="str">
        <f t="shared" si="582"/>
        <v>そんぽの家　津高</v>
      </c>
      <c r="D1409" s="14" t="s">
        <v>5</v>
      </c>
      <c r="E1409" s="15">
        <v>0</v>
      </c>
      <c r="F1409" s="17">
        <v>0</v>
      </c>
      <c r="G1409" s="17">
        <v>0</v>
      </c>
      <c r="H1409" s="15">
        <f t="shared" si="558"/>
        <v>0</v>
      </c>
      <c r="I1409" s="44"/>
      <c r="J1409" s="19" cm="1">
        <f t="array" ref="J1409">IFERROR(IF(_xlfn.XLOOKUP(L1409,NC導入施設!B:B,NC導入施設!E:E)=0,_xlfn.IFS(H1409&lt;=5,0,H1409&lt;=10,1,H1409&lt;=15,2,H1409&gt;=16,3),"Null"),"-")</f>
        <v>0</v>
      </c>
      <c r="K1409" s="61"/>
      <c r="L1409" s="1">
        <v>4317411200</v>
      </c>
    </row>
    <row r="1410" spans="1:12" ht="18" customHeight="1" x14ac:dyDescent="0.45">
      <c r="A1410" s="13">
        <v>1404</v>
      </c>
      <c r="B1410" s="41" t="str">
        <f t="shared" si="582"/>
        <v>西日本第二本部</v>
      </c>
      <c r="C1410" s="41" t="str">
        <f t="shared" si="582"/>
        <v>そんぽの家　津高</v>
      </c>
      <c r="D1410" s="14" t="s">
        <v>6</v>
      </c>
      <c r="E1410" s="15">
        <v>2</v>
      </c>
      <c r="F1410" s="17">
        <v>10</v>
      </c>
      <c r="G1410" s="17">
        <v>5</v>
      </c>
      <c r="H1410" s="15">
        <f t="shared" si="558"/>
        <v>10</v>
      </c>
      <c r="I1410" s="44"/>
      <c r="J1410" s="19" cm="1">
        <f t="array" ref="J1410">IFERROR(IF(_xlfn.XLOOKUP(L1410,NC導入施設!B:B,NC導入施設!E:E)=0,_xlfn.IFS(H1410&lt;=5,0,H1410&lt;=10,1,H1410&lt;=15,2,H1410&gt;=16,3),"Null"),"-")</f>
        <v>1</v>
      </c>
      <c r="K1410" s="61"/>
      <c r="L1410" s="1">
        <v>4317411200</v>
      </c>
    </row>
    <row r="1411" spans="1:12" ht="18" customHeight="1" x14ac:dyDescent="0.45">
      <c r="A1411" s="13">
        <v>1405</v>
      </c>
      <c r="B1411" s="42" t="str">
        <f t="shared" si="582"/>
        <v>西日本第二本部</v>
      </c>
      <c r="C1411" s="42" t="str">
        <f t="shared" si="582"/>
        <v>そんぽの家　津高</v>
      </c>
      <c r="D1411" s="14" t="s">
        <v>2</v>
      </c>
      <c r="E1411" s="15">
        <v>1</v>
      </c>
      <c r="F1411" s="17">
        <v>20</v>
      </c>
      <c r="G1411" s="17">
        <v>20</v>
      </c>
      <c r="H1411" s="15">
        <f t="shared" si="558"/>
        <v>20</v>
      </c>
      <c r="I1411" s="45"/>
      <c r="J1411" s="19" cm="1">
        <f t="array" ref="J1411">IFERROR(IF(_xlfn.XLOOKUP(L1411,NC導入施設!B:B,NC導入施設!E:E)=0,_xlfn.IFS(H1411&lt;=5,0,H1411&lt;=10,1,H1411&lt;=15,2,H1411&gt;=16,3),"Null"),"-")</f>
        <v>3</v>
      </c>
      <c r="K1411" s="62"/>
      <c r="L1411" s="1">
        <v>4317411200</v>
      </c>
    </row>
    <row r="1412" spans="1:12" ht="18" customHeight="1" x14ac:dyDescent="0.45">
      <c r="A1412" s="8">
        <v>1406</v>
      </c>
      <c r="B1412" s="34" t="s">
        <v>149</v>
      </c>
      <c r="C1412" s="34" t="s">
        <v>164</v>
      </c>
      <c r="D1412" s="9" t="s">
        <v>3</v>
      </c>
      <c r="E1412" s="10">
        <v>1</v>
      </c>
      <c r="F1412" s="12">
        <v>24</v>
      </c>
      <c r="G1412" s="12">
        <v>24</v>
      </c>
      <c r="H1412" s="10">
        <f t="shared" si="558"/>
        <v>24</v>
      </c>
      <c r="I1412" s="37" cm="1">
        <f t="array" ref="I1412">IF(J1412="-","-",_xlfn.IFS(K1412&lt;=5,0,K1412&lt;=10,1,K1412&lt;=15,2,K1412&gt;=16,3))</f>
        <v>3</v>
      </c>
      <c r="J1412" s="19" cm="1">
        <f t="array" ref="J1412">IFERROR(IF(_xlfn.XLOOKUP(L1412,NC導入施設!B:B,NC導入施設!E:E)=0,_xlfn.IFS(H1412&lt;=5,0,H1412&lt;=10,1,H1412&lt;=15,2,H1412&gt;=16,3),"Null"),"-")</f>
        <v>3</v>
      </c>
      <c r="K1412" s="60">
        <f t="shared" ref="K1412" si="583">IFERROR(SUM(H1412:H1416),"-")</f>
        <v>59</v>
      </c>
      <c r="L1412" s="1">
        <v>4317421200</v>
      </c>
    </row>
    <row r="1413" spans="1:12" ht="18" customHeight="1" x14ac:dyDescent="0.45">
      <c r="A1413" s="8">
        <v>1407</v>
      </c>
      <c r="B1413" s="35" t="str">
        <f t="shared" ref="B1413:C1416" si="584">B1412</f>
        <v>西日本第二本部</v>
      </c>
      <c r="C1413" s="35" t="str">
        <f t="shared" si="584"/>
        <v>そんぽの家　浜の茶屋</v>
      </c>
      <c r="D1413" s="9" t="s">
        <v>4</v>
      </c>
      <c r="E1413" s="10">
        <v>1</v>
      </c>
      <c r="F1413" s="12">
        <v>18</v>
      </c>
      <c r="G1413" s="12">
        <v>18</v>
      </c>
      <c r="H1413" s="10">
        <f t="shared" si="558"/>
        <v>18</v>
      </c>
      <c r="I1413" s="38"/>
      <c r="J1413" s="19" cm="1">
        <f t="array" ref="J1413">IFERROR(IF(_xlfn.XLOOKUP(L1413,NC導入施設!B:B,NC導入施設!E:E)=0,_xlfn.IFS(H1413&lt;=5,0,H1413&lt;=10,1,H1413&lt;=15,2,H1413&gt;=16,3),"Null"),"-")</f>
        <v>3</v>
      </c>
      <c r="K1413" s="61"/>
      <c r="L1413" s="1">
        <v>4317421200</v>
      </c>
    </row>
    <row r="1414" spans="1:12" ht="18" customHeight="1" x14ac:dyDescent="0.45">
      <c r="A1414" s="8">
        <v>1408</v>
      </c>
      <c r="B1414" s="35" t="str">
        <f t="shared" si="584"/>
        <v>西日本第二本部</v>
      </c>
      <c r="C1414" s="35" t="str">
        <f t="shared" si="584"/>
        <v>そんぽの家　浜の茶屋</v>
      </c>
      <c r="D1414" s="9" t="s">
        <v>5</v>
      </c>
      <c r="E1414" s="10">
        <v>1</v>
      </c>
      <c r="F1414" s="12">
        <v>2</v>
      </c>
      <c r="G1414" s="12">
        <v>2</v>
      </c>
      <c r="H1414" s="10">
        <f t="shared" si="558"/>
        <v>2</v>
      </c>
      <c r="I1414" s="38"/>
      <c r="J1414" s="19" cm="1">
        <f t="array" ref="J1414">IFERROR(IF(_xlfn.XLOOKUP(L1414,NC導入施設!B:B,NC導入施設!E:E)=0,_xlfn.IFS(H1414&lt;=5,0,H1414&lt;=10,1,H1414&lt;=15,2,H1414&gt;=16,3),"Null"),"-")</f>
        <v>0</v>
      </c>
      <c r="K1414" s="61"/>
      <c r="L1414" s="1">
        <v>4317421200</v>
      </c>
    </row>
    <row r="1415" spans="1:12" ht="18" customHeight="1" x14ac:dyDescent="0.45">
      <c r="A1415" s="8">
        <v>1409</v>
      </c>
      <c r="B1415" s="35" t="str">
        <f t="shared" si="584"/>
        <v>西日本第二本部</v>
      </c>
      <c r="C1415" s="35" t="str">
        <f t="shared" si="584"/>
        <v>そんぽの家　浜の茶屋</v>
      </c>
      <c r="D1415" s="9" t="s">
        <v>6</v>
      </c>
      <c r="E1415" s="10">
        <v>3</v>
      </c>
      <c r="F1415" s="12">
        <v>4</v>
      </c>
      <c r="G1415" s="12">
        <v>1.3</v>
      </c>
      <c r="H1415" s="10">
        <f t="shared" si="558"/>
        <v>4</v>
      </c>
      <c r="I1415" s="38"/>
      <c r="J1415" s="19" cm="1">
        <f t="array" ref="J1415">IFERROR(IF(_xlfn.XLOOKUP(L1415,NC導入施設!B:B,NC導入施設!E:E)=0,_xlfn.IFS(H1415&lt;=5,0,H1415&lt;=10,1,H1415&lt;=15,2,H1415&gt;=16,3),"Null"),"-")</f>
        <v>0</v>
      </c>
      <c r="K1415" s="61"/>
      <c r="L1415" s="1">
        <v>4317421200</v>
      </c>
    </row>
    <row r="1416" spans="1:12" ht="18" customHeight="1" x14ac:dyDescent="0.45">
      <c r="A1416" s="8">
        <v>1410</v>
      </c>
      <c r="B1416" s="36" t="str">
        <f t="shared" si="584"/>
        <v>西日本第二本部</v>
      </c>
      <c r="C1416" s="36" t="str">
        <f t="shared" si="584"/>
        <v>そんぽの家　浜の茶屋</v>
      </c>
      <c r="D1416" s="9" t="s">
        <v>2</v>
      </c>
      <c r="E1416" s="10">
        <v>1</v>
      </c>
      <c r="F1416" s="12">
        <v>11</v>
      </c>
      <c r="G1416" s="12">
        <v>11</v>
      </c>
      <c r="H1416" s="10">
        <f t="shared" ref="H1416:H1456" si="585">F1416</f>
        <v>11</v>
      </c>
      <c r="I1416" s="39"/>
      <c r="J1416" s="19" cm="1">
        <f t="array" ref="J1416">IFERROR(IF(_xlfn.XLOOKUP(L1416,NC導入施設!B:B,NC導入施設!E:E)=0,_xlfn.IFS(H1416&lt;=5,0,H1416&lt;=10,1,H1416&lt;=15,2,H1416&gt;=16,3),"Null"),"-")</f>
        <v>2</v>
      </c>
      <c r="K1416" s="62"/>
      <c r="L1416" s="1">
        <v>4317421200</v>
      </c>
    </row>
    <row r="1417" spans="1:12" ht="18" customHeight="1" x14ac:dyDescent="0.45">
      <c r="A1417" s="13">
        <v>1411</v>
      </c>
      <c r="B1417" s="40" t="s">
        <v>149</v>
      </c>
      <c r="C1417" s="40" t="s">
        <v>165</v>
      </c>
      <c r="D1417" s="14" t="s">
        <v>3</v>
      </c>
      <c r="E1417" s="15">
        <v>1</v>
      </c>
      <c r="F1417" s="17">
        <v>16</v>
      </c>
      <c r="G1417" s="17">
        <v>16</v>
      </c>
      <c r="H1417" s="15">
        <f t="shared" si="585"/>
        <v>16</v>
      </c>
      <c r="I1417" s="43" cm="1">
        <f t="array" ref="I1417">IF(J1417="-","-",_xlfn.IFS(K1417&lt;=5,0,K1417&lt;=10,1,K1417&lt;=15,2,K1417&gt;=16,3))</f>
        <v>3</v>
      </c>
      <c r="J1417" s="19" cm="1">
        <f t="array" ref="J1417">IFERROR(IF(_xlfn.XLOOKUP(L1417,NC導入施設!B:B,NC導入施設!E:E)=0,_xlfn.IFS(H1417&lt;=5,0,H1417&lt;=10,1,H1417&lt;=15,2,H1417&gt;=16,3),"Null"),"-")</f>
        <v>3</v>
      </c>
      <c r="K1417" s="60">
        <f t="shared" ref="K1417" si="586">IFERROR(SUM(H1417:H1421),"-")</f>
        <v>40</v>
      </c>
      <c r="L1417" s="1">
        <v>4317431200</v>
      </c>
    </row>
    <row r="1418" spans="1:12" ht="18" customHeight="1" x14ac:dyDescent="0.45">
      <c r="A1418" s="13">
        <v>1412</v>
      </c>
      <c r="B1418" s="41" t="str">
        <f t="shared" ref="B1418:C1421" si="587">B1417</f>
        <v>西日本第二本部</v>
      </c>
      <c r="C1418" s="41" t="str">
        <f t="shared" si="587"/>
        <v>そんぽの家　中庄</v>
      </c>
      <c r="D1418" s="14" t="s">
        <v>4</v>
      </c>
      <c r="E1418" s="15">
        <v>1</v>
      </c>
      <c r="F1418" s="17">
        <v>13</v>
      </c>
      <c r="G1418" s="17">
        <v>13</v>
      </c>
      <c r="H1418" s="15">
        <f t="shared" si="585"/>
        <v>13</v>
      </c>
      <c r="I1418" s="44"/>
      <c r="J1418" s="19" cm="1">
        <f t="array" ref="J1418">IFERROR(IF(_xlfn.XLOOKUP(L1418,NC導入施設!B:B,NC導入施設!E:E)=0,_xlfn.IFS(H1418&lt;=5,0,H1418&lt;=10,1,H1418&lt;=15,2,H1418&gt;=16,3),"Null"),"-")</f>
        <v>2</v>
      </c>
      <c r="K1418" s="61"/>
      <c r="L1418" s="1">
        <v>4317431200</v>
      </c>
    </row>
    <row r="1419" spans="1:12" ht="18" customHeight="1" x14ac:dyDescent="0.45">
      <c r="A1419" s="13">
        <v>1413</v>
      </c>
      <c r="B1419" s="41" t="str">
        <f t="shared" si="587"/>
        <v>西日本第二本部</v>
      </c>
      <c r="C1419" s="41" t="str">
        <f t="shared" si="587"/>
        <v>そんぽの家　中庄</v>
      </c>
      <c r="D1419" s="14" t="s">
        <v>5</v>
      </c>
      <c r="E1419" s="15">
        <v>2</v>
      </c>
      <c r="F1419" s="17">
        <v>4</v>
      </c>
      <c r="G1419" s="17">
        <v>2</v>
      </c>
      <c r="H1419" s="15">
        <f t="shared" si="585"/>
        <v>4</v>
      </c>
      <c r="I1419" s="44"/>
      <c r="J1419" s="19" cm="1">
        <f t="array" ref="J1419">IFERROR(IF(_xlfn.XLOOKUP(L1419,NC導入施設!B:B,NC導入施設!E:E)=0,_xlfn.IFS(H1419&lt;=5,0,H1419&lt;=10,1,H1419&lt;=15,2,H1419&gt;=16,3),"Null"),"-")</f>
        <v>0</v>
      </c>
      <c r="K1419" s="61"/>
      <c r="L1419" s="1">
        <v>4317431200</v>
      </c>
    </row>
    <row r="1420" spans="1:12" ht="18" customHeight="1" x14ac:dyDescent="0.45">
      <c r="A1420" s="13">
        <v>1414</v>
      </c>
      <c r="B1420" s="41" t="str">
        <f t="shared" si="587"/>
        <v>西日本第二本部</v>
      </c>
      <c r="C1420" s="41" t="str">
        <f t="shared" si="587"/>
        <v>そんぽの家　中庄</v>
      </c>
      <c r="D1420" s="14" t="s">
        <v>6</v>
      </c>
      <c r="E1420" s="15">
        <v>4</v>
      </c>
      <c r="F1420" s="17">
        <v>0</v>
      </c>
      <c r="G1420" s="17">
        <v>0</v>
      </c>
      <c r="H1420" s="15">
        <f t="shared" si="585"/>
        <v>0</v>
      </c>
      <c r="I1420" s="44"/>
      <c r="J1420" s="19" cm="1">
        <f t="array" ref="J1420">IFERROR(IF(_xlfn.XLOOKUP(L1420,NC導入施設!B:B,NC導入施設!E:E)=0,_xlfn.IFS(H1420&lt;=5,0,H1420&lt;=10,1,H1420&lt;=15,2,H1420&gt;=16,3),"Null"),"-")</f>
        <v>0</v>
      </c>
      <c r="K1420" s="61"/>
      <c r="L1420" s="1">
        <v>4317431200</v>
      </c>
    </row>
    <row r="1421" spans="1:12" ht="18" customHeight="1" x14ac:dyDescent="0.45">
      <c r="A1421" s="13">
        <v>1415</v>
      </c>
      <c r="B1421" s="42" t="str">
        <f t="shared" si="587"/>
        <v>西日本第二本部</v>
      </c>
      <c r="C1421" s="42" t="str">
        <f t="shared" si="587"/>
        <v>そんぽの家　中庄</v>
      </c>
      <c r="D1421" s="14" t="s">
        <v>2</v>
      </c>
      <c r="E1421" s="15">
        <v>2</v>
      </c>
      <c r="F1421" s="17">
        <v>7</v>
      </c>
      <c r="G1421" s="17">
        <v>3.5</v>
      </c>
      <c r="H1421" s="15">
        <f t="shared" si="585"/>
        <v>7</v>
      </c>
      <c r="I1421" s="45"/>
      <c r="J1421" s="19" cm="1">
        <f t="array" ref="J1421">IFERROR(IF(_xlfn.XLOOKUP(L1421,NC導入施設!B:B,NC導入施設!E:E)=0,_xlfn.IFS(H1421&lt;=5,0,H1421&lt;=10,1,H1421&lt;=15,2,H1421&gt;=16,3),"Null"),"-")</f>
        <v>1</v>
      </c>
      <c r="K1421" s="62"/>
      <c r="L1421" s="1">
        <v>4317431200</v>
      </c>
    </row>
    <row r="1422" spans="1:12" ht="18" customHeight="1" x14ac:dyDescent="0.45">
      <c r="A1422" s="8">
        <v>1416</v>
      </c>
      <c r="B1422" s="34" t="s">
        <v>149</v>
      </c>
      <c r="C1422" s="34" t="s">
        <v>166</v>
      </c>
      <c r="D1422" s="9" t="s">
        <v>3</v>
      </c>
      <c r="E1422" s="10">
        <v>1</v>
      </c>
      <c r="F1422" s="12">
        <v>5</v>
      </c>
      <c r="G1422" s="12">
        <v>5</v>
      </c>
      <c r="H1422" s="10">
        <f t="shared" si="585"/>
        <v>5</v>
      </c>
      <c r="I1422" s="37" cm="1">
        <f t="array" ref="I1422">IF(J1422="-","-",_xlfn.IFS(K1422&lt;=5,0,K1422&lt;=10,1,K1422&lt;=15,2,K1422&gt;=16,3))</f>
        <v>3</v>
      </c>
      <c r="J1422" s="19" cm="1">
        <f t="array" ref="J1422">IFERROR(IF(_xlfn.XLOOKUP(L1422,NC導入施設!B:B,NC導入施設!E:E)=0,_xlfn.IFS(H1422&lt;=5,0,H1422&lt;=10,1,H1422&lt;=15,2,H1422&gt;=16,3),"Null"),"-")</f>
        <v>0</v>
      </c>
      <c r="K1422" s="60">
        <f t="shared" ref="K1422" si="588">IFERROR(SUM(H1422:H1426),"-")</f>
        <v>30</v>
      </c>
      <c r="L1422" s="1">
        <v>4317441200</v>
      </c>
    </row>
    <row r="1423" spans="1:12" ht="18" customHeight="1" x14ac:dyDescent="0.45">
      <c r="A1423" s="8">
        <v>1417</v>
      </c>
      <c r="B1423" s="35" t="str">
        <f t="shared" ref="B1423:C1426" si="589">B1422</f>
        <v>西日本第二本部</v>
      </c>
      <c r="C1423" s="35" t="str">
        <f t="shared" si="589"/>
        <v>そんぽの家　倉敷西</v>
      </c>
      <c r="D1423" s="9" t="s">
        <v>4</v>
      </c>
      <c r="E1423" s="10">
        <v>1</v>
      </c>
      <c r="F1423" s="12">
        <v>12</v>
      </c>
      <c r="G1423" s="12">
        <v>12</v>
      </c>
      <c r="H1423" s="10">
        <f t="shared" si="585"/>
        <v>12</v>
      </c>
      <c r="I1423" s="38"/>
      <c r="J1423" s="19" cm="1">
        <f t="array" ref="J1423">IFERROR(IF(_xlfn.XLOOKUP(L1423,NC導入施設!B:B,NC導入施設!E:E)=0,_xlfn.IFS(H1423&lt;=5,0,H1423&lt;=10,1,H1423&lt;=15,2,H1423&gt;=16,3),"Null"),"-")</f>
        <v>2</v>
      </c>
      <c r="K1423" s="61"/>
      <c r="L1423" s="1">
        <v>4317441200</v>
      </c>
    </row>
    <row r="1424" spans="1:12" ht="18" customHeight="1" x14ac:dyDescent="0.45">
      <c r="A1424" s="8">
        <v>1418</v>
      </c>
      <c r="B1424" s="35" t="str">
        <f t="shared" si="589"/>
        <v>西日本第二本部</v>
      </c>
      <c r="C1424" s="35" t="str">
        <f t="shared" si="589"/>
        <v>そんぽの家　倉敷西</v>
      </c>
      <c r="D1424" s="9" t="s">
        <v>5</v>
      </c>
      <c r="E1424" s="10">
        <v>1</v>
      </c>
      <c r="F1424" s="12">
        <v>1</v>
      </c>
      <c r="G1424" s="12">
        <v>1</v>
      </c>
      <c r="H1424" s="10">
        <f t="shared" si="585"/>
        <v>1</v>
      </c>
      <c r="I1424" s="38"/>
      <c r="J1424" s="19" cm="1">
        <f t="array" ref="J1424">IFERROR(IF(_xlfn.XLOOKUP(L1424,NC導入施設!B:B,NC導入施設!E:E)=0,_xlfn.IFS(H1424&lt;=5,0,H1424&lt;=10,1,H1424&lt;=15,2,H1424&gt;=16,3),"Null"),"-")</f>
        <v>0</v>
      </c>
      <c r="K1424" s="61"/>
      <c r="L1424" s="1">
        <v>4317441200</v>
      </c>
    </row>
    <row r="1425" spans="1:12" ht="18" customHeight="1" x14ac:dyDescent="0.45">
      <c r="A1425" s="8">
        <v>1419</v>
      </c>
      <c r="B1425" s="35" t="str">
        <f t="shared" si="589"/>
        <v>西日本第二本部</v>
      </c>
      <c r="C1425" s="35" t="str">
        <f t="shared" si="589"/>
        <v>そんぽの家　倉敷西</v>
      </c>
      <c r="D1425" s="9" t="s">
        <v>6</v>
      </c>
      <c r="E1425" s="10">
        <v>3</v>
      </c>
      <c r="F1425" s="12">
        <v>3</v>
      </c>
      <c r="G1425" s="12">
        <v>1</v>
      </c>
      <c r="H1425" s="10">
        <f t="shared" si="585"/>
        <v>3</v>
      </c>
      <c r="I1425" s="38"/>
      <c r="J1425" s="19" cm="1">
        <f t="array" ref="J1425">IFERROR(IF(_xlfn.XLOOKUP(L1425,NC導入施設!B:B,NC導入施設!E:E)=0,_xlfn.IFS(H1425&lt;=5,0,H1425&lt;=10,1,H1425&lt;=15,2,H1425&gt;=16,3),"Null"),"-")</f>
        <v>0</v>
      </c>
      <c r="K1425" s="61"/>
      <c r="L1425" s="1">
        <v>4317441200</v>
      </c>
    </row>
    <row r="1426" spans="1:12" ht="18" customHeight="1" x14ac:dyDescent="0.45">
      <c r="A1426" s="8">
        <v>1420</v>
      </c>
      <c r="B1426" s="36" t="str">
        <f t="shared" si="589"/>
        <v>西日本第二本部</v>
      </c>
      <c r="C1426" s="36" t="str">
        <f t="shared" si="589"/>
        <v>そんぽの家　倉敷西</v>
      </c>
      <c r="D1426" s="9" t="s">
        <v>2</v>
      </c>
      <c r="E1426" s="10">
        <v>1</v>
      </c>
      <c r="F1426" s="12">
        <v>9</v>
      </c>
      <c r="G1426" s="12">
        <v>9</v>
      </c>
      <c r="H1426" s="10">
        <f t="shared" si="585"/>
        <v>9</v>
      </c>
      <c r="I1426" s="39"/>
      <c r="J1426" s="19" cm="1">
        <f t="array" ref="J1426">IFERROR(IF(_xlfn.XLOOKUP(L1426,NC導入施設!B:B,NC導入施設!E:E)=0,_xlfn.IFS(H1426&lt;=5,0,H1426&lt;=10,1,H1426&lt;=15,2,H1426&gt;=16,3),"Null"),"-")</f>
        <v>1</v>
      </c>
      <c r="K1426" s="62"/>
      <c r="L1426" s="1">
        <v>4317441200</v>
      </c>
    </row>
    <row r="1427" spans="1:12" ht="18" customHeight="1" x14ac:dyDescent="0.45">
      <c r="A1427" s="13">
        <v>1421</v>
      </c>
      <c r="B1427" s="40" t="s">
        <v>149</v>
      </c>
      <c r="C1427" s="40" t="s">
        <v>167</v>
      </c>
      <c r="D1427" s="14" t="s">
        <v>3</v>
      </c>
      <c r="E1427" s="15">
        <v>1</v>
      </c>
      <c r="F1427" s="17">
        <v>19</v>
      </c>
      <c r="G1427" s="17">
        <v>19</v>
      </c>
      <c r="H1427" s="15">
        <f t="shared" si="585"/>
        <v>19</v>
      </c>
      <c r="I1427" s="43" cm="1">
        <f t="array" ref="I1427">IF(J1427="-","-",_xlfn.IFS(K1427&lt;=5,0,K1427&lt;=10,1,K1427&lt;=15,2,K1427&gt;=16,3))</f>
        <v>3</v>
      </c>
      <c r="J1427" s="19" cm="1">
        <f t="array" ref="J1427">IFERROR(IF(_xlfn.XLOOKUP(L1427,NC導入施設!B:B,NC導入施設!E:E)=0,_xlfn.IFS(H1427&lt;=5,0,H1427&lt;=10,1,H1427&lt;=15,2,H1427&gt;=16,3),"Null"),"-")</f>
        <v>3</v>
      </c>
      <c r="K1427" s="60">
        <f t="shared" ref="K1427" si="590">IFERROR(SUM(H1427:H1431),"-")</f>
        <v>92</v>
      </c>
      <c r="L1427" s="1">
        <v>4317451200</v>
      </c>
    </row>
    <row r="1428" spans="1:12" ht="18" customHeight="1" x14ac:dyDescent="0.45">
      <c r="A1428" s="13">
        <v>1422</v>
      </c>
      <c r="B1428" s="41" t="str">
        <f t="shared" ref="B1428:C1431" si="591">B1427</f>
        <v>西日本第二本部</v>
      </c>
      <c r="C1428" s="41" t="str">
        <f t="shared" si="591"/>
        <v>そんぽの家　倉敷</v>
      </c>
      <c r="D1428" s="14" t="s">
        <v>4</v>
      </c>
      <c r="E1428" s="15">
        <v>1</v>
      </c>
      <c r="F1428" s="17">
        <v>11</v>
      </c>
      <c r="G1428" s="17">
        <v>11</v>
      </c>
      <c r="H1428" s="15">
        <f t="shared" si="585"/>
        <v>11</v>
      </c>
      <c r="I1428" s="44"/>
      <c r="J1428" s="19" cm="1">
        <f t="array" ref="J1428">IFERROR(IF(_xlfn.XLOOKUP(L1428,NC導入施設!B:B,NC導入施設!E:E)=0,_xlfn.IFS(H1428&lt;=5,0,H1428&lt;=10,1,H1428&lt;=15,2,H1428&gt;=16,3),"Null"),"-")</f>
        <v>2</v>
      </c>
      <c r="K1428" s="61"/>
      <c r="L1428" s="1">
        <v>4317451200</v>
      </c>
    </row>
    <row r="1429" spans="1:12" ht="18" customHeight="1" x14ac:dyDescent="0.45">
      <c r="A1429" s="13">
        <v>1423</v>
      </c>
      <c r="B1429" s="41" t="str">
        <f t="shared" si="591"/>
        <v>西日本第二本部</v>
      </c>
      <c r="C1429" s="41" t="str">
        <f t="shared" si="591"/>
        <v>そんぽの家　倉敷</v>
      </c>
      <c r="D1429" s="14" t="s">
        <v>5</v>
      </c>
      <c r="E1429" s="15">
        <v>1</v>
      </c>
      <c r="F1429" s="17">
        <v>44</v>
      </c>
      <c r="G1429" s="17">
        <v>44</v>
      </c>
      <c r="H1429" s="15">
        <f t="shared" si="585"/>
        <v>44</v>
      </c>
      <c r="I1429" s="44"/>
      <c r="J1429" s="19" cm="1">
        <f t="array" ref="J1429">IFERROR(IF(_xlfn.XLOOKUP(L1429,NC導入施設!B:B,NC導入施設!E:E)=0,_xlfn.IFS(H1429&lt;=5,0,H1429&lt;=10,1,H1429&lt;=15,2,H1429&gt;=16,3),"Null"),"-")</f>
        <v>3</v>
      </c>
      <c r="K1429" s="61"/>
      <c r="L1429" s="1">
        <v>4317451200</v>
      </c>
    </row>
    <row r="1430" spans="1:12" ht="18" customHeight="1" x14ac:dyDescent="0.45">
      <c r="A1430" s="13">
        <v>1424</v>
      </c>
      <c r="B1430" s="41" t="str">
        <f t="shared" si="591"/>
        <v>西日本第二本部</v>
      </c>
      <c r="C1430" s="41" t="str">
        <f t="shared" si="591"/>
        <v>そんぽの家　倉敷</v>
      </c>
      <c r="D1430" s="14" t="s">
        <v>6</v>
      </c>
      <c r="E1430" s="15">
        <v>3</v>
      </c>
      <c r="F1430" s="17">
        <v>1</v>
      </c>
      <c r="G1430" s="17">
        <v>0.3</v>
      </c>
      <c r="H1430" s="15">
        <f t="shared" si="585"/>
        <v>1</v>
      </c>
      <c r="I1430" s="44"/>
      <c r="J1430" s="19" cm="1">
        <f t="array" ref="J1430">IFERROR(IF(_xlfn.XLOOKUP(L1430,NC導入施設!B:B,NC導入施設!E:E)=0,_xlfn.IFS(H1430&lt;=5,0,H1430&lt;=10,1,H1430&lt;=15,2,H1430&gt;=16,3),"Null"),"-")</f>
        <v>0</v>
      </c>
      <c r="K1430" s="61"/>
      <c r="L1430" s="1">
        <v>4317451200</v>
      </c>
    </row>
    <row r="1431" spans="1:12" ht="18" customHeight="1" x14ac:dyDescent="0.45">
      <c r="A1431" s="13">
        <v>1425</v>
      </c>
      <c r="B1431" s="42" t="str">
        <f t="shared" si="591"/>
        <v>西日本第二本部</v>
      </c>
      <c r="C1431" s="42" t="str">
        <f t="shared" si="591"/>
        <v>そんぽの家　倉敷</v>
      </c>
      <c r="D1431" s="14" t="s">
        <v>2</v>
      </c>
      <c r="E1431" s="15">
        <v>1</v>
      </c>
      <c r="F1431" s="17">
        <v>17</v>
      </c>
      <c r="G1431" s="17">
        <v>17</v>
      </c>
      <c r="H1431" s="15">
        <f t="shared" si="585"/>
        <v>17</v>
      </c>
      <c r="I1431" s="45"/>
      <c r="J1431" s="19" cm="1">
        <f t="array" ref="J1431">IFERROR(IF(_xlfn.XLOOKUP(L1431,NC導入施設!B:B,NC導入施設!E:E)=0,_xlfn.IFS(H1431&lt;=5,0,H1431&lt;=10,1,H1431&lt;=15,2,H1431&gt;=16,3),"Null"),"-")</f>
        <v>3</v>
      </c>
      <c r="K1431" s="62"/>
      <c r="L1431" s="1">
        <v>4317451200</v>
      </c>
    </row>
    <row r="1432" spans="1:12" ht="18" customHeight="1" x14ac:dyDescent="0.45">
      <c r="A1432" s="8">
        <v>1426</v>
      </c>
      <c r="B1432" s="34" t="s">
        <v>149</v>
      </c>
      <c r="C1432" s="34" t="s">
        <v>173</v>
      </c>
      <c r="D1432" s="9" t="s">
        <v>3</v>
      </c>
      <c r="E1432" s="10">
        <v>1</v>
      </c>
      <c r="F1432" s="12">
        <v>13</v>
      </c>
      <c r="G1432" s="12">
        <v>13</v>
      </c>
      <c r="H1432" s="10">
        <f t="shared" si="585"/>
        <v>13</v>
      </c>
      <c r="I1432" s="37" cm="1">
        <f t="array" ref="I1432">IF(J1432="-","-",_xlfn.IFS(K1432&lt;=5,0,K1432&lt;=10,1,K1432&lt;=15,2,K1432&gt;=16,3))</f>
        <v>3</v>
      </c>
      <c r="J1432" s="19" cm="1">
        <f t="array" ref="J1432">IFERROR(IF(_xlfn.XLOOKUP(L1432,NC導入施設!B:B,NC導入施設!E:E)=0,_xlfn.IFS(H1432&lt;=5,0,H1432&lt;=10,1,H1432&lt;=15,2,H1432&gt;=16,3),"Null"),"-")</f>
        <v>2</v>
      </c>
      <c r="K1432" s="60">
        <f t="shared" ref="K1432" si="592">IFERROR(SUM(H1432:H1436),"-")</f>
        <v>44</v>
      </c>
      <c r="L1432" s="1">
        <v>4417471200</v>
      </c>
    </row>
    <row r="1433" spans="1:12" ht="18" customHeight="1" x14ac:dyDescent="0.45">
      <c r="A1433" s="8">
        <v>1427</v>
      </c>
      <c r="B1433" s="35" t="str">
        <f t="shared" ref="B1433:C1436" si="593">B1432</f>
        <v>西日本第二本部</v>
      </c>
      <c r="C1433" s="35" t="str">
        <f t="shared" si="593"/>
        <v>そんぽの家　福山東</v>
      </c>
      <c r="D1433" s="9" t="s">
        <v>4</v>
      </c>
      <c r="E1433" s="10">
        <v>1</v>
      </c>
      <c r="F1433" s="12">
        <v>2</v>
      </c>
      <c r="G1433" s="12">
        <v>2</v>
      </c>
      <c r="H1433" s="10">
        <f t="shared" si="585"/>
        <v>2</v>
      </c>
      <c r="I1433" s="38"/>
      <c r="J1433" s="19" cm="1">
        <f t="array" ref="J1433">IFERROR(IF(_xlfn.XLOOKUP(L1433,NC導入施設!B:B,NC導入施設!E:E)=0,_xlfn.IFS(H1433&lt;=5,0,H1433&lt;=10,1,H1433&lt;=15,2,H1433&gt;=16,3),"Null"),"-")</f>
        <v>0</v>
      </c>
      <c r="K1433" s="61"/>
      <c r="L1433" s="1">
        <v>4417471200</v>
      </c>
    </row>
    <row r="1434" spans="1:12" ht="18" customHeight="1" x14ac:dyDescent="0.45">
      <c r="A1434" s="8">
        <v>1428</v>
      </c>
      <c r="B1434" s="35" t="str">
        <f t="shared" si="593"/>
        <v>西日本第二本部</v>
      </c>
      <c r="C1434" s="35" t="str">
        <f t="shared" si="593"/>
        <v>そんぽの家　福山東</v>
      </c>
      <c r="D1434" s="9" t="s">
        <v>5</v>
      </c>
      <c r="E1434" s="10">
        <v>2</v>
      </c>
      <c r="F1434" s="12">
        <v>23</v>
      </c>
      <c r="G1434" s="12">
        <v>11.5</v>
      </c>
      <c r="H1434" s="10">
        <f t="shared" si="585"/>
        <v>23</v>
      </c>
      <c r="I1434" s="38"/>
      <c r="J1434" s="19" cm="1">
        <f t="array" ref="J1434">IFERROR(IF(_xlfn.XLOOKUP(L1434,NC導入施設!B:B,NC導入施設!E:E)=0,_xlfn.IFS(H1434&lt;=5,0,H1434&lt;=10,1,H1434&lt;=15,2,H1434&gt;=16,3),"Null"),"-")</f>
        <v>3</v>
      </c>
      <c r="K1434" s="61"/>
      <c r="L1434" s="1">
        <v>4417471200</v>
      </c>
    </row>
    <row r="1435" spans="1:12" ht="18" customHeight="1" x14ac:dyDescent="0.45">
      <c r="A1435" s="8">
        <v>1429</v>
      </c>
      <c r="B1435" s="35" t="str">
        <f t="shared" si="593"/>
        <v>西日本第二本部</v>
      </c>
      <c r="C1435" s="35" t="str">
        <f t="shared" si="593"/>
        <v>そんぽの家　福山東</v>
      </c>
      <c r="D1435" s="9" t="s">
        <v>6</v>
      </c>
      <c r="E1435" s="10">
        <v>4</v>
      </c>
      <c r="F1435" s="12">
        <v>1</v>
      </c>
      <c r="G1435" s="12">
        <v>0.3</v>
      </c>
      <c r="H1435" s="10">
        <f t="shared" si="585"/>
        <v>1</v>
      </c>
      <c r="I1435" s="38"/>
      <c r="J1435" s="19" cm="1">
        <f t="array" ref="J1435">IFERROR(IF(_xlfn.XLOOKUP(L1435,NC導入施設!B:B,NC導入施設!E:E)=0,_xlfn.IFS(H1435&lt;=5,0,H1435&lt;=10,1,H1435&lt;=15,2,H1435&gt;=16,3),"Null"),"-")</f>
        <v>0</v>
      </c>
      <c r="K1435" s="61"/>
      <c r="L1435" s="1">
        <v>4417471200</v>
      </c>
    </row>
    <row r="1436" spans="1:12" ht="18" customHeight="1" x14ac:dyDescent="0.45">
      <c r="A1436" s="8">
        <v>1430</v>
      </c>
      <c r="B1436" s="36" t="str">
        <f t="shared" si="593"/>
        <v>西日本第二本部</v>
      </c>
      <c r="C1436" s="36" t="str">
        <f t="shared" si="593"/>
        <v>そんぽの家　福山東</v>
      </c>
      <c r="D1436" s="9" t="s">
        <v>2</v>
      </c>
      <c r="E1436" s="10">
        <v>3</v>
      </c>
      <c r="F1436" s="12">
        <v>5</v>
      </c>
      <c r="G1436" s="12">
        <v>1.7</v>
      </c>
      <c r="H1436" s="10">
        <f t="shared" si="585"/>
        <v>5</v>
      </c>
      <c r="I1436" s="39"/>
      <c r="J1436" s="19" cm="1">
        <f t="array" ref="J1436">IFERROR(IF(_xlfn.XLOOKUP(L1436,NC導入施設!B:B,NC導入施設!E:E)=0,_xlfn.IFS(H1436&lt;=5,0,H1436&lt;=10,1,H1436&lt;=15,2,H1436&gt;=16,3),"Null"),"-")</f>
        <v>0</v>
      </c>
      <c r="K1436" s="62"/>
      <c r="L1436" s="1">
        <v>4417471200</v>
      </c>
    </row>
    <row r="1437" spans="1:12" ht="18" customHeight="1" x14ac:dyDescent="0.45">
      <c r="A1437" s="13">
        <v>1431</v>
      </c>
      <c r="B1437" s="40" t="s">
        <v>149</v>
      </c>
      <c r="C1437" s="40" t="s">
        <v>320</v>
      </c>
      <c r="D1437" s="14" t="s">
        <v>3</v>
      </c>
      <c r="E1437" s="15">
        <v>1</v>
      </c>
      <c r="F1437" s="17">
        <v>16</v>
      </c>
      <c r="G1437" s="17">
        <v>16</v>
      </c>
      <c r="H1437" s="15">
        <f t="shared" si="585"/>
        <v>16</v>
      </c>
      <c r="I1437" s="43" cm="1">
        <f t="array" ref="I1437">IF(J1437="-","-",_xlfn.IFS(K1437&lt;=5,0,K1437&lt;=10,1,K1437&lt;=15,2,K1437&gt;=16,3))</f>
        <v>3</v>
      </c>
      <c r="J1437" s="29" cm="1">
        <f t="array" ref="J1437">IFERROR(IF(_xlfn.XLOOKUP(L1437,NC導入施設!B:B,NC導入施設!E:E)=0,_xlfn.IFS(H1437&lt;=5,0,H1437&lt;=10,1,H1437&lt;=15,2,H1437&gt;=16,3),"Null"),"-")</f>
        <v>3</v>
      </c>
      <c r="K1437" s="60">
        <f t="shared" ref="K1437" si="594">IFERROR(SUM(H1437:H1441),"-")</f>
        <v>42</v>
      </c>
      <c r="L1437" s="1">
        <v>4417501200</v>
      </c>
    </row>
    <row r="1438" spans="1:12" ht="18" customHeight="1" x14ac:dyDescent="0.45">
      <c r="A1438" s="13">
        <v>1432</v>
      </c>
      <c r="B1438" s="41" t="str">
        <f t="shared" ref="B1438:C1441" si="595">B1437</f>
        <v>西日本第二本部</v>
      </c>
      <c r="C1438" s="41" t="str">
        <f t="shared" si="595"/>
        <v>ラヴィーレ舟入</v>
      </c>
      <c r="D1438" s="14" t="s">
        <v>4</v>
      </c>
      <c r="E1438" s="15">
        <v>2</v>
      </c>
      <c r="F1438" s="17">
        <v>21</v>
      </c>
      <c r="G1438" s="17">
        <v>10.5</v>
      </c>
      <c r="H1438" s="15">
        <f t="shared" si="585"/>
        <v>21</v>
      </c>
      <c r="I1438" s="44"/>
      <c r="J1438" s="29" cm="1">
        <f t="array" ref="J1438">IFERROR(IF(_xlfn.XLOOKUP(L1438,NC導入施設!B:B,NC導入施設!E:E)=0,_xlfn.IFS(H1438&lt;=5,0,H1438&lt;=10,1,H1438&lt;=15,2,H1438&gt;=16,3),"Null"),"-")</f>
        <v>3</v>
      </c>
      <c r="K1438" s="61"/>
      <c r="L1438" s="1">
        <v>4417501200</v>
      </c>
    </row>
    <row r="1439" spans="1:12" ht="18" customHeight="1" x14ac:dyDescent="0.45">
      <c r="A1439" s="13">
        <v>1433</v>
      </c>
      <c r="B1439" s="41" t="str">
        <f t="shared" si="595"/>
        <v>西日本第二本部</v>
      </c>
      <c r="C1439" s="41" t="str">
        <f t="shared" si="595"/>
        <v>ラヴィーレ舟入</v>
      </c>
      <c r="D1439" s="14" t="s">
        <v>5</v>
      </c>
      <c r="E1439" s="15">
        <v>3</v>
      </c>
      <c r="F1439" s="17">
        <v>0</v>
      </c>
      <c r="G1439" s="17">
        <v>0</v>
      </c>
      <c r="H1439" s="15">
        <f t="shared" si="585"/>
        <v>0</v>
      </c>
      <c r="I1439" s="44"/>
      <c r="J1439" s="29" cm="1">
        <f t="array" ref="J1439">IFERROR(IF(_xlfn.XLOOKUP(L1439,NC導入施設!B:B,NC導入施設!E:E)=0,_xlfn.IFS(H1439&lt;=5,0,H1439&lt;=10,1,H1439&lt;=15,2,H1439&gt;=16,3),"Null"),"-")</f>
        <v>0</v>
      </c>
      <c r="K1439" s="61"/>
      <c r="L1439" s="1">
        <v>4417501200</v>
      </c>
    </row>
    <row r="1440" spans="1:12" ht="18" customHeight="1" x14ac:dyDescent="0.45">
      <c r="A1440" s="13">
        <v>1434</v>
      </c>
      <c r="B1440" s="41" t="str">
        <f t="shared" si="595"/>
        <v>西日本第二本部</v>
      </c>
      <c r="C1440" s="41" t="str">
        <f t="shared" si="595"/>
        <v>ラヴィーレ舟入</v>
      </c>
      <c r="D1440" s="14" t="s">
        <v>6</v>
      </c>
      <c r="E1440" s="15">
        <v>3</v>
      </c>
      <c r="F1440" s="17">
        <v>4</v>
      </c>
      <c r="G1440" s="17">
        <v>1.3</v>
      </c>
      <c r="H1440" s="15">
        <f t="shared" si="585"/>
        <v>4</v>
      </c>
      <c r="I1440" s="44"/>
      <c r="J1440" s="29" cm="1">
        <f t="array" ref="J1440">IFERROR(IF(_xlfn.XLOOKUP(L1440,NC導入施設!B:B,NC導入施設!E:E)=0,_xlfn.IFS(H1440&lt;=5,0,H1440&lt;=10,1,H1440&lt;=15,2,H1440&gt;=16,3),"Null"),"-")</f>
        <v>0</v>
      </c>
      <c r="K1440" s="61"/>
      <c r="L1440" s="1">
        <v>4417501200</v>
      </c>
    </row>
    <row r="1441" spans="1:12" ht="18" customHeight="1" x14ac:dyDescent="0.45">
      <c r="A1441" s="13">
        <v>1435</v>
      </c>
      <c r="B1441" s="42" t="str">
        <f t="shared" si="595"/>
        <v>西日本第二本部</v>
      </c>
      <c r="C1441" s="42" t="str">
        <f t="shared" si="595"/>
        <v>ラヴィーレ舟入</v>
      </c>
      <c r="D1441" s="14" t="s">
        <v>2</v>
      </c>
      <c r="E1441" s="15">
        <v>3</v>
      </c>
      <c r="F1441" s="17">
        <v>1</v>
      </c>
      <c r="G1441" s="17">
        <v>0.3</v>
      </c>
      <c r="H1441" s="15">
        <f t="shared" si="585"/>
        <v>1</v>
      </c>
      <c r="I1441" s="45"/>
      <c r="J1441" s="29" cm="1">
        <f t="array" ref="J1441">IFERROR(IF(_xlfn.XLOOKUP(L1441,NC導入施設!B:B,NC導入施設!E:E)=0,_xlfn.IFS(H1441&lt;=5,0,H1441&lt;=10,1,H1441&lt;=15,2,H1441&gt;=16,3),"Null"),"-")</f>
        <v>0</v>
      </c>
      <c r="K1441" s="62"/>
      <c r="L1441" s="1">
        <v>4417501200</v>
      </c>
    </row>
    <row r="1442" spans="1:12" ht="18" customHeight="1" x14ac:dyDescent="0.45">
      <c r="A1442" s="8">
        <v>1436</v>
      </c>
      <c r="B1442" s="34" t="s">
        <v>149</v>
      </c>
      <c r="C1442" s="34" t="s">
        <v>321</v>
      </c>
      <c r="D1442" s="9" t="s">
        <v>3</v>
      </c>
      <c r="E1442" s="10">
        <v>1</v>
      </c>
      <c r="F1442" s="12">
        <v>2</v>
      </c>
      <c r="G1442" s="12">
        <v>2</v>
      </c>
      <c r="H1442" s="10">
        <f t="shared" si="585"/>
        <v>2</v>
      </c>
      <c r="I1442" s="37" cm="1">
        <f t="array" ref="I1442">IF(J1442="-","-",_xlfn.IFS(K1442&lt;=5,0,K1442&lt;=10,1,K1442&lt;=15,2,K1442&gt;=16,3))</f>
        <v>1</v>
      </c>
      <c r="J1442" s="29" cm="1">
        <f t="array" ref="J1442">IFERROR(IF(_xlfn.XLOOKUP(L1442,NC導入施設!B:B,NC導入施設!E:E)=0,_xlfn.IFS(H1442&lt;=5,0,H1442&lt;=10,1,H1442&lt;=15,2,H1442&gt;=16,3),"Null"),"-")</f>
        <v>0</v>
      </c>
      <c r="K1442" s="60">
        <f t="shared" ref="K1442" si="596">IFERROR(SUM(H1442:H1446),"-")</f>
        <v>7</v>
      </c>
      <c r="L1442" s="1">
        <v>4417511200</v>
      </c>
    </row>
    <row r="1443" spans="1:12" ht="18" customHeight="1" x14ac:dyDescent="0.45">
      <c r="A1443" s="8">
        <v>1437</v>
      </c>
      <c r="B1443" s="35" t="str">
        <f t="shared" ref="B1443:C1446" si="597">B1442</f>
        <v>西日本第二本部</v>
      </c>
      <c r="C1443" s="35" t="str">
        <f t="shared" si="597"/>
        <v>ラヴィーレ広島光が丘</v>
      </c>
      <c r="D1443" s="9" t="s">
        <v>4</v>
      </c>
      <c r="E1443" s="10">
        <v>1</v>
      </c>
      <c r="F1443" s="12">
        <v>5</v>
      </c>
      <c r="G1443" s="12">
        <v>5</v>
      </c>
      <c r="H1443" s="10">
        <f t="shared" si="585"/>
        <v>5</v>
      </c>
      <c r="I1443" s="38"/>
      <c r="J1443" s="29" cm="1">
        <f t="array" ref="J1443">IFERROR(IF(_xlfn.XLOOKUP(L1443,NC導入施設!B:B,NC導入施設!E:E)=0,_xlfn.IFS(H1443&lt;=5,0,H1443&lt;=10,1,H1443&lt;=15,2,H1443&gt;=16,3),"Null"),"-")</f>
        <v>0</v>
      </c>
      <c r="K1443" s="61"/>
      <c r="L1443" s="1">
        <v>4417511200</v>
      </c>
    </row>
    <row r="1444" spans="1:12" ht="18" customHeight="1" x14ac:dyDescent="0.45">
      <c r="A1444" s="8">
        <v>1438</v>
      </c>
      <c r="B1444" s="35" t="str">
        <f t="shared" si="597"/>
        <v>西日本第二本部</v>
      </c>
      <c r="C1444" s="35" t="str">
        <f t="shared" si="597"/>
        <v>ラヴィーレ広島光が丘</v>
      </c>
      <c r="D1444" s="9" t="s">
        <v>5</v>
      </c>
      <c r="E1444" s="10">
        <v>2</v>
      </c>
      <c r="F1444" s="12">
        <v>0</v>
      </c>
      <c r="G1444" s="12">
        <v>0</v>
      </c>
      <c r="H1444" s="10">
        <f t="shared" si="585"/>
        <v>0</v>
      </c>
      <c r="I1444" s="38"/>
      <c r="J1444" s="29" cm="1">
        <f t="array" ref="J1444">IFERROR(IF(_xlfn.XLOOKUP(L1444,NC導入施設!B:B,NC導入施設!E:E)=0,_xlfn.IFS(H1444&lt;=5,0,H1444&lt;=10,1,H1444&lt;=15,2,H1444&gt;=16,3),"Null"),"-")</f>
        <v>0</v>
      </c>
      <c r="K1444" s="61"/>
      <c r="L1444" s="1">
        <v>4417511200</v>
      </c>
    </row>
    <row r="1445" spans="1:12" ht="18" customHeight="1" x14ac:dyDescent="0.45">
      <c r="A1445" s="8">
        <v>1439</v>
      </c>
      <c r="B1445" s="35" t="str">
        <f t="shared" si="597"/>
        <v>西日本第二本部</v>
      </c>
      <c r="C1445" s="35" t="str">
        <f t="shared" si="597"/>
        <v>ラヴィーレ広島光が丘</v>
      </c>
      <c r="D1445" s="9" t="s">
        <v>6</v>
      </c>
      <c r="E1445" s="10">
        <v>3</v>
      </c>
      <c r="F1445" s="12">
        <v>0</v>
      </c>
      <c r="G1445" s="12">
        <v>0</v>
      </c>
      <c r="H1445" s="10">
        <f t="shared" si="585"/>
        <v>0</v>
      </c>
      <c r="I1445" s="38"/>
      <c r="J1445" s="29" cm="1">
        <f t="array" ref="J1445">IFERROR(IF(_xlfn.XLOOKUP(L1445,NC導入施設!B:B,NC導入施設!E:E)=0,_xlfn.IFS(H1445&lt;=5,0,H1445&lt;=10,1,H1445&lt;=15,2,H1445&gt;=16,3),"Null"),"-")</f>
        <v>0</v>
      </c>
      <c r="K1445" s="61"/>
      <c r="L1445" s="1">
        <v>4417511200</v>
      </c>
    </row>
    <row r="1446" spans="1:12" ht="18" customHeight="1" x14ac:dyDescent="0.45">
      <c r="A1446" s="8">
        <v>1440</v>
      </c>
      <c r="B1446" s="36" t="str">
        <f t="shared" si="597"/>
        <v>西日本第二本部</v>
      </c>
      <c r="C1446" s="36" t="str">
        <f t="shared" si="597"/>
        <v>ラヴィーレ広島光が丘</v>
      </c>
      <c r="D1446" s="9" t="s">
        <v>2</v>
      </c>
      <c r="E1446" s="10">
        <v>1</v>
      </c>
      <c r="F1446" s="12">
        <v>0</v>
      </c>
      <c r="G1446" s="12">
        <v>0</v>
      </c>
      <c r="H1446" s="10">
        <f t="shared" si="585"/>
        <v>0</v>
      </c>
      <c r="I1446" s="39"/>
      <c r="J1446" s="29" cm="1">
        <f t="array" ref="J1446">IFERROR(IF(_xlfn.XLOOKUP(L1446,NC導入施設!B:B,NC導入施設!E:E)=0,_xlfn.IFS(H1446&lt;=5,0,H1446&lt;=10,1,H1446&lt;=15,2,H1446&gt;=16,3),"Null"),"-")</f>
        <v>0</v>
      </c>
      <c r="K1446" s="62"/>
      <c r="L1446" s="1">
        <v>4417511200</v>
      </c>
    </row>
    <row r="1447" spans="1:12" ht="18" customHeight="1" x14ac:dyDescent="0.45">
      <c r="A1447" s="13">
        <v>1441</v>
      </c>
      <c r="B1447" s="40" t="s">
        <v>149</v>
      </c>
      <c r="C1447" s="40" t="s">
        <v>322</v>
      </c>
      <c r="D1447" s="14" t="s">
        <v>3</v>
      </c>
      <c r="E1447" s="15">
        <v>1</v>
      </c>
      <c r="F1447" s="17">
        <v>21</v>
      </c>
      <c r="G1447" s="17">
        <v>21</v>
      </c>
      <c r="H1447" s="15">
        <f t="shared" si="585"/>
        <v>21</v>
      </c>
      <c r="I1447" s="43" cm="1">
        <f t="array" ref="I1447">IF(J1447="-","-",_xlfn.IFS(K1447&lt;=5,0,K1447&lt;=10,1,K1447&lt;=15,2,K1447&gt;=16,3))</f>
        <v>3</v>
      </c>
      <c r="J1447" s="29" cm="1">
        <f t="array" ref="J1447">IFERROR(IF(_xlfn.XLOOKUP(L1447,NC導入施設!B:B,NC導入施設!E:E)=0,_xlfn.IFS(H1447&lt;=5,0,H1447&lt;=10,1,H1447&lt;=15,2,H1447&gt;=16,3),"Null"),"-")</f>
        <v>3</v>
      </c>
      <c r="K1447" s="60">
        <f t="shared" ref="K1447" si="598">IFERROR(SUM(H1447:H1451),"-")</f>
        <v>21</v>
      </c>
      <c r="L1447" s="1">
        <v>4418171100</v>
      </c>
    </row>
    <row r="1448" spans="1:12" ht="18" customHeight="1" x14ac:dyDescent="0.45">
      <c r="A1448" s="13">
        <v>1442</v>
      </c>
      <c r="B1448" s="41" t="str">
        <f t="shared" ref="B1448:C1451" si="599">B1447</f>
        <v>西日本第二本部</v>
      </c>
      <c r="C1448" s="41" t="str">
        <f t="shared" si="599"/>
        <v>ラヴィーレ平和公園</v>
      </c>
      <c r="D1448" s="14" t="s">
        <v>4</v>
      </c>
      <c r="E1448" s="15">
        <v>1</v>
      </c>
      <c r="F1448" s="17">
        <v>0</v>
      </c>
      <c r="G1448" s="17">
        <v>0</v>
      </c>
      <c r="H1448" s="15">
        <f t="shared" si="585"/>
        <v>0</v>
      </c>
      <c r="I1448" s="44"/>
      <c r="J1448" s="29" cm="1">
        <f t="array" ref="J1448">IFERROR(IF(_xlfn.XLOOKUP(L1448,NC導入施設!B:B,NC導入施設!E:E)=0,_xlfn.IFS(H1448&lt;=5,0,H1448&lt;=10,1,H1448&lt;=15,2,H1448&gt;=16,3),"Null"),"-")</f>
        <v>0</v>
      </c>
      <c r="K1448" s="61"/>
      <c r="L1448" s="1">
        <v>4418171100</v>
      </c>
    </row>
    <row r="1449" spans="1:12" ht="18" customHeight="1" x14ac:dyDescent="0.45">
      <c r="A1449" s="13">
        <v>1443</v>
      </c>
      <c r="B1449" s="41" t="str">
        <f t="shared" si="599"/>
        <v>西日本第二本部</v>
      </c>
      <c r="C1449" s="41" t="str">
        <f t="shared" si="599"/>
        <v>ラヴィーレ平和公園</v>
      </c>
      <c r="D1449" s="14" t="s">
        <v>5</v>
      </c>
      <c r="E1449" s="15">
        <v>1</v>
      </c>
      <c r="F1449" s="17">
        <v>0</v>
      </c>
      <c r="G1449" s="17">
        <v>0</v>
      </c>
      <c r="H1449" s="15">
        <f t="shared" si="585"/>
        <v>0</v>
      </c>
      <c r="I1449" s="44"/>
      <c r="J1449" s="29" cm="1">
        <f t="array" ref="J1449">IFERROR(IF(_xlfn.XLOOKUP(L1449,NC導入施設!B:B,NC導入施設!E:E)=0,_xlfn.IFS(H1449&lt;=5,0,H1449&lt;=10,1,H1449&lt;=15,2,H1449&gt;=16,3),"Null"),"-")</f>
        <v>0</v>
      </c>
      <c r="K1449" s="61"/>
      <c r="L1449" s="1">
        <v>4418171100</v>
      </c>
    </row>
    <row r="1450" spans="1:12" ht="18" customHeight="1" x14ac:dyDescent="0.45">
      <c r="A1450" s="13">
        <v>1444</v>
      </c>
      <c r="B1450" s="41" t="str">
        <f t="shared" si="599"/>
        <v>西日本第二本部</v>
      </c>
      <c r="C1450" s="41" t="str">
        <f t="shared" si="599"/>
        <v>ラヴィーレ平和公園</v>
      </c>
      <c r="D1450" s="14" t="s">
        <v>6</v>
      </c>
      <c r="E1450" s="15">
        <v>3</v>
      </c>
      <c r="F1450" s="17">
        <v>0</v>
      </c>
      <c r="G1450" s="17">
        <v>0</v>
      </c>
      <c r="H1450" s="15">
        <f t="shared" si="585"/>
        <v>0</v>
      </c>
      <c r="I1450" s="44"/>
      <c r="J1450" s="29" cm="1">
        <f t="array" ref="J1450">IFERROR(IF(_xlfn.XLOOKUP(L1450,NC導入施設!B:B,NC導入施設!E:E)=0,_xlfn.IFS(H1450&lt;=5,0,H1450&lt;=10,1,H1450&lt;=15,2,H1450&gt;=16,3),"Null"),"-")</f>
        <v>0</v>
      </c>
      <c r="K1450" s="61"/>
      <c r="L1450" s="1">
        <v>4418171100</v>
      </c>
    </row>
    <row r="1451" spans="1:12" ht="18" customHeight="1" x14ac:dyDescent="0.45">
      <c r="A1451" s="13">
        <v>1445</v>
      </c>
      <c r="B1451" s="42" t="str">
        <f t="shared" si="599"/>
        <v>西日本第二本部</v>
      </c>
      <c r="C1451" s="42" t="str">
        <f t="shared" si="599"/>
        <v>ラヴィーレ平和公園</v>
      </c>
      <c r="D1451" s="14" t="s">
        <v>2</v>
      </c>
      <c r="E1451" s="15">
        <v>0</v>
      </c>
      <c r="F1451" s="17">
        <v>0</v>
      </c>
      <c r="G1451" s="17">
        <v>0</v>
      </c>
      <c r="H1451" s="15">
        <f t="shared" si="585"/>
        <v>0</v>
      </c>
      <c r="I1451" s="45"/>
      <c r="J1451" s="29" cm="1">
        <f t="array" ref="J1451">IFERROR(IF(_xlfn.XLOOKUP(L1451,NC導入施設!B:B,NC導入施設!E:E)=0,_xlfn.IFS(H1451&lt;=5,0,H1451&lt;=10,1,H1451&lt;=15,2,H1451&gt;=16,3),"Null"),"-")</f>
        <v>0</v>
      </c>
      <c r="K1451" s="62"/>
      <c r="L1451" s="1">
        <v>4418171100</v>
      </c>
    </row>
    <row r="1452" spans="1:12" ht="18" customHeight="1" x14ac:dyDescent="0.45">
      <c r="A1452" s="8">
        <v>1446</v>
      </c>
      <c r="B1452" s="34" t="s">
        <v>149</v>
      </c>
      <c r="C1452" s="34" t="s">
        <v>168</v>
      </c>
      <c r="D1452" s="9" t="s">
        <v>3</v>
      </c>
      <c r="E1452" s="10">
        <v>1</v>
      </c>
      <c r="F1452" s="12">
        <v>12</v>
      </c>
      <c r="G1452" s="12">
        <v>12</v>
      </c>
      <c r="H1452" s="10">
        <f t="shared" si="585"/>
        <v>12</v>
      </c>
      <c r="I1452" s="37" cm="1">
        <f t="array" ref="I1452">IF(J1452="-","-",_xlfn.IFS(K1452&lt;=5,0,K1452&lt;=10,1,K1452&lt;=15,2,K1452&gt;=16,3))</f>
        <v>3</v>
      </c>
      <c r="J1452" s="29" cm="1">
        <f t="array" ref="J1452">IFERROR(IF(_xlfn.XLOOKUP(L1452,NC導入施設!B:B,NC導入施設!E:E)=0,_xlfn.IFS(H1452&lt;=5,0,H1452&lt;=10,1,H1452&lt;=15,2,H1452&gt;=16,3),"Null"),"-")</f>
        <v>2</v>
      </c>
      <c r="K1452" s="60">
        <f t="shared" ref="K1452" si="600">IFERROR(SUM(H1452:H1456),"-")</f>
        <v>26</v>
      </c>
      <c r="L1452" s="1">
        <v>5317491200</v>
      </c>
    </row>
    <row r="1453" spans="1:12" x14ac:dyDescent="0.45">
      <c r="A1453" s="8">
        <v>1447</v>
      </c>
      <c r="B1453" s="35" t="str">
        <f t="shared" ref="B1453:C1456" si="601">B1452</f>
        <v>西日本第二本部</v>
      </c>
      <c r="C1453" s="35" t="str">
        <f t="shared" si="601"/>
        <v>そんぽの家　清水麻生田</v>
      </c>
      <c r="D1453" s="9" t="s">
        <v>4</v>
      </c>
      <c r="E1453" s="10">
        <v>1</v>
      </c>
      <c r="F1453" s="12">
        <v>12</v>
      </c>
      <c r="G1453" s="12">
        <v>12</v>
      </c>
      <c r="H1453" s="10">
        <f t="shared" si="585"/>
        <v>12</v>
      </c>
      <c r="I1453" s="38"/>
      <c r="J1453" s="29" cm="1">
        <f t="array" ref="J1453">IFERROR(IF(_xlfn.XLOOKUP(L1453,NC導入施設!B:B,NC導入施設!E:E)=0,_xlfn.IFS(H1453&lt;=5,0,H1453&lt;=10,1,H1453&lt;=15,2,H1453&gt;=16,3),"Null"),"-")</f>
        <v>2</v>
      </c>
      <c r="K1453" s="61"/>
      <c r="L1453" s="1">
        <v>5317491200</v>
      </c>
    </row>
    <row r="1454" spans="1:12" x14ac:dyDescent="0.45">
      <c r="A1454" s="8">
        <v>1448</v>
      </c>
      <c r="B1454" s="35" t="str">
        <f t="shared" si="601"/>
        <v>西日本第二本部</v>
      </c>
      <c r="C1454" s="35" t="str">
        <f t="shared" si="601"/>
        <v>そんぽの家　清水麻生田</v>
      </c>
      <c r="D1454" s="9" t="s">
        <v>5</v>
      </c>
      <c r="E1454" s="10">
        <v>0</v>
      </c>
      <c r="F1454" s="12">
        <v>0</v>
      </c>
      <c r="G1454" s="12">
        <v>0</v>
      </c>
      <c r="H1454" s="10">
        <f t="shared" si="585"/>
        <v>0</v>
      </c>
      <c r="I1454" s="38"/>
      <c r="J1454" s="29" cm="1">
        <f t="array" ref="J1454">IFERROR(IF(_xlfn.XLOOKUP(L1454,NC導入施設!B:B,NC導入施設!E:E)=0,_xlfn.IFS(H1454&lt;=5,0,H1454&lt;=10,1,H1454&lt;=15,2,H1454&gt;=16,3),"Null"),"-")</f>
        <v>0</v>
      </c>
      <c r="K1454" s="61"/>
      <c r="L1454" s="1">
        <v>5317491200</v>
      </c>
    </row>
    <row r="1455" spans="1:12" x14ac:dyDescent="0.45">
      <c r="A1455" s="8">
        <v>1449</v>
      </c>
      <c r="B1455" s="35" t="str">
        <f t="shared" si="601"/>
        <v>西日本第二本部</v>
      </c>
      <c r="C1455" s="35" t="str">
        <f t="shared" si="601"/>
        <v>そんぽの家　清水麻生田</v>
      </c>
      <c r="D1455" s="9" t="s">
        <v>6</v>
      </c>
      <c r="E1455" s="10">
        <v>3</v>
      </c>
      <c r="F1455" s="12">
        <v>2</v>
      </c>
      <c r="G1455" s="12">
        <v>0.7</v>
      </c>
      <c r="H1455" s="10">
        <f t="shared" si="585"/>
        <v>2</v>
      </c>
      <c r="I1455" s="38"/>
      <c r="J1455" s="29" cm="1">
        <f t="array" ref="J1455">IFERROR(IF(_xlfn.XLOOKUP(L1455,NC導入施設!B:B,NC導入施設!E:E)=0,_xlfn.IFS(H1455&lt;=5,0,H1455&lt;=10,1,H1455&lt;=15,2,H1455&gt;=16,3),"Null"),"-")</f>
        <v>0</v>
      </c>
      <c r="K1455" s="61"/>
      <c r="L1455" s="1">
        <v>5317491200</v>
      </c>
    </row>
    <row r="1456" spans="1:12" x14ac:dyDescent="0.45">
      <c r="A1456" s="8">
        <v>1450</v>
      </c>
      <c r="B1456" s="36" t="str">
        <f t="shared" si="601"/>
        <v>西日本第二本部</v>
      </c>
      <c r="C1456" s="36" t="str">
        <f t="shared" si="601"/>
        <v>そんぽの家　清水麻生田</v>
      </c>
      <c r="D1456" s="9" t="s">
        <v>2</v>
      </c>
      <c r="E1456" s="10">
        <v>0</v>
      </c>
      <c r="F1456" s="12">
        <v>0</v>
      </c>
      <c r="G1456" s="12">
        <v>0</v>
      </c>
      <c r="H1456" s="10">
        <f t="shared" si="585"/>
        <v>0</v>
      </c>
      <c r="I1456" s="39"/>
      <c r="J1456" s="29" cm="1">
        <f t="array" ref="J1456">IFERROR(IF(_xlfn.XLOOKUP(L1456,NC導入施設!B:B,NC導入施設!E:E)=0,_xlfn.IFS(H1456&lt;=5,0,H1456&lt;=10,1,H1456&lt;=15,2,H1456&gt;=16,3),"Null"),"-")</f>
        <v>0</v>
      </c>
      <c r="K1456" s="62"/>
      <c r="L1456" s="1">
        <v>5317491200</v>
      </c>
    </row>
  </sheetData>
  <mergeCells count="1170">
    <mergeCell ref="B1452:B1456"/>
    <mergeCell ref="C1452:C1456"/>
    <mergeCell ref="B1427:B1431"/>
    <mergeCell ref="C1427:C1431"/>
    <mergeCell ref="I1427:I1431"/>
    <mergeCell ref="B1432:B1436"/>
    <mergeCell ref="C1432:C1436"/>
    <mergeCell ref="I1432:I1436"/>
    <mergeCell ref="B1417:B1421"/>
    <mergeCell ref="C1417:C1421"/>
    <mergeCell ref="I1417:I1421"/>
    <mergeCell ref="B1422:B1426"/>
    <mergeCell ref="C1422:C1426"/>
    <mergeCell ref="I1422:I1426"/>
    <mergeCell ref="B1447:B1451"/>
    <mergeCell ref="C1447:C1451"/>
    <mergeCell ref="I1447:I1451"/>
    <mergeCell ref="B1437:B1441"/>
    <mergeCell ref="C1437:C1441"/>
    <mergeCell ref="I1437:I1441"/>
    <mergeCell ref="B1442:B1446"/>
    <mergeCell ref="C1442:C1446"/>
    <mergeCell ref="I1442:I1446"/>
    <mergeCell ref="I1452:I1456"/>
    <mergeCell ref="B1387:B1391"/>
    <mergeCell ref="C1387:C1391"/>
    <mergeCell ref="I1387:I1391"/>
    <mergeCell ref="B1392:B1396"/>
    <mergeCell ref="C1392:C1396"/>
    <mergeCell ref="I1392:I1396"/>
    <mergeCell ref="B1377:B1381"/>
    <mergeCell ref="C1377:C1381"/>
    <mergeCell ref="I1377:I1381"/>
    <mergeCell ref="B1382:B1386"/>
    <mergeCell ref="C1382:C1386"/>
    <mergeCell ref="I1382:I1386"/>
    <mergeCell ref="B1407:B1411"/>
    <mergeCell ref="C1407:C1411"/>
    <mergeCell ref="I1407:I1411"/>
    <mergeCell ref="B1412:B1416"/>
    <mergeCell ref="C1412:C1416"/>
    <mergeCell ref="I1412:I1416"/>
    <mergeCell ref="B1397:B1401"/>
    <mergeCell ref="C1397:C1401"/>
    <mergeCell ref="I1397:I1401"/>
    <mergeCell ref="B1402:B1406"/>
    <mergeCell ref="C1402:C1406"/>
    <mergeCell ref="I1402:I1406"/>
    <mergeCell ref="B1347:B1351"/>
    <mergeCell ref="C1347:C1351"/>
    <mergeCell ref="I1347:I1351"/>
    <mergeCell ref="B1352:B1356"/>
    <mergeCell ref="C1352:C1356"/>
    <mergeCell ref="I1352:I1356"/>
    <mergeCell ref="B1337:B1341"/>
    <mergeCell ref="C1337:C1341"/>
    <mergeCell ref="I1337:I1341"/>
    <mergeCell ref="B1342:B1346"/>
    <mergeCell ref="C1342:C1346"/>
    <mergeCell ref="I1342:I1346"/>
    <mergeCell ref="B1367:B1371"/>
    <mergeCell ref="C1367:C1371"/>
    <mergeCell ref="I1367:I1371"/>
    <mergeCell ref="B1372:B1376"/>
    <mergeCell ref="C1372:C1376"/>
    <mergeCell ref="I1372:I1376"/>
    <mergeCell ref="B1357:B1361"/>
    <mergeCell ref="C1357:C1361"/>
    <mergeCell ref="I1357:I1361"/>
    <mergeCell ref="B1362:B1366"/>
    <mergeCell ref="C1362:C1366"/>
    <mergeCell ref="I1362:I1366"/>
    <mergeCell ref="B1307:B1311"/>
    <mergeCell ref="C1307:C1311"/>
    <mergeCell ref="I1307:I1311"/>
    <mergeCell ref="B1312:B1316"/>
    <mergeCell ref="C1312:C1316"/>
    <mergeCell ref="I1312:I1316"/>
    <mergeCell ref="B1297:B1301"/>
    <mergeCell ref="C1297:C1301"/>
    <mergeCell ref="I1297:I1301"/>
    <mergeCell ref="B1302:B1306"/>
    <mergeCell ref="C1302:C1306"/>
    <mergeCell ref="I1302:I1306"/>
    <mergeCell ref="B1327:B1331"/>
    <mergeCell ref="C1327:C1331"/>
    <mergeCell ref="I1327:I1331"/>
    <mergeCell ref="B1332:B1336"/>
    <mergeCell ref="C1332:C1336"/>
    <mergeCell ref="I1332:I1336"/>
    <mergeCell ref="B1317:B1321"/>
    <mergeCell ref="C1317:C1321"/>
    <mergeCell ref="I1317:I1321"/>
    <mergeCell ref="B1322:B1326"/>
    <mergeCell ref="C1322:C1326"/>
    <mergeCell ref="I1322:I1326"/>
    <mergeCell ref="B1267:B1271"/>
    <mergeCell ref="C1267:C1271"/>
    <mergeCell ref="I1267:I1271"/>
    <mergeCell ref="B1272:B1276"/>
    <mergeCell ref="C1272:C1276"/>
    <mergeCell ref="I1272:I1276"/>
    <mergeCell ref="B1257:B1261"/>
    <mergeCell ref="C1257:C1261"/>
    <mergeCell ref="I1257:I1261"/>
    <mergeCell ref="B1262:B1266"/>
    <mergeCell ref="C1262:C1266"/>
    <mergeCell ref="I1262:I1266"/>
    <mergeCell ref="B1287:B1291"/>
    <mergeCell ref="C1287:C1291"/>
    <mergeCell ref="I1287:I1291"/>
    <mergeCell ref="B1292:B1296"/>
    <mergeCell ref="C1292:C1296"/>
    <mergeCell ref="I1292:I1296"/>
    <mergeCell ref="B1277:B1281"/>
    <mergeCell ref="C1277:C1281"/>
    <mergeCell ref="I1277:I1281"/>
    <mergeCell ref="B1282:B1286"/>
    <mergeCell ref="C1282:C1286"/>
    <mergeCell ref="I1282:I1286"/>
    <mergeCell ref="B1227:B1231"/>
    <mergeCell ref="C1227:C1231"/>
    <mergeCell ref="I1227:I1231"/>
    <mergeCell ref="B1232:B1236"/>
    <mergeCell ref="C1232:C1236"/>
    <mergeCell ref="I1232:I1236"/>
    <mergeCell ref="B1217:B1221"/>
    <mergeCell ref="C1217:C1221"/>
    <mergeCell ref="I1217:I1221"/>
    <mergeCell ref="B1222:B1226"/>
    <mergeCell ref="C1222:C1226"/>
    <mergeCell ref="I1222:I1226"/>
    <mergeCell ref="B1247:B1251"/>
    <mergeCell ref="C1247:C1251"/>
    <mergeCell ref="I1247:I1251"/>
    <mergeCell ref="B1252:B1256"/>
    <mergeCell ref="C1252:C1256"/>
    <mergeCell ref="I1252:I1256"/>
    <mergeCell ref="B1237:B1241"/>
    <mergeCell ref="C1237:C1241"/>
    <mergeCell ref="I1237:I1241"/>
    <mergeCell ref="B1242:B1246"/>
    <mergeCell ref="C1242:C1246"/>
    <mergeCell ref="I1242:I1246"/>
    <mergeCell ref="B1187:B1191"/>
    <mergeCell ref="C1187:C1191"/>
    <mergeCell ref="I1187:I1191"/>
    <mergeCell ref="B1192:B1196"/>
    <mergeCell ref="C1192:C1196"/>
    <mergeCell ref="I1192:I1196"/>
    <mergeCell ref="B1177:B1181"/>
    <mergeCell ref="C1177:C1181"/>
    <mergeCell ref="I1177:I1181"/>
    <mergeCell ref="B1182:B1186"/>
    <mergeCell ref="C1182:C1186"/>
    <mergeCell ref="I1182:I1186"/>
    <mergeCell ref="B1207:B1211"/>
    <mergeCell ref="C1207:C1211"/>
    <mergeCell ref="I1207:I1211"/>
    <mergeCell ref="B1212:B1216"/>
    <mergeCell ref="C1212:C1216"/>
    <mergeCell ref="I1212:I1216"/>
    <mergeCell ref="B1197:B1201"/>
    <mergeCell ref="C1197:C1201"/>
    <mergeCell ref="I1197:I1201"/>
    <mergeCell ref="B1202:B1206"/>
    <mergeCell ref="C1202:C1206"/>
    <mergeCell ref="I1202:I1206"/>
    <mergeCell ref="B1147:B1151"/>
    <mergeCell ref="C1147:C1151"/>
    <mergeCell ref="I1147:I1151"/>
    <mergeCell ref="B1152:B1156"/>
    <mergeCell ref="C1152:C1156"/>
    <mergeCell ref="I1152:I1156"/>
    <mergeCell ref="B1137:B1141"/>
    <mergeCell ref="C1137:C1141"/>
    <mergeCell ref="I1137:I1141"/>
    <mergeCell ref="B1142:B1146"/>
    <mergeCell ref="C1142:C1146"/>
    <mergeCell ref="I1142:I1146"/>
    <mergeCell ref="B1167:B1171"/>
    <mergeCell ref="C1167:C1171"/>
    <mergeCell ref="I1167:I1171"/>
    <mergeCell ref="B1172:B1176"/>
    <mergeCell ref="C1172:C1176"/>
    <mergeCell ref="I1172:I1176"/>
    <mergeCell ref="B1157:B1161"/>
    <mergeCell ref="C1157:C1161"/>
    <mergeCell ref="I1157:I1161"/>
    <mergeCell ref="B1162:B1166"/>
    <mergeCell ref="C1162:C1166"/>
    <mergeCell ref="I1162:I1166"/>
    <mergeCell ref="B1107:B1111"/>
    <mergeCell ref="C1107:C1111"/>
    <mergeCell ref="I1107:I1111"/>
    <mergeCell ref="B1112:B1116"/>
    <mergeCell ref="C1112:C1116"/>
    <mergeCell ref="I1112:I1116"/>
    <mergeCell ref="B1097:B1101"/>
    <mergeCell ref="C1097:C1101"/>
    <mergeCell ref="I1097:I1101"/>
    <mergeCell ref="B1102:B1106"/>
    <mergeCell ref="C1102:C1106"/>
    <mergeCell ref="I1102:I1106"/>
    <mergeCell ref="B1127:B1131"/>
    <mergeCell ref="C1127:C1131"/>
    <mergeCell ref="I1127:I1131"/>
    <mergeCell ref="B1132:B1136"/>
    <mergeCell ref="C1132:C1136"/>
    <mergeCell ref="I1132:I1136"/>
    <mergeCell ref="B1117:B1121"/>
    <mergeCell ref="C1117:C1121"/>
    <mergeCell ref="I1117:I1121"/>
    <mergeCell ref="B1122:B1126"/>
    <mergeCell ref="C1122:C1126"/>
    <mergeCell ref="I1122:I1126"/>
    <mergeCell ref="B1067:B1071"/>
    <mergeCell ref="C1067:C1071"/>
    <mergeCell ref="I1067:I1071"/>
    <mergeCell ref="B1072:B1076"/>
    <mergeCell ref="C1072:C1076"/>
    <mergeCell ref="I1072:I1076"/>
    <mergeCell ref="B1057:B1061"/>
    <mergeCell ref="C1057:C1061"/>
    <mergeCell ref="I1057:I1061"/>
    <mergeCell ref="B1062:B1066"/>
    <mergeCell ref="C1062:C1066"/>
    <mergeCell ref="I1062:I1066"/>
    <mergeCell ref="B1087:B1091"/>
    <mergeCell ref="C1087:C1091"/>
    <mergeCell ref="I1087:I1091"/>
    <mergeCell ref="B1092:B1096"/>
    <mergeCell ref="C1092:C1096"/>
    <mergeCell ref="I1092:I1096"/>
    <mergeCell ref="B1077:B1081"/>
    <mergeCell ref="C1077:C1081"/>
    <mergeCell ref="I1077:I1081"/>
    <mergeCell ref="B1082:B1086"/>
    <mergeCell ref="C1082:C1086"/>
    <mergeCell ref="I1082:I1086"/>
    <mergeCell ref="B1027:B1031"/>
    <mergeCell ref="C1027:C1031"/>
    <mergeCell ref="I1027:I1031"/>
    <mergeCell ref="B1032:B1036"/>
    <mergeCell ref="C1032:C1036"/>
    <mergeCell ref="I1032:I1036"/>
    <mergeCell ref="B1017:B1021"/>
    <mergeCell ref="C1017:C1021"/>
    <mergeCell ref="I1017:I1021"/>
    <mergeCell ref="B1022:B1026"/>
    <mergeCell ref="C1022:C1026"/>
    <mergeCell ref="I1022:I1026"/>
    <mergeCell ref="B1047:B1051"/>
    <mergeCell ref="C1047:C1051"/>
    <mergeCell ref="I1047:I1051"/>
    <mergeCell ref="B1052:B1056"/>
    <mergeCell ref="C1052:C1056"/>
    <mergeCell ref="I1052:I1056"/>
    <mergeCell ref="B1037:B1041"/>
    <mergeCell ref="C1037:C1041"/>
    <mergeCell ref="I1037:I1041"/>
    <mergeCell ref="B1042:B1046"/>
    <mergeCell ref="C1042:C1046"/>
    <mergeCell ref="I1042:I1046"/>
    <mergeCell ref="B987:B991"/>
    <mergeCell ref="C987:C991"/>
    <mergeCell ref="I987:I991"/>
    <mergeCell ref="B992:B996"/>
    <mergeCell ref="C992:C996"/>
    <mergeCell ref="I992:I996"/>
    <mergeCell ref="B977:B981"/>
    <mergeCell ref="C977:C981"/>
    <mergeCell ref="I977:I981"/>
    <mergeCell ref="B982:B986"/>
    <mergeCell ref="C982:C986"/>
    <mergeCell ref="I982:I986"/>
    <mergeCell ref="B1007:B1011"/>
    <mergeCell ref="C1007:C1011"/>
    <mergeCell ref="I1007:I1011"/>
    <mergeCell ref="B1012:B1016"/>
    <mergeCell ref="C1012:C1016"/>
    <mergeCell ref="I1012:I1016"/>
    <mergeCell ref="B997:B1001"/>
    <mergeCell ref="C997:C1001"/>
    <mergeCell ref="I997:I1001"/>
    <mergeCell ref="B1002:B1006"/>
    <mergeCell ref="C1002:C1006"/>
    <mergeCell ref="I1002:I1006"/>
    <mergeCell ref="B947:B951"/>
    <mergeCell ref="C947:C951"/>
    <mergeCell ref="I947:I951"/>
    <mergeCell ref="B952:B956"/>
    <mergeCell ref="C952:C956"/>
    <mergeCell ref="I952:I956"/>
    <mergeCell ref="B937:B941"/>
    <mergeCell ref="C937:C941"/>
    <mergeCell ref="I937:I941"/>
    <mergeCell ref="B942:B946"/>
    <mergeCell ref="C942:C946"/>
    <mergeCell ref="I942:I946"/>
    <mergeCell ref="B967:B971"/>
    <mergeCell ref="C967:C971"/>
    <mergeCell ref="I967:I971"/>
    <mergeCell ref="B972:B976"/>
    <mergeCell ref="C972:C976"/>
    <mergeCell ref="I972:I976"/>
    <mergeCell ref="B957:B961"/>
    <mergeCell ref="C957:C961"/>
    <mergeCell ref="I957:I961"/>
    <mergeCell ref="B962:B966"/>
    <mergeCell ref="C962:C966"/>
    <mergeCell ref="I962:I966"/>
    <mergeCell ref="B907:B911"/>
    <mergeCell ref="C907:C911"/>
    <mergeCell ref="I907:I911"/>
    <mergeCell ref="B912:B916"/>
    <mergeCell ref="C912:C916"/>
    <mergeCell ref="I912:I916"/>
    <mergeCell ref="B897:B901"/>
    <mergeCell ref="C897:C901"/>
    <mergeCell ref="I897:I901"/>
    <mergeCell ref="B902:B906"/>
    <mergeCell ref="C902:C906"/>
    <mergeCell ref="I902:I906"/>
    <mergeCell ref="B927:B931"/>
    <mergeCell ref="C927:C931"/>
    <mergeCell ref="I927:I931"/>
    <mergeCell ref="B932:B936"/>
    <mergeCell ref="C932:C936"/>
    <mergeCell ref="I932:I936"/>
    <mergeCell ref="B917:B921"/>
    <mergeCell ref="C917:C921"/>
    <mergeCell ref="I917:I921"/>
    <mergeCell ref="B922:B926"/>
    <mergeCell ref="C922:C926"/>
    <mergeCell ref="I922:I926"/>
    <mergeCell ref="B867:B871"/>
    <mergeCell ref="C867:C871"/>
    <mergeCell ref="I867:I871"/>
    <mergeCell ref="B872:B876"/>
    <mergeCell ref="C872:C876"/>
    <mergeCell ref="I872:I876"/>
    <mergeCell ref="B857:B861"/>
    <mergeCell ref="C857:C861"/>
    <mergeCell ref="I857:I861"/>
    <mergeCell ref="B862:B866"/>
    <mergeCell ref="C862:C866"/>
    <mergeCell ref="I862:I866"/>
    <mergeCell ref="B887:B891"/>
    <mergeCell ref="C887:C891"/>
    <mergeCell ref="I887:I891"/>
    <mergeCell ref="B892:B896"/>
    <mergeCell ref="C892:C896"/>
    <mergeCell ref="I892:I896"/>
    <mergeCell ref="B877:B881"/>
    <mergeCell ref="C877:C881"/>
    <mergeCell ref="I877:I881"/>
    <mergeCell ref="B882:B886"/>
    <mergeCell ref="C882:C886"/>
    <mergeCell ref="I882:I886"/>
    <mergeCell ref="B827:B831"/>
    <mergeCell ref="C827:C831"/>
    <mergeCell ref="I827:I831"/>
    <mergeCell ref="B832:B836"/>
    <mergeCell ref="C832:C836"/>
    <mergeCell ref="I832:I836"/>
    <mergeCell ref="B817:B821"/>
    <mergeCell ref="C817:C821"/>
    <mergeCell ref="I817:I821"/>
    <mergeCell ref="B822:B826"/>
    <mergeCell ref="C822:C826"/>
    <mergeCell ref="I822:I826"/>
    <mergeCell ref="B847:B851"/>
    <mergeCell ref="C847:C851"/>
    <mergeCell ref="I847:I851"/>
    <mergeCell ref="B852:B856"/>
    <mergeCell ref="C852:C856"/>
    <mergeCell ref="I852:I856"/>
    <mergeCell ref="B837:B841"/>
    <mergeCell ref="C837:C841"/>
    <mergeCell ref="I837:I841"/>
    <mergeCell ref="B842:B846"/>
    <mergeCell ref="C842:C846"/>
    <mergeCell ref="I842:I846"/>
    <mergeCell ref="B787:B791"/>
    <mergeCell ref="C787:C791"/>
    <mergeCell ref="I787:I791"/>
    <mergeCell ref="B792:B796"/>
    <mergeCell ref="C792:C796"/>
    <mergeCell ref="I792:I796"/>
    <mergeCell ref="B777:B781"/>
    <mergeCell ref="C777:C781"/>
    <mergeCell ref="I777:I781"/>
    <mergeCell ref="B782:B786"/>
    <mergeCell ref="C782:C786"/>
    <mergeCell ref="I782:I786"/>
    <mergeCell ref="B807:B811"/>
    <mergeCell ref="C807:C811"/>
    <mergeCell ref="I807:I811"/>
    <mergeCell ref="B812:B816"/>
    <mergeCell ref="C812:C816"/>
    <mergeCell ref="I812:I816"/>
    <mergeCell ref="B797:B801"/>
    <mergeCell ref="C797:C801"/>
    <mergeCell ref="I797:I801"/>
    <mergeCell ref="B802:B806"/>
    <mergeCell ref="C802:C806"/>
    <mergeCell ref="I802:I806"/>
    <mergeCell ref="B747:B751"/>
    <mergeCell ref="C747:C751"/>
    <mergeCell ref="I747:I751"/>
    <mergeCell ref="B752:B756"/>
    <mergeCell ref="C752:C756"/>
    <mergeCell ref="I752:I756"/>
    <mergeCell ref="B737:B741"/>
    <mergeCell ref="C737:C741"/>
    <mergeCell ref="I737:I741"/>
    <mergeCell ref="B742:B746"/>
    <mergeCell ref="C742:C746"/>
    <mergeCell ref="I742:I746"/>
    <mergeCell ref="B767:B771"/>
    <mergeCell ref="C767:C771"/>
    <mergeCell ref="I767:I771"/>
    <mergeCell ref="B772:B776"/>
    <mergeCell ref="C772:C776"/>
    <mergeCell ref="I772:I776"/>
    <mergeCell ref="B757:B761"/>
    <mergeCell ref="C757:C761"/>
    <mergeCell ref="I757:I761"/>
    <mergeCell ref="B762:B766"/>
    <mergeCell ref="C762:C766"/>
    <mergeCell ref="I762:I766"/>
    <mergeCell ref="B707:B711"/>
    <mergeCell ref="C707:C711"/>
    <mergeCell ref="I707:I711"/>
    <mergeCell ref="B712:B716"/>
    <mergeCell ref="C712:C716"/>
    <mergeCell ref="I712:I716"/>
    <mergeCell ref="B697:B701"/>
    <mergeCell ref="C697:C701"/>
    <mergeCell ref="I697:I701"/>
    <mergeCell ref="B702:B706"/>
    <mergeCell ref="C702:C706"/>
    <mergeCell ref="I702:I706"/>
    <mergeCell ref="B727:B731"/>
    <mergeCell ref="C727:C731"/>
    <mergeCell ref="I727:I731"/>
    <mergeCell ref="B732:B736"/>
    <mergeCell ref="C732:C736"/>
    <mergeCell ref="I732:I736"/>
    <mergeCell ref="B717:B721"/>
    <mergeCell ref="C717:C721"/>
    <mergeCell ref="I717:I721"/>
    <mergeCell ref="B722:B726"/>
    <mergeCell ref="C722:C726"/>
    <mergeCell ref="I722:I726"/>
    <mergeCell ref="B667:B671"/>
    <mergeCell ref="C667:C671"/>
    <mergeCell ref="I667:I671"/>
    <mergeCell ref="B672:B676"/>
    <mergeCell ref="C672:C676"/>
    <mergeCell ref="I672:I676"/>
    <mergeCell ref="B657:B661"/>
    <mergeCell ref="C657:C661"/>
    <mergeCell ref="I657:I661"/>
    <mergeCell ref="B662:B666"/>
    <mergeCell ref="C662:C666"/>
    <mergeCell ref="I662:I666"/>
    <mergeCell ref="B687:B691"/>
    <mergeCell ref="C687:C691"/>
    <mergeCell ref="I687:I691"/>
    <mergeCell ref="B692:B696"/>
    <mergeCell ref="C692:C696"/>
    <mergeCell ref="I692:I696"/>
    <mergeCell ref="B677:B681"/>
    <mergeCell ref="C677:C681"/>
    <mergeCell ref="I677:I681"/>
    <mergeCell ref="B682:B686"/>
    <mergeCell ref="C682:C686"/>
    <mergeCell ref="I682:I686"/>
    <mergeCell ref="B627:B631"/>
    <mergeCell ref="C627:C631"/>
    <mergeCell ref="I627:I631"/>
    <mergeCell ref="B632:B636"/>
    <mergeCell ref="C632:C636"/>
    <mergeCell ref="I632:I636"/>
    <mergeCell ref="B617:B621"/>
    <mergeCell ref="C617:C621"/>
    <mergeCell ref="I617:I621"/>
    <mergeCell ref="B622:B626"/>
    <mergeCell ref="C622:C626"/>
    <mergeCell ref="I622:I626"/>
    <mergeCell ref="B647:B651"/>
    <mergeCell ref="C647:C651"/>
    <mergeCell ref="I647:I651"/>
    <mergeCell ref="B652:B656"/>
    <mergeCell ref="C652:C656"/>
    <mergeCell ref="I652:I656"/>
    <mergeCell ref="B637:B641"/>
    <mergeCell ref="C637:C641"/>
    <mergeCell ref="I637:I641"/>
    <mergeCell ref="B642:B646"/>
    <mergeCell ref="C642:C646"/>
    <mergeCell ref="I642:I646"/>
    <mergeCell ref="B587:B591"/>
    <mergeCell ref="C587:C591"/>
    <mergeCell ref="I587:I591"/>
    <mergeCell ref="B592:B596"/>
    <mergeCell ref="C592:C596"/>
    <mergeCell ref="I592:I596"/>
    <mergeCell ref="B577:B581"/>
    <mergeCell ref="C577:C581"/>
    <mergeCell ref="I577:I581"/>
    <mergeCell ref="B582:B586"/>
    <mergeCell ref="C582:C586"/>
    <mergeCell ref="I582:I586"/>
    <mergeCell ref="B607:B611"/>
    <mergeCell ref="C607:C611"/>
    <mergeCell ref="I607:I611"/>
    <mergeCell ref="B612:B616"/>
    <mergeCell ref="C612:C616"/>
    <mergeCell ref="I612:I616"/>
    <mergeCell ref="B597:B601"/>
    <mergeCell ref="C597:C601"/>
    <mergeCell ref="I597:I601"/>
    <mergeCell ref="B602:B606"/>
    <mergeCell ref="C602:C606"/>
    <mergeCell ref="I602:I606"/>
    <mergeCell ref="B547:B551"/>
    <mergeCell ref="C547:C551"/>
    <mergeCell ref="I547:I551"/>
    <mergeCell ref="B552:B556"/>
    <mergeCell ref="C552:C556"/>
    <mergeCell ref="I552:I556"/>
    <mergeCell ref="B537:B541"/>
    <mergeCell ref="C537:C541"/>
    <mergeCell ref="I537:I541"/>
    <mergeCell ref="B542:B546"/>
    <mergeCell ref="C542:C546"/>
    <mergeCell ref="I542:I546"/>
    <mergeCell ref="B567:B571"/>
    <mergeCell ref="C567:C571"/>
    <mergeCell ref="I567:I571"/>
    <mergeCell ref="B572:B576"/>
    <mergeCell ref="C572:C576"/>
    <mergeCell ref="I572:I576"/>
    <mergeCell ref="B557:B561"/>
    <mergeCell ref="C557:C561"/>
    <mergeCell ref="I557:I561"/>
    <mergeCell ref="B562:B566"/>
    <mergeCell ref="C562:C566"/>
    <mergeCell ref="I562:I566"/>
    <mergeCell ref="B507:B511"/>
    <mergeCell ref="C507:C511"/>
    <mergeCell ref="I507:I511"/>
    <mergeCell ref="B512:B516"/>
    <mergeCell ref="C512:C516"/>
    <mergeCell ref="I512:I516"/>
    <mergeCell ref="B497:B501"/>
    <mergeCell ref="C497:C501"/>
    <mergeCell ref="I497:I501"/>
    <mergeCell ref="B502:B506"/>
    <mergeCell ref="C502:C506"/>
    <mergeCell ref="I502:I506"/>
    <mergeCell ref="B527:B531"/>
    <mergeCell ref="C527:C531"/>
    <mergeCell ref="I527:I531"/>
    <mergeCell ref="B532:B536"/>
    <mergeCell ref="C532:C536"/>
    <mergeCell ref="I532:I536"/>
    <mergeCell ref="B517:B521"/>
    <mergeCell ref="C517:C521"/>
    <mergeCell ref="I517:I521"/>
    <mergeCell ref="B522:B526"/>
    <mergeCell ref="C522:C526"/>
    <mergeCell ref="I522:I526"/>
    <mergeCell ref="B467:B471"/>
    <mergeCell ref="C467:C471"/>
    <mergeCell ref="I467:I471"/>
    <mergeCell ref="B472:B476"/>
    <mergeCell ref="C472:C476"/>
    <mergeCell ref="I472:I476"/>
    <mergeCell ref="B457:B461"/>
    <mergeCell ref="C457:C461"/>
    <mergeCell ref="I457:I461"/>
    <mergeCell ref="B462:B466"/>
    <mergeCell ref="C462:C466"/>
    <mergeCell ref="I462:I466"/>
    <mergeCell ref="B487:B491"/>
    <mergeCell ref="C487:C491"/>
    <mergeCell ref="I487:I491"/>
    <mergeCell ref="B492:B496"/>
    <mergeCell ref="C492:C496"/>
    <mergeCell ref="I492:I496"/>
    <mergeCell ref="B477:B481"/>
    <mergeCell ref="C477:C481"/>
    <mergeCell ref="I477:I481"/>
    <mergeCell ref="B482:B486"/>
    <mergeCell ref="C482:C486"/>
    <mergeCell ref="I482:I486"/>
    <mergeCell ref="B427:B431"/>
    <mergeCell ref="C427:C431"/>
    <mergeCell ref="I427:I431"/>
    <mergeCell ref="B432:B436"/>
    <mergeCell ref="C432:C436"/>
    <mergeCell ref="I432:I436"/>
    <mergeCell ref="B417:B421"/>
    <mergeCell ref="C417:C421"/>
    <mergeCell ref="I417:I421"/>
    <mergeCell ref="B422:B426"/>
    <mergeCell ref="C422:C426"/>
    <mergeCell ref="I422:I426"/>
    <mergeCell ref="B447:B451"/>
    <mergeCell ref="C447:C451"/>
    <mergeCell ref="I447:I451"/>
    <mergeCell ref="B452:B456"/>
    <mergeCell ref="C452:C456"/>
    <mergeCell ref="I452:I456"/>
    <mergeCell ref="B437:B441"/>
    <mergeCell ref="C437:C441"/>
    <mergeCell ref="I437:I441"/>
    <mergeCell ref="B442:B446"/>
    <mergeCell ref="C442:C446"/>
    <mergeCell ref="I442:I446"/>
    <mergeCell ref="B387:B391"/>
    <mergeCell ref="C387:C391"/>
    <mergeCell ref="I387:I391"/>
    <mergeCell ref="B392:B396"/>
    <mergeCell ref="C392:C396"/>
    <mergeCell ref="I392:I396"/>
    <mergeCell ref="B377:B381"/>
    <mergeCell ref="C377:C381"/>
    <mergeCell ref="I377:I381"/>
    <mergeCell ref="B382:B386"/>
    <mergeCell ref="C382:C386"/>
    <mergeCell ref="I382:I386"/>
    <mergeCell ref="B407:B411"/>
    <mergeCell ref="C407:C411"/>
    <mergeCell ref="I407:I411"/>
    <mergeCell ref="B412:B416"/>
    <mergeCell ref="C412:C416"/>
    <mergeCell ref="I412:I416"/>
    <mergeCell ref="B397:B401"/>
    <mergeCell ref="C397:C401"/>
    <mergeCell ref="I397:I401"/>
    <mergeCell ref="B402:B406"/>
    <mergeCell ref="C402:C406"/>
    <mergeCell ref="I402:I406"/>
    <mergeCell ref="B347:B351"/>
    <mergeCell ref="C347:C351"/>
    <mergeCell ref="I347:I351"/>
    <mergeCell ref="B352:B356"/>
    <mergeCell ref="C352:C356"/>
    <mergeCell ref="I352:I356"/>
    <mergeCell ref="B337:B341"/>
    <mergeCell ref="C337:C341"/>
    <mergeCell ref="I337:I341"/>
    <mergeCell ref="B342:B346"/>
    <mergeCell ref="C342:C346"/>
    <mergeCell ref="I342:I346"/>
    <mergeCell ref="B367:B371"/>
    <mergeCell ref="C367:C371"/>
    <mergeCell ref="I367:I371"/>
    <mergeCell ref="B372:B376"/>
    <mergeCell ref="C372:C376"/>
    <mergeCell ref="I372:I376"/>
    <mergeCell ref="B357:B361"/>
    <mergeCell ref="C357:C361"/>
    <mergeCell ref="I357:I361"/>
    <mergeCell ref="B362:B366"/>
    <mergeCell ref="C362:C366"/>
    <mergeCell ref="I362:I366"/>
    <mergeCell ref="B307:B311"/>
    <mergeCell ref="C307:C311"/>
    <mergeCell ref="I307:I311"/>
    <mergeCell ref="B312:B316"/>
    <mergeCell ref="C312:C316"/>
    <mergeCell ref="I312:I316"/>
    <mergeCell ref="B297:B301"/>
    <mergeCell ref="C297:C301"/>
    <mergeCell ref="I297:I301"/>
    <mergeCell ref="B302:B306"/>
    <mergeCell ref="C302:C306"/>
    <mergeCell ref="I302:I306"/>
    <mergeCell ref="B327:B331"/>
    <mergeCell ref="C327:C331"/>
    <mergeCell ref="I327:I331"/>
    <mergeCell ref="B332:B336"/>
    <mergeCell ref="C332:C336"/>
    <mergeCell ref="I332:I336"/>
    <mergeCell ref="B317:B321"/>
    <mergeCell ref="C317:C321"/>
    <mergeCell ref="I317:I321"/>
    <mergeCell ref="B322:B326"/>
    <mergeCell ref="C322:C326"/>
    <mergeCell ref="I322:I326"/>
    <mergeCell ref="B267:B271"/>
    <mergeCell ref="C267:C271"/>
    <mergeCell ref="I267:I271"/>
    <mergeCell ref="B272:B276"/>
    <mergeCell ref="C272:C276"/>
    <mergeCell ref="I272:I276"/>
    <mergeCell ref="B257:B261"/>
    <mergeCell ref="C257:C261"/>
    <mergeCell ref="I257:I261"/>
    <mergeCell ref="B262:B266"/>
    <mergeCell ref="C262:C266"/>
    <mergeCell ref="I262:I266"/>
    <mergeCell ref="B287:B291"/>
    <mergeCell ref="C287:C291"/>
    <mergeCell ref="I287:I291"/>
    <mergeCell ref="B292:B296"/>
    <mergeCell ref="C292:C296"/>
    <mergeCell ref="I292:I296"/>
    <mergeCell ref="B277:B281"/>
    <mergeCell ref="C277:C281"/>
    <mergeCell ref="I277:I281"/>
    <mergeCell ref="B282:B286"/>
    <mergeCell ref="C282:C286"/>
    <mergeCell ref="I282:I286"/>
    <mergeCell ref="B227:B231"/>
    <mergeCell ref="C227:C231"/>
    <mergeCell ref="I227:I231"/>
    <mergeCell ref="B232:B236"/>
    <mergeCell ref="C232:C236"/>
    <mergeCell ref="I232:I236"/>
    <mergeCell ref="B217:B221"/>
    <mergeCell ref="C217:C221"/>
    <mergeCell ref="I217:I221"/>
    <mergeCell ref="B222:B226"/>
    <mergeCell ref="C222:C226"/>
    <mergeCell ref="I222:I226"/>
    <mergeCell ref="B247:B251"/>
    <mergeCell ref="C247:C251"/>
    <mergeCell ref="I247:I251"/>
    <mergeCell ref="B252:B256"/>
    <mergeCell ref="C252:C256"/>
    <mergeCell ref="I252:I256"/>
    <mergeCell ref="B237:B241"/>
    <mergeCell ref="C237:C241"/>
    <mergeCell ref="I237:I241"/>
    <mergeCell ref="B242:B246"/>
    <mergeCell ref="C242:C246"/>
    <mergeCell ref="I242:I246"/>
    <mergeCell ref="B187:B191"/>
    <mergeCell ref="C187:C191"/>
    <mergeCell ref="I187:I191"/>
    <mergeCell ref="B192:B196"/>
    <mergeCell ref="C192:C196"/>
    <mergeCell ref="I192:I196"/>
    <mergeCell ref="B177:B181"/>
    <mergeCell ref="C177:C181"/>
    <mergeCell ref="I177:I181"/>
    <mergeCell ref="B182:B186"/>
    <mergeCell ref="C182:C186"/>
    <mergeCell ref="I182:I186"/>
    <mergeCell ref="B207:B211"/>
    <mergeCell ref="C207:C211"/>
    <mergeCell ref="I207:I211"/>
    <mergeCell ref="B212:B216"/>
    <mergeCell ref="C212:C216"/>
    <mergeCell ref="I212:I216"/>
    <mergeCell ref="B197:B201"/>
    <mergeCell ref="C197:C201"/>
    <mergeCell ref="I197:I201"/>
    <mergeCell ref="B202:B206"/>
    <mergeCell ref="C202:C206"/>
    <mergeCell ref="I202:I206"/>
    <mergeCell ref="B147:B151"/>
    <mergeCell ref="C147:C151"/>
    <mergeCell ref="I147:I151"/>
    <mergeCell ref="B152:B156"/>
    <mergeCell ref="C152:C156"/>
    <mergeCell ref="I152:I156"/>
    <mergeCell ref="B137:B141"/>
    <mergeCell ref="C137:C141"/>
    <mergeCell ref="I137:I141"/>
    <mergeCell ref="B142:B146"/>
    <mergeCell ref="C142:C146"/>
    <mergeCell ref="I142:I146"/>
    <mergeCell ref="B167:B171"/>
    <mergeCell ref="C167:C171"/>
    <mergeCell ref="I167:I171"/>
    <mergeCell ref="B172:B176"/>
    <mergeCell ref="C172:C176"/>
    <mergeCell ref="I172:I176"/>
    <mergeCell ref="B157:B161"/>
    <mergeCell ref="C157:C161"/>
    <mergeCell ref="I157:I161"/>
    <mergeCell ref="B162:B166"/>
    <mergeCell ref="C162:C166"/>
    <mergeCell ref="I162:I166"/>
    <mergeCell ref="B107:B111"/>
    <mergeCell ref="C107:C111"/>
    <mergeCell ref="I107:I111"/>
    <mergeCell ref="B112:B116"/>
    <mergeCell ref="C112:C116"/>
    <mergeCell ref="I112:I116"/>
    <mergeCell ref="B97:B101"/>
    <mergeCell ref="C97:C101"/>
    <mergeCell ref="I97:I101"/>
    <mergeCell ref="B102:B106"/>
    <mergeCell ref="C102:C106"/>
    <mergeCell ref="I102:I106"/>
    <mergeCell ref="B127:B131"/>
    <mergeCell ref="C127:C131"/>
    <mergeCell ref="I127:I131"/>
    <mergeCell ref="B132:B136"/>
    <mergeCell ref="C132:C136"/>
    <mergeCell ref="I132:I136"/>
    <mergeCell ref="B117:B121"/>
    <mergeCell ref="C117:C121"/>
    <mergeCell ref="I117:I121"/>
    <mergeCell ref="B122:B126"/>
    <mergeCell ref="C122:C126"/>
    <mergeCell ref="I122:I126"/>
    <mergeCell ref="B67:B71"/>
    <mergeCell ref="C67:C71"/>
    <mergeCell ref="I67:I71"/>
    <mergeCell ref="B72:B76"/>
    <mergeCell ref="C72:C76"/>
    <mergeCell ref="I72:I76"/>
    <mergeCell ref="B57:B61"/>
    <mergeCell ref="C57:C61"/>
    <mergeCell ref="I57:I61"/>
    <mergeCell ref="B62:B66"/>
    <mergeCell ref="C62:C66"/>
    <mergeCell ref="I62:I66"/>
    <mergeCell ref="B87:B91"/>
    <mergeCell ref="C87:C91"/>
    <mergeCell ref="I87:I91"/>
    <mergeCell ref="B92:B96"/>
    <mergeCell ref="C92:C96"/>
    <mergeCell ref="I92:I96"/>
    <mergeCell ref="B77:B81"/>
    <mergeCell ref="C77:C81"/>
    <mergeCell ref="I77:I81"/>
    <mergeCell ref="B82:B86"/>
    <mergeCell ref="C82:C86"/>
    <mergeCell ref="I82:I86"/>
    <mergeCell ref="B27:B31"/>
    <mergeCell ref="C27:C31"/>
    <mergeCell ref="I27:I31"/>
    <mergeCell ref="B32:B36"/>
    <mergeCell ref="C32:C36"/>
    <mergeCell ref="I32:I36"/>
    <mergeCell ref="B17:B21"/>
    <mergeCell ref="C17:C21"/>
    <mergeCell ref="I17:I21"/>
    <mergeCell ref="B22:B26"/>
    <mergeCell ref="C22:C26"/>
    <mergeCell ref="I22:I26"/>
    <mergeCell ref="B47:B51"/>
    <mergeCell ref="C47:C51"/>
    <mergeCell ref="I47:I51"/>
    <mergeCell ref="B52:B56"/>
    <mergeCell ref="C52:C56"/>
    <mergeCell ref="I52:I56"/>
    <mergeCell ref="B37:B41"/>
    <mergeCell ref="C37:C41"/>
    <mergeCell ref="I37:I41"/>
    <mergeCell ref="B42:B46"/>
    <mergeCell ref="C42:C46"/>
    <mergeCell ref="I42:I46"/>
    <mergeCell ref="J5:J6"/>
    <mergeCell ref="K5:K6"/>
    <mergeCell ref="A5:A6"/>
    <mergeCell ref="B5:B6"/>
    <mergeCell ref="C5:C6"/>
    <mergeCell ref="D5:D6"/>
    <mergeCell ref="E5:E6"/>
    <mergeCell ref="B7:B11"/>
    <mergeCell ref="C7:C11"/>
    <mergeCell ref="I7:I11"/>
    <mergeCell ref="K7:K11"/>
    <mergeCell ref="B12:B16"/>
    <mergeCell ref="C12:C16"/>
    <mergeCell ref="I12:I16"/>
    <mergeCell ref="F5:G5"/>
    <mergeCell ref="H5:H6"/>
    <mergeCell ref="I5:I6"/>
    <mergeCell ref="K57:K61"/>
    <mergeCell ref="K62:K66"/>
    <mergeCell ref="K67:K71"/>
    <mergeCell ref="K72:K76"/>
    <mergeCell ref="K77:K81"/>
    <mergeCell ref="K82:K86"/>
    <mergeCell ref="K87:K91"/>
    <mergeCell ref="K92:K96"/>
    <mergeCell ref="K97:K101"/>
    <mergeCell ref="K12:K16"/>
    <mergeCell ref="K17:K21"/>
    <mergeCell ref="K22:K26"/>
    <mergeCell ref="K27:K31"/>
    <mergeCell ref="K32:K36"/>
    <mergeCell ref="K37:K41"/>
    <mergeCell ref="K42:K46"/>
    <mergeCell ref="K47:K51"/>
    <mergeCell ref="K52:K56"/>
    <mergeCell ref="K147:K151"/>
    <mergeCell ref="K152:K156"/>
    <mergeCell ref="K157:K161"/>
    <mergeCell ref="K162:K166"/>
    <mergeCell ref="K167:K171"/>
    <mergeCell ref="K172:K176"/>
    <mergeCell ref="K177:K181"/>
    <mergeCell ref="K182:K186"/>
    <mergeCell ref="K187:K191"/>
    <mergeCell ref="K102:K106"/>
    <mergeCell ref="K107:K111"/>
    <mergeCell ref="K112:K116"/>
    <mergeCell ref="K117:K121"/>
    <mergeCell ref="K122:K126"/>
    <mergeCell ref="K127:K131"/>
    <mergeCell ref="K132:K136"/>
    <mergeCell ref="K137:K141"/>
    <mergeCell ref="K142:K146"/>
    <mergeCell ref="K237:K241"/>
    <mergeCell ref="K242:K246"/>
    <mergeCell ref="K247:K251"/>
    <mergeCell ref="K252:K256"/>
    <mergeCell ref="K257:K261"/>
    <mergeCell ref="K262:K266"/>
    <mergeCell ref="K267:K271"/>
    <mergeCell ref="K272:K276"/>
    <mergeCell ref="K277:K281"/>
    <mergeCell ref="K192:K196"/>
    <mergeCell ref="K197:K201"/>
    <mergeCell ref="K202:K206"/>
    <mergeCell ref="K207:K211"/>
    <mergeCell ref="K212:K216"/>
    <mergeCell ref="K217:K221"/>
    <mergeCell ref="K222:K226"/>
    <mergeCell ref="K227:K231"/>
    <mergeCell ref="K232:K236"/>
    <mergeCell ref="K327:K331"/>
    <mergeCell ref="K332:K336"/>
    <mergeCell ref="K337:K341"/>
    <mergeCell ref="K342:K346"/>
    <mergeCell ref="K347:K351"/>
    <mergeCell ref="K352:K356"/>
    <mergeCell ref="K357:K361"/>
    <mergeCell ref="K362:K366"/>
    <mergeCell ref="K367:K371"/>
    <mergeCell ref="K282:K286"/>
    <mergeCell ref="K287:K291"/>
    <mergeCell ref="K292:K296"/>
    <mergeCell ref="K297:K301"/>
    <mergeCell ref="K302:K306"/>
    <mergeCell ref="K307:K311"/>
    <mergeCell ref="K312:K316"/>
    <mergeCell ref="K317:K321"/>
    <mergeCell ref="K322:K326"/>
    <mergeCell ref="K417:K421"/>
    <mergeCell ref="K422:K426"/>
    <mergeCell ref="K427:K431"/>
    <mergeCell ref="K432:K436"/>
    <mergeCell ref="K437:K441"/>
    <mergeCell ref="K442:K446"/>
    <mergeCell ref="K447:K451"/>
    <mergeCell ref="K452:K456"/>
    <mergeCell ref="K457:K461"/>
    <mergeCell ref="K372:K376"/>
    <mergeCell ref="K377:K381"/>
    <mergeCell ref="K382:K386"/>
    <mergeCell ref="K387:K391"/>
    <mergeCell ref="K392:K396"/>
    <mergeCell ref="K397:K401"/>
    <mergeCell ref="K402:K406"/>
    <mergeCell ref="K407:K411"/>
    <mergeCell ref="K412:K416"/>
    <mergeCell ref="K507:K511"/>
    <mergeCell ref="K512:K516"/>
    <mergeCell ref="K517:K521"/>
    <mergeCell ref="K522:K526"/>
    <mergeCell ref="K527:K531"/>
    <mergeCell ref="K532:K536"/>
    <mergeCell ref="K537:K541"/>
    <mergeCell ref="K542:K546"/>
    <mergeCell ref="K547:K551"/>
    <mergeCell ref="K462:K466"/>
    <mergeCell ref="K467:K471"/>
    <mergeCell ref="K472:K476"/>
    <mergeCell ref="K477:K481"/>
    <mergeCell ref="K482:K486"/>
    <mergeCell ref="K487:K491"/>
    <mergeCell ref="K492:K496"/>
    <mergeCell ref="K497:K501"/>
    <mergeCell ref="K502:K506"/>
    <mergeCell ref="K597:K601"/>
    <mergeCell ref="K602:K606"/>
    <mergeCell ref="K607:K611"/>
    <mergeCell ref="K612:K616"/>
    <mergeCell ref="K617:K621"/>
    <mergeCell ref="K622:K626"/>
    <mergeCell ref="K627:K631"/>
    <mergeCell ref="K632:K636"/>
    <mergeCell ref="K637:K641"/>
    <mergeCell ref="K552:K556"/>
    <mergeCell ref="K557:K561"/>
    <mergeCell ref="K562:K566"/>
    <mergeCell ref="K567:K571"/>
    <mergeCell ref="K572:K576"/>
    <mergeCell ref="K577:K581"/>
    <mergeCell ref="K582:K586"/>
    <mergeCell ref="K587:K591"/>
    <mergeCell ref="K592:K596"/>
    <mergeCell ref="K687:K691"/>
    <mergeCell ref="K692:K696"/>
    <mergeCell ref="K697:K701"/>
    <mergeCell ref="K702:K706"/>
    <mergeCell ref="K707:K711"/>
    <mergeCell ref="K712:K716"/>
    <mergeCell ref="K717:K721"/>
    <mergeCell ref="K722:K726"/>
    <mergeCell ref="K727:K731"/>
    <mergeCell ref="K642:K646"/>
    <mergeCell ref="K647:K651"/>
    <mergeCell ref="K652:K656"/>
    <mergeCell ref="K657:K661"/>
    <mergeCell ref="K662:K666"/>
    <mergeCell ref="K667:K671"/>
    <mergeCell ref="K672:K676"/>
    <mergeCell ref="K677:K681"/>
    <mergeCell ref="K682:K686"/>
    <mergeCell ref="K777:K781"/>
    <mergeCell ref="K782:K786"/>
    <mergeCell ref="K787:K791"/>
    <mergeCell ref="K792:K796"/>
    <mergeCell ref="K797:K801"/>
    <mergeCell ref="K802:K806"/>
    <mergeCell ref="K807:K811"/>
    <mergeCell ref="K812:K816"/>
    <mergeCell ref="K817:K821"/>
    <mergeCell ref="K732:K736"/>
    <mergeCell ref="K737:K741"/>
    <mergeCell ref="K742:K746"/>
    <mergeCell ref="K747:K751"/>
    <mergeCell ref="K752:K756"/>
    <mergeCell ref="K757:K761"/>
    <mergeCell ref="K762:K766"/>
    <mergeCell ref="K767:K771"/>
    <mergeCell ref="K772:K776"/>
    <mergeCell ref="K867:K871"/>
    <mergeCell ref="K872:K876"/>
    <mergeCell ref="K877:K881"/>
    <mergeCell ref="K882:K886"/>
    <mergeCell ref="K887:K891"/>
    <mergeCell ref="K892:K896"/>
    <mergeCell ref="K897:K901"/>
    <mergeCell ref="K902:K906"/>
    <mergeCell ref="K907:K911"/>
    <mergeCell ref="K822:K826"/>
    <mergeCell ref="K827:K831"/>
    <mergeCell ref="K832:K836"/>
    <mergeCell ref="K837:K841"/>
    <mergeCell ref="K842:K846"/>
    <mergeCell ref="K847:K851"/>
    <mergeCell ref="K852:K856"/>
    <mergeCell ref="K857:K861"/>
    <mergeCell ref="K862:K866"/>
    <mergeCell ref="K957:K961"/>
    <mergeCell ref="K962:K966"/>
    <mergeCell ref="K967:K971"/>
    <mergeCell ref="K972:K976"/>
    <mergeCell ref="K977:K981"/>
    <mergeCell ref="K982:K986"/>
    <mergeCell ref="K987:K991"/>
    <mergeCell ref="K992:K996"/>
    <mergeCell ref="K997:K1001"/>
    <mergeCell ref="K912:K916"/>
    <mergeCell ref="K917:K921"/>
    <mergeCell ref="K922:K926"/>
    <mergeCell ref="K927:K931"/>
    <mergeCell ref="K932:K936"/>
    <mergeCell ref="K937:K941"/>
    <mergeCell ref="K942:K946"/>
    <mergeCell ref="K947:K951"/>
    <mergeCell ref="K952:K956"/>
    <mergeCell ref="K1047:K1051"/>
    <mergeCell ref="K1052:K1056"/>
    <mergeCell ref="K1057:K1061"/>
    <mergeCell ref="K1062:K1066"/>
    <mergeCell ref="K1067:K1071"/>
    <mergeCell ref="K1072:K1076"/>
    <mergeCell ref="K1077:K1081"/>
    <mergeCell ref="K1082:K1086"/>
    <mergeCell ref="K1087:K1091"/>
    <mergeCell ref="K1002:K1006"/>
    <mergeCell ref="K1007:K1011"/>
    <mergeCell ref="K1012:K1016"/>
    <mergeCell ref="K1017:K1021"/>
    <mergeCell ref="K1022:K1026"/>
    <mergeCell ref="K1027:K1031"/>
    <mergeCell ref="K1032:K1036"/>
    <mergeCell ref="K1037:K1041"/>
    <mergeCell ref="K1042:K1046"/>
    <mergeCell ref="K1137:K1141"/>
    <mergeCell ref="K1142:K1146"/>
    <mergeCell ref="K1147:K1151"/>
    <mergeCell ref="K1152:K1156"/>
    <mergeCell ref="K1157:K1161"/>
    <mergeCell ref="K1162:K1166"/>
    <mergeCell ref="K1167:K1171"/>
    <mergeCell ref="K1172:K1176"/>
    <mergeCell ref="K1177:K1181"/>
    <mergeCell ref="K1092:K1096"/>
    <mergeCell ref="K1097:K1101"/>
    <mergeCell ref="K1102:K1106"/>
    <mergeCell ref="K1107:K1111"/>
    <mergeCell ref="K1112:K1116"/>
    <mergeCell ref="K1117:K1121"/>
    <mergeCell ref="K1122:K1126"/>
    <mergeCell ref="K1127:K1131"/>
    <mergeCell ref="K1132:K1136"/>
    <mergeCell ref="K1227:K1231"/>
    <mergeCell ref="K1232:K1236"/>
    <mergeCell ref="K1237:K1241"/>
    <mergeCell ref="K1242:K1246"/>
    <mergeCell ref="K1247:K1251"/>
    <mergeCell ref="K1252:K1256"/>
    <mergeCell ref="K1257:K1261"/>
    <mergeCell ref="K1262:K1266"/>
    <mergeCell ref="K1267:K1271"/>
    <mergeCell ref="K1182:K1186"/>
    <mergeCell ref="K1187:K1191"/>
    <mergeCell ref="K1192:K1196"/>
    <mergeCell ref="K1197:K1201"/>
    <mergeCell ref="K1202:K1206"/>
    <mergeCell ref="K1207:K1211"/>
    <mergeCell ref="K1212:K1216"/>
    <mergeCell ref="K1217:K1221"/>
    <mergeCell ref="K1222:K1226"/>
    <mergeCell ref="K1317:K1321"/>
    <mergeCell ref="K1322:K1326"/>
    <mergeCell ref="K1327:K1331"/>
    <mergeCell ref="K1332:K1336"/>
    <mergeCell ref="K1337:K1341"/>
    <mergeCell ref="K1342:K1346"/>
    <mergeCell ref="K1347:K1351"/>
    <mergeCell ref="K1352:K1356"/>
    <mergeCell ref="K1357:K1361"/>
    <mergeCell ref="K1272:K1276"/>
    <mergeCell ref="K1277:K1281"/>
    <mergeCell ref="K1282:K1286"/>
    <mergeCell ref="K1287:K1291"/>
    <mergeCell ref="K1292:K1296"/>
    <mergeCell ref="K1297:K1301"/>
    <mergeCell ref="K1302:K1306"/>
    <mergeCell ref="K1307:K1311"/>
    <mergeCell ref="K1312:K1316"/>
    <mergeCell ref="K1452:K1456"/>
    <mergeCell ref="K1407:K1411"/>
    <mergeCell ref="K1412:K1416"/>
    <mergeCell ref="K1417:K1421"/>
    <mergeCell ref="K1422:K1426"/>
    <mergeCell ref="K1427:K1431"/>
    <mergeCell ref="K1432:K1436"/>
    <mergeCell ref="K1437:K1441"/>
    <mergeCell ref="K1442:K1446"/>
    <mergeCell ref="K1447:K1451"/>
    <mergeCell ref="K1362:K1366"/>
    <mergeCell ref="K1367:K1371"/>
    <mergeCell ref="K1372:K1376"/>
    <mergeCell ref="K1377:K1381"/>
    <mergeCell ref="K1382:K1386"/>
    <mergeCell ref="K1387:K1391"/>
    <mergeCell ref="K1392:K1396"/>
    <mergeCell ref="K1397:K1401"/>
    <mergeCell ref="K1402:K1406"/>
  </mergeCells>
  <phoneticPr fontId="2"/>
  <conditionalFormatting sqref="J7:J145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{52AF08A1-37AF-43C0-9540-7F3F925A8D9F}</x14:id>
        </ext>
      </extLst>
    </cfRule>
  </conditionalFormatting>
  <conditionalFormatting sqref="J22:J145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{AFFF2188-C040-4A2B-973D-B894B5D16CBA}</x14:id>
        </ext>
      </extLst>
    </cfRule>
  </conditionalFormatting>
  <printOptions horizontalCentered="1"/>
  <pageMargins left="0.11811023622047245" right="0.11811023622047245" top="0.39370078740157483" bottom="0.27559055118110237" header="0.11811023622047245" footer="0.11811023622047245"/>
  <pageSetup paperSize="8" scale="74" orientation="portrait" r:id="rId1"/>
  <headerFooter>
    <oddHeader>&amp;C&amp;"Meiryo UI,太字"&amp;14&lt;  2404_ログイン回数_3モジュール_5職種 &gt;</oddHeader>
    <oddFooter>&amp;P / &amp;N ページ</oddFooter>
  </headerFooter>
  <rowBreaks count="18" manualBreakCount="18">
    <brk id="81" max="16383" man="1"/>
    <brk id="161" max="16383" man="1"/>
    <brk id="241" max="14" man="1"/>
    <brk id="321" max="16383" man="1"/>
    <brk id="401" max="16383" man="1"/>
    <brk id="481" max="16383" man="1"/>
    <brk id="561" max="16383" man="1"/>
    <brk id="641" max="16383" man="1"/>
    <brk id="721" max="16383" man="1"/>
    <brk id="801" max="16383" man="1"/>
    <brk id="881" max="16383" man="1"/>
    <brk id="961" max="16383" man="1"/>
    <brk id="1041" max="16383" man="1"/>
    <brk id="1121" max="16383" man="1"/>
    <brk id="1201" max="16383" man="1"/>
    <brk id="1281" max="16383" man="1"/>
    <brk id="1361" max="16383" man="1"/>
    <brk id="1441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AF08A1-37AF-43C0-9540-7F3F925A8D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J7:J1456</xm:sqref>
        </x14:conditionalFormatting>
        <x14:conditionalFormatting xmlns:xm="http://schemas.microsoft.com/office/excel/2006/main">
          <x14:cfRule type="dataBar" id="{AFFF2188-C040-4A2B-973D-B894B5D16C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J22:J1456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9" tint="0.39997558519241921"/>
  </sheetPr>
  <dimension ref="A1:C1451"/>
  <sheetViews>
    <sheetView workbookViewId="0">
      <pane ySplit="1" topLeftCell="A2" activePane="bottomLeft" state="frozen"/>
      <selection pane="bottomLeft" activeCell="C3" sqref="C3"/>
    </sheetView>
  </sheetViews>
  <sheetFormatPr defaultRowHeight="15" x14ac:dyDescent="0.45"/>
  <cols>
    <col min="1" max="1" width="14.3984375" style="5" bestFit="1" customWidth="1"/>
    <col min="2" max="2" width="24.19921875" style="5" bestFit="1" customWidth="1"/>
    <col min="3" max="3" width="10.796875" style="25" bestFit="1" customWidth="1"/>
    <col min="4" max="4" width="8.796875" style="5"/>
    <col min="5" max="5" width="17.69921875" style="5" customWidth="1"/>
    <col min="6" max="6" width="23.3984375" style="5" customWidth="1"/>
    <col min="7" max="16384" width="8.796875" style="5"/>
  </cols>
  <sheetData>
    <row r="1" spans="1:3" ht="38.4" customHeight="1" x14ac:dyDescent="0.45">
      <c r="A1" s="4" t="s">
        <v>171</v>
      </c>
      <c r="B1" s="4" t="s">
        <v>325</v>
      </c>
      <c r="C1" s="24" t="s">
        <v>324</v>
      </c>
    </row>
    <row r="2" spans="1:3" ht="18" customHeight="1" x14ac:dyDescent="0.45">
      <c r="A2" s="6" t="s">
        <v>0</v>
      </c>
      <c r="B2" s="6" t="s">
        <v>1</v>
      </c>
      <c r="C2" s="27">
        <f>_xlfn.XLOOKUP(B2,'職種別 (2種)'!C:C,'職種別 (2種)'!K:K)</f>
        <v>6</v>
      </c>
    </row>
    <row r="3" spans="1:3" ht="18" customHeight="1" x14ac:dyDescent="0.45">
      <c r="A3" s="6" t="s">
        <v>0</v>
      </c>
      <c r="B3" s="6" t="s">
        <v>192</v>
      </c>
      <c r="C3" s="27">
        <f>_xlfn.XLOOKUP(B3,'職種別 (2種)'!C:C,'職種別 (2種)'!K:K)</f>
        <v>6</v>
      </c>
    </row>
    <row r="4" spans="1:3" ht="18" customHeight="1" x14ac:dyDescent="0.45">
      <c r="A4" s="6" t="s">
        <v>0</v>
      </c>
      <c r="B4" s="6" t="s">
        <v>193</v>
      </c>
      <c r="C4" s="27">
        <f>_xlfn.XLOOKUP(B4,'職種別 (2種)'!C:C,'職種別 (2種)'!K:K)</f>
        <v>6</v>
      </c>
    </row>
    <row r="5" spans="1:3" ht="18" customHeight="1" x14ac:dyDescent="0.45">
      <c r="A5" s="6" t="s">
        <v>0</v>
      </c>
      <c r="B5" s="6" t="s">
        <v>7</v>
      </c>
      <c r="C5" s="27">
        <f>_xlfn.XLOOKUP(B5,'職種別 (2種)'!C:C,'職種別 (2種)'!K:K)</f>
        <v>6</v>
      </c>
    </row>
    <row r="6" spans="1:3" ht="18" customHeight="1" x14ac:dyDescent="0.45">
      <c r="A6" s="6" t="s">
        <v>0</v>
      </c>
      <c r="B6" s="6" t="s">
        <v>194</v>
      </c>
      <c r="C6" s="27">
        <f>_xlfn.XLOOKUP(B6,'職種別 (2種)'!C:C,'職種別 (2種)'!K:K)</f>
        <v>4</v>
      </c>
    </row>
    <row r="7" spans="1:3" ht="18" customHeight="1" x14ac:dyDescent="0.45">
      <c r="A7" s="6" t="s">
        <v>0</v>
      </c>
      <c r="B7" s="6" t="s">
        <v>195</v>
      </c>
      <c r="C7" s="27">
        <f>_xlfn.XLOOKUP(B7,'職種別 (2種)'!C:C,'職種別 (2種)'!K:K)</f>
        <v>10</v>
      </c>
    </row>
    <row r="8" spans="1:3" ht="18" customHeight="1" x14ac:dyDescent="0.45">
      <c r="A8" s="6" t="s">
        <v>8</v>
      </c>
      <c r="B8" s="6" t="s">
        <v>9</v>
      </c>
      <c r="C8" s="27">
        <f>_xlfn.XLOOKUP(B8,'職種別 (2種)'!C:C,'職種別 (2種)'!K:K)</f>
        <v>10</v>
      </c>
    </row>
    <row r="9" spans="1:3" ht="18" customHeight="1" x14ac:dyDescent="0.45">
      <c r="A9" s="6" t="s">
        <v>8</v>
      </c>
      <c r="B9" s="6" t="s">
        <v>196</v>
      </c>
      <c r="C9" s="27">
        <f>_xlfn.XLOOKUP(B9,'職種別 (2種)'!C:C,'職種別 (2種)'!K:K)</f>
        <v>8</v>
      </c>
    </row>
    <row r="10" spans="1:3" ht="18" customHeight="1" x14ac:dyDescent="0.45">
      <c r="A10" s="6" t="s">
        <v>8</v>
      </c>
      <c r="B10" s="6" t="s">
        <v>197</v>
      </c>
      <c r="C10" s="27">
        <f>_xlfn.XLOOKUP(B10,'職種別 (2種)'!C:C,'職種別 (2種)'!K:K)</f>
        <v>7</v>
      </c>
    </row>
    <row r="11" spans="1:3" ht="18" customHeight="1" x14ac:dyDescent="0.45">
      <c r="A11" s="6" t="s">
        <v>8</v>
      </c>
      <c r="B11" s="6" t="s">
        <v>10</v>
      </c>
      <c r="C11" s="27">
        <f>_xlfn.XLOOKUP(B11,'職種別 (2種)'!C:C,'職種別 (2種)'!K:K)</f>
        <v>4</v>
      </c>
    </row>
    <row r="12" spans="1:3" ht="18" customHeight="1" x14ac:dyDescent="0.45">
      <c r="A12" s="6" t="s">
        <v>8</v>
      </c>
      <c r="B12" s="6" t="s">
        <v>11</v>
      </c>
      <c r="C12" s="27">
        <f>_xlfn.XLOOKUP(B12,'職種別 (2種)'!C:C,'職種別 (2種)'!K:K)</f>
        <v>5</v>
      </c>
    </row>
    <row r="13" spans="1:3" ht="18" customHeight="1" x14ac:dyDescent="0.45">
      <c r="A13" s="6" t="s">
        <v>8</v>
      </c>
      <c r="B13" s="6" t="s">
        <v>12</v>
      </c>
      <c r="C13" s="27">
        <f>_xlfn.XLOOKUP(B13,'職種別 (2種)'!C:C,'職種別 (2種)'!K:K)</f>
        <v>3</v>
      </c>
    </row>
    <row r="14" spans="1:3" ht="18" customHeight="1" x14ac:dyDescent="0.45">
      <c r="A14" s="6" t="s">
        <v>8</v>
      </c>
      <c r="B14" s="6" t="s">
        <v>13</v>
      </c>
      <c r="C14" s="27">
        <f>_xlfn.XLOOKUP(B14,'職種別 (2種)'!C:C,'職種別 (2種)'!K:K)</f>
        <v>4</v>
      </c>
    </row>
    <row r="15" spans="1:3" ht="18" customHeight="1" x14ac:dyDescent="0.45">
      <c r="A15" s="6" t="s">
        <v>8</v>
      </c>
      <c r="B15" s="6" t="s">
        <v>198</v>
      </c>
      <c r="C15" s="27">
        <f>_xlfn.XLOOKUP(B15,'職種別 (2種)'!C:C,'職種別 (2種)'!K:K)</f>
        <v>8</v>
      </c>
    </row>
    <row r="16" spans="1:3" ht="18" customHeight="1" x14ac:dyDescent="0.45">
      <c r="A16" s="6" t="s">
        <v>8</v>
      </c>
      <c r="B16" s="6" t="s">
        <v>14</v>
      </c>
      <c r="C16" s="27">
        <f>_xlfn.XLOOKUP(B16,'職種別 (2種)'!C:C,'職種別 (2種)'!K:K)</f>
        <v>5</v>
      </c>
    </row>
    <row r="17" spans="1:3" ht="18" customHeight="1" x14ac:dyDescent="0.45">
      <c r="A17" s="6" t="s">
        <v>8</v>
      </c>
      <c r="B17" s="6" t="s">
        <v>199</v>
      </c>
      <c r="C17" s="27">
        <f>_xlfn.XLOOKUP(B17,'職種別 (2種)'!C:C,'職種別 (2種)'!K:K)</f>
        <v>6</v>
      </c>
    </row>
    <row r="18" spans="1:3" ht="18" customHeight="1" x14ac:dyDescent="0.45">
      <c r="A18" s="6" t="s">
        <v>8</v>
      </c>
      <c r="B18" s="6" t="s">
        <v>15</v>
      </c>
      <c r="C18" s="27">
        <f>_xlfn.XLOOKUP(B18,'職種別 (2種)'!C:C,'職種別 (2種)'!K:K)</f>
        <v>1</v>
      </c>
    </row>
    <row r="19" spans="1:3" ht="18" customHeight="1" x14ac:dyDescent="0.45">
      <c r="A19" s="6" t="s">
        <v>8</v>
      </c>
      <c r="B19" s="6" t="s">
        <v>16</v>
      </c>
      <c r="C19" s="27">
        <f>_xlfn.XLOOKUP(B19,'職種別 (2種)'!C:C,'職種別 (2種)'!K:K)</f>
        <v>4</v>
      </c>
    </row>
    <row r="20" spans="1:3" ht="18" customHeight="1" x14ac:dyDescent="0.45">
      <c r="A20" s="6" t="s">
        <v>8</v>
      </c>
      <c r="B20" s="6" t="s">
        <v>200</v>
      </c>
      <c r="C20" s="27">
        <f>_xlfn.XLOOKUP(B20,'職種別 (2種)'!C:C,'職種別 (2種)'!K:K)</f>
        <v>6</v>
      </c>
    </row>
    <row r="21" spans="1:3" ht="18" customHeight="1" x14ac:dyDescent="0.45">
      <c r="A21" s="6" t="s">
        <v>8</v>
      </c>
      <c r="B21" s="6" t="s">
        <v>17</v>
      </c>
      <c r="C21" s="27">
        <f>_xlfn.XLOOKUP(B21,'職種別 (2種)'!C:C,'職種別 (2種)'!K:K)</f>
        <v>6</v>
      </c>
    </row>
    <row r="22" spans="1:3" ht="18" customHeight="1" x14ac:dyDescent="0.45">
      <c r="A22" s="6" t="s">
        <v>8</v>
      </c>
      <c r="B22" s="6" t="s">
        <v>201</v>
      </c>
      <c r="C22" s="27">
        <f>_xlfn.XLOOKUP(B22,'職種別 (2種)'!C:C,'職種別 (2種)'!K:K)</f>
        <v>5</v>
      </c>
    </row>
    <row r="23" spans="1:3" ht="18" customHeight="1" x14ac:dyDescent="0.45">
      <c r="A23" s="6" t="s">
        <v>8</v>
      </c>
      <c r="B23" s="6" t="s">
        <v>202</v>
      </c>
      <c r="C23" s="27">
        <f>_xlfn.XLOOKUP(B23,'職種別 (2種)'!C:C,'職種別 (2種)'!K:K)</f>
        <v>5</v>
      </c>
    </row>
    <row r="24" spans="1:3" ht="18" customHeight="1" x14ac:dyDescent="0.45">
      <c r="A24" s="6" t="s">
        <v>8</v>
      </c>
      <c r="B24" s="6" t="s">
        <v>18</v>
      </c>
      <c r="C24" s="27">
        <f>_xlfn.XLOOKUP(B24,'職種別 (2種)'!C:C,'職種別 (2種)'!K:K)</f>
        <v>6</v>
      </c>
    </row>
    <row r="25" spans="1:3" ht="18" customHeight="1" x14ac:dyDescent="0.45">
      <c r="A25" s="6" t="s">
        <v>8</v>
      </c>
      <c r="B25" s="6" t="s">
        <v>203</v>
      </c>
      <c r="C25" s="27">
        <f>_xlfn.XLOOKUP(B25,'職種別 (2種)'!C:C,'職種別 (2種)'!K:K)</f>
        <v>3</v>
      </c>
    </row>
    <row r="26" spans="1:3" ht="18" customHeight="1" x14ac:dyDescent="0.45">
      <c r="A26" s="6" t="s">
        <v>8</v>
      </c>
      <c r="B26" s="6" t="s">
        <v>19</v>
      </c>
      <c r="C26" s="27">
        <f>_xlfn.XLOOKUP(B26,'職種別 (2種)'!C:C,'職種別 (2種)'!K:K)</f>
        <v>6</v>
      </c>
    </row>
    <row r="27" spans="1:3" ht="18" customHeight="1" x14ac:dyDescent="0.45">
      <c r="A27" s="6" t="s">
        <v>8</v>
      </c>
      <c r="B27" s="6" t="s">
        <v>204</v>
      </c>
      <c r="C27" s="27">
        <f>_xlfn.XLOOKUP(B27,'職種別 (2種)'!C:C,'職種別 (2種)'!K:K)</f>
        <v>7</v>
      </c>
    </row>
    <row r="28" spans="1:3" ht="18" customHeight="1" x14ac:dyDescent="0.45">
      <c r="A28" s="6" t="s">
        <v>8</v>
      </c>
      <c r="B28" s="6" t="s">
        <v>20</v>
      </c>
      <c r="C28" s="27">
        <f>_xlfn.XLOOKUP(B28,'職種別 (2種)'!C:C,'職種別 (2種)'!K:K)</f>
        <v>5</v>
      </c>
    </row>
    <row r="29" spans="1:3" ht="18" customHeight="1" x14ac:dyDescent="0.45">
      <c r="A29" s="6" t="s">
        <v>8</v>
      </c>
      <c r="B29" s="6" t="s">
        <v>21</v>
      </c>
      <c r="C29" s="27">
        <f>_xlfn.XLOOKUP(B29,'職種別 (2種)'!C:C,'職種別 (2種)'!K:K)</f>
        <v>4</v>
      </c>
    </row>
    <row r="30" spans="1:3" ht="18" customHeight="1" x14ac:dyDescent="0.45">
      <c r="A30" s="6" t="s">
        <v>8</v>
      </c>
      <c r="B30" s="6" t="s">
        <v>205</v>
      </c>
      <c r="C30" s="27">
        <f>_xlfn.XLOOKUP(B30,'職種別 (2種)'!C:C,'職種別 (2種)'!K:K)</f>
        <v>7</v>
      </c>
    </row>
    <row r="31" spans="1:3" ht="18" customHeight="1" x14ac:dyDescent="0.45">
      <c r="A31" s="6" t="s">
        <v>8</v>
      </c>
      <c r="B31" s="6" t="s">
        <v>206</v>
      </c>
      <c r="C31" s="27">
        <f>_xlfn.XLOOKUP(B31,'職種別 (2種)'!C:C,'職種別 (2種)'!K:K)</f>
        <v>3</v>
      </c>
    </row>
    <row r="32" spans="1:3" ht="18" customHeight="1" x14ac:dyDescent="0.45">
      <c r="A32" s="6" t="s">
        <v>8</v>
      </c>
      <c r="B32" s="6" t="s">
        <v>22</v>
      </c>
      <c r="C32" s="27">
        <f>_xlfn.XLOOKUP(B32,'職種別 (2種)'!C:C,'職種別 (2種)'!K:K)</f>
        <v>5</v>
      </c>
    </row>
    <row r="33" spans="1:3" ht="18" customHeight="1" x14ac:dyDescent="0.45">
      <c r="A33" s="6" t="s">
        <v>8</v>
      </c>
      <c r="B33" s="6" t="s">
        <v>207</v>
      </c>
      <c r="C33" s="27">
        <f>_xlfn.XLOOKUP(B33,'職種別 (2種)'!C:C,'職種別 (2種)'!K:K)</f>
        <v>5</v>
      </c>
    </row>
    <row r="34" spans="1:3" ht="18" customHeight="1" x14ac:dyDescent="0.45">
      <c r="A34" s="6" t="s">
        <v>8</v>
      </c>
      <c r="B34" s="6" t="s">
        <v>208</v>
      </c>
      <c r="C34" s="27">
        <f>_xlfn.XLOOKUP(B34,'職種別 (2種)'!C:C,'職種別 (2種)'!K:K)</f>
        <v>4</v>
      </c>
    </row>
    <row r="35" spans="1:3" ht="18" customHeight="1" x14ac:dyDescent="0.45">
      <c r="A35" s="6" t="s">
        <v>8</v>
      </c>
      <c r="B35" s="6" t="s">
        <v>209</v>
      </c>
      <c r="C35" s="27">
        <f>_xlfn.XLOOKUP(B35,'職種別 (2種)'!C:C,'職種別 (2種)'!K:K)</f>
        <v>8</v>
      </c>
    </row>
    <row r="36" spans="1:3" ht="18" customHeight="1" x14ac:dyDescent="0.45">
      <c r="A36" s="6" t="s">
        <v>8</v>
      </c>
      <c r="B36" s="6" t="s">
        <v>210</v>
      </c>
      <c r="C36" s="27">
        <f>_xlfn.XLOOKUP(B36,'職種別 (2種)'!C:C,'職種別 (2種)'!K:K)</f>
        <v>3</v>
      </c>
    </row>
    <row r="37" spans="1:3" ht="18" customHeight="1" x14ac:dyDescent="0.45">
      <c r="A37" s="6" t="s">
        <v>8</v>
      </c>
      <c r="B37" s="6" t="s">
        <v>23</v>
      </c>
      <c r="C37" s="27">
        <f>_xlfn.XLOOKUP(B37,'職種別 (2種)'!C:C,'職種別 (2種)'!K:K)</f>
        <v>6</v>
      </c>
    </row>
    <row r="38" spans="1:3" ht="18" customHeight="1" x14ac:dyDescent="0.45">
      <c r="A38" s="6" t="s">
        <v>8</v>
      </c>
      <c r="B38" s="6" t="s">
        <v>24</v>
      </c>
      <c r="C38" s="27">
        <f>_xlfn.XLOOKUP(B38,'職種別 (2種)'!C:C,'職種別 (2種)'!K:K)</f>
        <v>6</v>
      </c>
    </row>
    <row r="39" spans="1:3" ht="18" customHeight="1" x14ac:dyDescent="0.45">
      <c r="A39" s="6" t="s">
        <v>8</v>
      </c>
      <c r="B39" s="6" t="s">
        <v>25</v>
      </c>
      <c r="C39" s="27">
        <f>_xlfn.XLOOKUP(B39,'職種別 (2種)'!C:C,'職種別 (2種)'!K:K)</f>
        <v>6</v>
      </c>
    </row>
    <row r="40" spans="1:3" ht="18" customHeight="1" x14ac:dyDescent="0.45">
      <c r="A40" s="6" t="s">
        <v>8</v>
      </c>
      <c r="B40" s="6" t="s">
        <v>211</v>
      </c>
      <c r="C40" s="27">
        <f>_xlfn.XLOOKUP(B40,'職種別 (2種)'!C:C,'職種別 (2種)'!K:K)</f>
        <v>6</v>
      </c>
    </row>
    <row r="41" spans="1:3" ht="18" customHeight="1" x14ac:dyDescent="0.45">
      <c r="A41" s="6" t="s">
        <v>8</v>
      </c>
      <c r="B41" s="6" t="s">
        <v>26</v>
      </c>
      <c r="C41" s="27">
        <f>_xlfn.XLOOKUP(B41,'職種別 (2種)'!C:C,'職種別 (2種)'!K:K)</f>
        <v>2</v>
      </c>
    </row>
    <row r="42" spans="1:3" ht="18" customHeight="1" x14ac:dyDescent="0.45">
      <c r="A42" s="26" t="s">
        <v>8</v>
      </c>
      <c r="B42" s="26" t="s">
        <v>27</v>
      </c>
      <c r="C42" s="27">
        <f>_xlfn.XLOOKUP(B42,'職種別 (2種)'!C:C,'職種別 (2種)'!K:K)</f>
        <v>9</v>
      </c>
    </row>
    <row r="43" spans="1:3" ht="18" customHeight="1" x14ac:dyDescent="0.45">
      <c r="A43" s="26" t="s">
        <v>8</v>
      </c>
      <c r="B43" s="26" t="s">
        <v>28</v>
      </c>
      <c r="C43" s="27">
        <f>_xlfn.XLOOKUP(B43,'職種別 (2種)'!C:C,'職種別 (2種)'!K:K)</f>
        <v>8</v>
      </c>
    </row>
    <row r="44" spans="1:3" ht="18" customHeight="1" x14ac:dyDescent="0.45">
      <c r="A44" s="26" t="s">
        <v>8</v>
      </c>
      <c r="B44" s="26" t="s">
        <v>29</v>
      </c>
      <c r="C44" s="27">
        <f>_xlfn.XLOOKUP(B44,'職種別 (2種)'!C:C,'職種別 (2種)'!K:K)</f>
        <v>4</v>
      </c>
    </row>
    <row r="45" spans="1:3" ht="18" customHeight="1" x14ac:dyDescent="0.45">
      <c r="A45" s="26" t="s">
        <v>8</v>
      </c>
      <c r="B45" s="26" t="s">
        <v>212</v>
      </c>
      <c r="C45" s="27">
        <f>_xlfn.XLOOKUP(B45,'職種別 (2種)'!C:C,'職種別 (2種)'!K:K)</f>
        <v>6</v>
      </c>
    </row>
    <row r="46" spans="1:3" ht="18" customHeight="1" x14ac:dyDescent="0.45">
      <c r="A46" s="26" t="s">
        <v>8</v>
      </c>
      <c r="B46" s="26" t="s">
        <v>213</v>
      </c>
      <c r="C46" s="27">
        <f>_xlfn.XLOOKUP(B46,'職種別 (2種)'!C:C,'職種別 (2種)'!K:K)</f>
        <v>9</v>
      </c>
    </row>
    <row r="47" spans="1:3" ht="18" customHeight="1" x14ac:dyDescent="0.45">
      <c r="A47" s="26" t="s">
        <v>8</v>
      </c>
      <c r="B47" s="26" t="s">
        <v>30</v>
      </c>
      <c r="C47" s="27">
        <f>_xlfn.XLOOKUP(B47,'職種別 (2種)'!C:C,'職種別 (2種)'!K:K)</f>
        <v>10</v>
      </c>
    </row>
    <row r="48" spans="1:3" ht="18" customHeight="1" x14ac:dyDescent="0.45">
      <c r="A48" s="26" t="s">
        <v>8</v>
      </c>
      <c r="B48" s="26" t="s">
        <v>214</v>
      </c>
      <c r="C48" s="27">
        <f>_xlfn.XLOOKUP(B48,'職種別 (2種)'!C:C,'職種別 (2種)'!K:K)</f>
        <v>8</v>
      </c>
    </row>
    <row r="49" spans="1:3" ht="18" customHeight="1" x14ac:dyDescent="0.45">
      <c r="A49" s="26" t="s">
        <v>8</v>
      </c>
      <c r="B49" s="26" t="s">
        <v>31</v>
      </c>
      <c r="C49" s="27">
        <f>_xlfn.XLOOKUP(B49,'職種別 (2種)'!C:C,'職種別 (2種)'!K:K)</f>
        <v>10</v>
      </c>
    </row>
    <row r="50" spans="1:3" ht="18" customHeight="1" x14ac:dyDescent="0.45">
      <c r="A50" s="26" t="s">
        <v>8</v>
      </c>
      <c r="B50" s="26" t="s">
        <v>215</v>
      </c>
      <c r="C50" s="27">
        <f>_xlfn.XLOOKUP(B50,'職種別 (2種)'!C:C,'職種別 (2種)'!K:K)</f>
        <v>8</v>
      </c>
    </row>
    <row r="51" spans="1:3" ht="18" customHeight="1" x14ac:dyDescent="0.45">
      <c r="A51" s="26" t="s">
        <v>8</v>
      </c>
      <c r="B51" s="26" t="s">
        <v>216</v>
      </c>
      <c r="C51" s="27">
        <f>_xlfn.XLOOKUP(B51,'職種別 (2種)'!C:C,'職種別 (2種)'!K:K)</f>
        <v>10</v>
      </c>
    </row>
    <row r="52" spans="1:3" ht="18" customHeight="1" x14ac:dyDescent="0.45">
      <c r="A52" s="26" t="s">
        <v>8</v>
      </c>
      <c r="B52" s="26" t="s">
        <v>32</v>
      </c>
      <c r="C52" s="27">
        <f>_xlfn.XLOOKUP(B52,'職種別 (2種)'!C:C,'職種別 (2種)'!K:K)</f>
        <v>6</v>
      </c>
    </row>
    <row r="53" spans="1:3" ht="18" customHeight="1" x14ac:dyDescent="0.45">
      <c r="A53" s="26" t="s">
        <v>8</v>
      </c>
      <c r="B53" s="26" t="s">
        <v>182</v>
      </c>
      <c r="C53" s="27">
        <f>_xlfn.XLOOKUP(B53,'職種別 (2種)'!C:C,'職種別 (2種)'!K:K)</f>
        <v>5</v>
      </c>
    </row>
    <row r="54" spans="1:3" ht="18" customHeight="1" x14ac:dyDescent="0.45">
      <c r="A54" s="26" t="s">
        <v>8</v>
      </c>
      <c r="B54" s="26" t="s">
        <v>33</v>
      </c>
      <c r="C54" s="27">
        <f>_xlfn.XLOOKUP(B54,'職種別 (2種)'!C:C,'職種別 (2種)'!K:K)</f>
        <v>4</v>
      </c>
    </row>
    <row r="55" spans="1:3" ht="18" customHeight="1" x14ac:dyDescent="0.45">
      <c r="A55" s="26" t="s">
        <v>8</v>
      </c>
      <c r="B55" s="26" t="s">
        <v>34</v>
      </c>
      <c r="C55" s="27">
        <f>_xlfn.XLOOKUP(B55,'職種別 (2種)'!C:C,'職種別 (2種)'!K:K)</f>
        <v>6</v>
      </c>
    </row>
    <row r="56" spans="1:3" ht="18" customHeight="1" x14ac:dyDescent="0.45">
      <c r="A56" s="26" t="s">
        <v>8</v>
      </c>
      <c r="B56" s="26" t="s">
        <v>35</v>
      </c>
      <c r="C56" s="27">
        <f>_xlfn.XLOOKUP(B56,'職種別 (2種)'!C:C,'職種別 (2種)'!K:K)</f>
        <v>4</v>
      </c>
    </row>
    <row r="57" spans="1:3" ht="18" customHeight="1" x14ac:dyDescent="0.45">
      <c r="A57" s="26" t="s">
        <v>8</v>
      </c>
      <c r="B57" s="26" t="s">
        <v>36</v>
      </c>
      <c r="C57" s="27">
        <f>_xlfn.XLOOKUP(B57,'職種別 (2種)'!C:C,'職種別 (2種)'!K:K)</f>
        <v>6</v>
      </c>
    </row>
    <row r="58" spans="1:3" ht="18" customHeight="1" x14ac:dyDescent="0.45">
      <c r="A58" s="26" t="s">
        <v>8</v>
      </c>
      <c r="B58" s="26" t="s">
        <v>37</v>
      </c>
      <c r="C58" s="27">
        <f>_xlfn.XLOOKUP(B58,'職種別 (2種)'!C:C,'職種別 (2種)'!K:K)</f>
        <v>10</v>
      </c>
    </row>
    <row r="59" spans="1:3" ht="18" customHeight="1" x14ac:dyDescent="0.45">
      <c r="A59" s="26" t="s">
        <v>8</v>
      </c>
      <c r="B59" s="26" t="s">
        <v>38</v>
      </c>
      <c r="C59" s="27">
        <f>_xlfn.XLOOKUP(B59,'職種別 (2種)'!C:C,'職種別 (2種)'!K:K)</f>
        <v>7</v>
      </c>
    </row>
    <row r="60" spans="1:3" ht="18" customHeight="1" x14ac:dyDescent="0.45">
      <c r="A60" s="6" t="s">
        <v>8</v>
      </c>
      <c r="B60" s="6" t="s">
        <v>217</v>
      </c>
      <c r="C60" s="27">
        <f>_xlfn.XLOOKUP(B60,'職種別 (2種)'!C:C,'職種別 (2種)'!K:K)</f>
        <v>7</v>
      </c>
    </row>
    <row r="61" spans="1:3" ht="18" customHeight="1" x14ac:dyDescent="0.45">
      <c r="A61" s="6" t="s">
        <v>8</v>
      </c>
      <c r="B61" s="6" t="s">
        <v>39</v>
      </c>
      <c r="C61" s="27">
        <f>_xlfn.XLOOKUP(B61,'職種別 (2種)'!C:C,'職種別 (2種)'!K:K)</f>
        <v>8</v>
      </c>
    </row>
    <row r="62" spans="1:3" ht="18" customHeight="1" x14ac:dyDescent="0.45">
      <c r="A62" s="6" t="s">
        <v>8</v>
      </c>
      <c r="B62" s="6" t="s">
        <v>40</v>
      </c>
      <c r="C62" s="27">
        <f>_xlfn.XLOOKUP(B62,'職種別 (2種)'!C:C,'職種別 (2種)'!K:K)</f>
        <v>4</v>
      </c>
    </row>
    <row r="63" spans="1:3" ht="18" customHeight="1" x14ac:dyDescent="0.45">
      <c r="A63" s="6" t="s">
        <v>8</v>
      </c>
      <c r="B63" s="6" t="s">
        <v>41</v>
      </c>
      <c r="C63" s="27">
        <f>_xlfn.XLOOKUP(B63,'職種別 (2種)'!C:C,'職種別 (2種)'!K:K)</f>
        <v>2</v>
      </c>
    </row>
    <row r="64" spans="1:3" ht="18" customHeight="1" x14ac:dyDescent="0.45">
      <c r="A64" s="6" t="s">
        <v>8</v>
      </c>
      <c r="B64" s="6" t="s">
        <v>218</v>
      </c>
      <c r="C64" s="27">
        <f>_xlfn.XLOOKUP(B64,'職種別 (2種)'!C:C,'職種別 (2種)'!K:K)</f>
        <v>6</v>
      </c>
    </row>
    <row r="65" spans="1:3" ht="18" customHeight="1" x14ac:dyDescent="0.45">
      <c r="A65" s="6" t="s">
        <v>8</v>
      </c>
      <c r="B65" s="6" t="s">
        <v>42</v>
      </c>
      <c r="C65" s="27">
        <f>_xlfn.XLOOKUP(B65,'職種別 (2種)'!C:C,'職種別 (2種)'!K:K)</f>
        <v>4</v>
      </c>
    </row>
    <row r="66" spans="1:3" ht="18" customHeight="1" x14ac:dyDescent="0.45">
      <c r="A66" s="6" t="s">
        <v>8</v>
      </c>
      <c r="B66" s="6" t="s">
        <v>43</v>
      </c>
      <c r="C66" s="27">
        <f>_xlfn.XLOOKUP(B66,'職種別 (2種)'!C:C,'職種別 (2種)'!K:K)</f>
        <v>8</v>
      </c>
    </row>
    <row r="67" spans="1:3" ht="18" customHeight="1" x14ac:dyDescent="0.45">
      <c r="A67" s="6" t="s">
        <v>8</v>
      </c>
      <c r="B67" s="6" t="s">
        <v>44</v>
      </c>
      <c r="C67" s="27">
        <f>_xlfn.XLOOKUP(B67,'職種別 (2種)'!C:C,'職種別 (2種)'!K:K)</f>
        <v>6</v>
      </c>
    </row>
    <row r="68" spans="1:3" ht="18" customHeight="1" x14ac:dyDescent="0.45">
      <c r="A68" s="6" t="s">
        <v>8</v>
      </c>
      <c r="B68" s="6" t="s">
        <v>45</v>
      </c>
      <c r="C68" s="27">
        <f>_xlfn.XLOOKUP(B68,'職種別 (2種)'!C:C,'職種別 (2種)'!K:K)</f>
        <v>8</v>
      </c>
    </row>
    <row r="69" spans="1:3" ht="18" customHeight="1" x14ac:dyDescent="0.45">
      <c r="A69" s="6" t="s">
        <v>8</v>
      </c>
      <c r="B69" s="6" t="s">
        <v>46</v>
      </c>
      <c r="C69" s="27">
        <f>_xlfn.XLOOKUP(B69,'職種別 (2種)'!C:C,'職種別 (2種)'!K:K)</f>
        <v>6</v>
      </c>
    </row>
    <row r="70" spans="1:3" ht="18" customHeight="1" x14ac:dyDescent="0.45">
      <c r="A70" s="6" t="s">
        <v>8</v>
      </c>
      <c r="B70" s="6" t="s">
        <v>219</v>
      </c>
      <c r="C70" s="27">
        <f>_xlfn.XLOOKUP(B70,'職種別 (2種)'!C:C,'職種別 (2種)'!K:K)</f>
        <v>5</v>
      </c>
    </row>
    <row r="71" spans="1:3" ht="18" customHeight="1" x14ac:dyDescent="0.45">
      <c r="A71" s="6" t="s">
        <v>8</v>
      </c>
      <c r="B71" s="6" t="s">
        <v>220</v>
      </c>
      <c r="C71" s="27">
        <f>_xlfn.XLOOKUP(B71,'職種別 (2種)'!C:C,'職種別 (2種)'!K:K)</f>
        <v>6</v>
      </c>
    </row>
    <row r="72" spans="1:3" ht="18" customHeight="1" x14ac:dyDescent="0.45">
      <c r="A72" s="6" t="s">
        <v>8</v>
      </c>
      <c r="B72" s="6" t="s">
        <v>221</v>
      </c>
      <c r="C72" s="27">
        <f>_xlfn.XLOOKUP(B72,'職種別 (2種)'!C:C,'職種別 (2種)'!K:K)</f>
        <v>7</v>
      </c>
    </row>
    <row r="73" spans="1:3" ht="18" customHeight="1" x14ac:dyDescent="0.45">
      <c r="A73" s="6" t="s">
        <v>8</v>
      </c>
      <c r="B73" s="6" t="s">
        <v>222</v>
      </c>
      <c r="C73" s="27">
        <f>_xlfn.XLOOKUP(B73,'職種別 (2種)'!C:C,'職種別 (2種)'!K:K)</f>
        <v>9</v>
      </c>
    </row>
    <row r="74" spans="1:3" ht="18" customHeight="1" x14ac:dyDescent="0.45">
      <c r="A74" s="6" t="s">
        <v>8</v>
      </c>
      <c r="B74" s="6" t="s">
        <v>223</v>
      </c>
      <c r="C74" s="27">
        <f>_xlfn.XLOOKUP(B74,'職種別 (2種)'!C:C,'職種別 (2種)'!K:K)</f>
        <v>3</v>
      </c>
    </row>
    <row r="75" spans="1:3" ht="18" customHeight="1" x14ac:dyDescent="0.45">
      <c r="A75" s="6" t="s">
        <v>8</v>
      </c>
      <c r="B75" s="6" t="s">
        <v>224</v>
      </c>
      <c r="C75" s="27">
        <f>_xlfn.XLOOKUP(B75,'職種別 (2種)'!C:C,'職種別 (2種)'!K:K)</f>
        <v>10</v>
      </c>
    </row>
    <row r="76" spans="1:3" ht="18" customHeight="1" x14ac:dyDescent="0.45">
      <c r="A76" s="6" t="s">
        <v>8</v>
      </c>
      <c r="B76" s="6" t="s">
        <v>47</v>
      </c>
      <c r="C76" s="27">
        <f>_xlfn.XLOOKUP(B76,'職種別 (2種)'!C:C,'職種別 (2種)'!K:K)</f>
        <v>8</v>
      </c>
    </row>
    <row r="77" spans="1:3" ht="18" customHeight="1" x14ac:dyDescent="0.45">
      <c r="A77" s="6" t="s">
        <v>8</v>
      </c>
      <c r="B77" s="6" t="s">
        <v>174</v>
      </c>
      <c r="C77" s="27">
        <f>_xlfn.XLOOKUP(B77,'職種別 (2種)'!C:C,'職種別 (2種)'!K:K)</f>
        <v>4</v>
      </c>
    </row>
    <row r="78" spans="1:3" ht="18" customHeight="1" x14ac:dyDescent="0.45">
      <c r="A78" s="6" t="s">
        <v>8</v>
      </c>
      <c r="B78" s="6" t="s">
        <v>225</v>
      </c>
      <c r="C78" s="27">
        <f>_xlfn.XLOOKUP(B78,'職種別 (2種)'!C:C,'職種別 (2種)'!K:K)</f>
        <v>7</v>
      </c>
    </row>
    <row r="79" spans="1:3" ht="18" customHeight="1" x14ac:dyDescent="0.45">
      <c r="A79" s="6" t="s">
        <v>8</v>
      </c>
      <c r="B79" s="6" t="s">
        <v>226</v>
      </c>
      <c r="C79" s="27">
        <f>_xlfn.XLOOKUP(B79,'職種別 (2種)'!C:C,'職種別 (2種)'!K:K)</f>
        <v>3</v>
      </c>
    </row>
    <row r="80" spans="1:3" ht="18" customHeight="1" x14ac:dyDescent="0.45">
      <c r="A80" s="6" t="s">
        <v>8</v>
      </c>
      <c r="B80" s="6" t="s">
        <v>172</v>
      </c>
      <c r="C80" s="27">
        <f>_xlfn.XLOOKUP(B80,'職種別 (2種)'!C:C,'職種別 (2種)'!K:K)</f>
        <v>4</v>
      </c>
    </row>
    <row r="81" spans="1:3" ht="18" customHeight="1" x14ac:dyDescent="0.45">
      <c r="A81" s="6" t="s">
        <v>8</v>
      </c>
      <c r="B81" s="6" t="s">
        <v>227</v>
      </c>
      <c r="C81" s="27">
        <f>_xlfn.XLOOKUP(B81,'職種別 (2種)'!C:C,'職種別 (2種)'!K:K)</f>
        <v>4</v>
      </c>
    </row>
    <row r="82" spans="1:3" ht="18" customHeight="1" x14ac:dyDescent="0.45">
      <c r="A82" s="6" t="s">
        <v>8</v>
      </c>
      <c r="B82" s="6" t="s">
        <v>447</v>
      </c>
      <c r="C82" s="27">
        <f>_xlfn.XLOOKUP(B82,'職種別 (2種)'!C:C,'職種別 (2種)'!K:K)</f>
        <v>0</v>
      </c>
    </row>
    <row r="83" spans="1:3" ht="18" customHeight="1" x14ac:dyDescent="0.45">
      <c r="A83" s="6" t="s">
        <v>48</v>
      </c>
      <c r="B83" s="6" t="s">
        <v>228</v>
      </c>
      <c r="C83" s="27">
        <f>_xlfn.XLOOKUP(B83,'職種別 (2種)'!C:C,'職種別 (2種)'!K:K)</f>
        <v>5</v>
      </c>
    </row>
    <row r="84" spans="1:3" ht="18" customHeight="1" x14ac:dyDescent="0.45">
      <c r="A84" s="6" t="s">
        <v>48</v>
      </c>
      <c r="B84" s="6" t="s">
        <v>229</v>
      </c>
      <c r="C84" s="27">
        <f>_xlfn.XLOOKUP(B84,'職種別 (2種)'!C:C,'職種別 (2種)'!K:K)</f>
        <v>7</v>
      </c>
    </row>
    <row r="85" spans="1:3" ht="18" customHeight="1" x14ac:dyDescent="0.45">
      <c r="A85" s="6" t="s">
        <v>48</v>
      </c>
      <c r="B85" s="6" t="s">
        <v>230</v>
      </c>
      <c r="C85" s="27">
        <f>_xlfn.XLOOKUP(B85,'職種別 (2種)'!C:C,'職種別 (2種)'!K:K)</f>
        <v>4</v>
      </c>
    </row>
    <row r="86" spans="1:3" ht="18" customHeight="1" x14ac:dyDescent="0.45">
      <c r="A86" s="6" t="s">
        <v>48</v>
      </c>
      <c r="B86" s="6" t="s">
        <v>231</v>
      </c>
      <c r="C86" s="27">
        <f>_xlfn.XLOOKUP(B86,'職種別 (2種)'!C:C,'職種別 (2種)'!K:K)</f>
        <v>2</v>
      </c>
    </row>
    <row r="87" spans="1:3" ht="18" customHeight="1" x14ac:dyDescent="0.45">
      <c r="A87" s="6" t="s">
        <v>48</v>
      </c>
      <c r="B87" s="6" t="s">
        <v>232</v>
      </c>
      <c r="C87" s="27">
        <f>_xlfn.XLOOKUP(B87,'職種別 (2種)'!C:C,'職種別 (2種)'!K:K)</f>
        <v>7</v>
      </c>
    </row>
    <row r="88" spans="1:3" ht="18" customHeight="1" x14ac:dyDescent="0.45">
      <c r="A88" s="6" t="s">
        <v>48</v>
      </c>
      <c r="B88" s="6" t="s">
        <v>49</v>
      </c>
      <c r="C88" s="27">
        <f>_xlfn.XLOOKUP(B88,'職種別 (2種)'!C:C,'職種別 (2種)'!K:K)</f>
        <v>6</v>
      </c>
    </row>
    <row r="89" spans="1:3" ht="18" customHeight="1" x14ac:dyDescent="0.45">
      <c r="A89" s="6" t="s">
        <v>48</v>
      </c>
      <c r="B89" s="6" t="s">
        <v>50</v>
      </c>
      <c r="C89" s="27">
        <f>_xlfn.XLOOKUP(B89,'職種別 (2種)'!C:C,'職種別 (2種)'!K:K)</f>
        <v>7</v>
      </c>
    </row>
    <row r="90" spans="1:3" ht="18" customHeight="1" x14ac:dyDescent="0.45">
      <c r="A90" s="6" t="s">
        <v>48</v>
      </c>
      <c r="B90" s="6" t="s">
        <v>51</v>
      </c>
      <c r="C90" s="27">
        <f>_xlfn.XLOOKUP(B90,'職種別 (2種)'!C:C,'職種別 (2種)'!K:K)</f>
        <v>3</v>
      </c>
    </row>
    <row r="91" spans="1:3" ht="18" customHeight="1" x14ac:dyDescent="0.45">
      <c r="A91" s="6" t="s">
        <v>48</v>
      </c>
      <c r="B91" s="6" t="s">
        <v>233</v>
      </c>
      <c r="C91" s="27">
        <f>_xlfn.XLOOKUP(B91,'職種別 (2種)'!C:C,'職種別 (2種)'!K:K)</f>
        <v>7</v>
      </c>
    </row>
    <row r="92" spans="1:3" ht="18" customHeight="1" x14ac:dyDescent="0.45">
      <c r="A92" s="6" t="s">
        <v>48</v>
      </c>
      <c r="B92" s="6" t="s">
        <v>52</v>
      </c>
      <c r="C92" s="27">
        <f>_xlfn.XLOOKUP(B92,'職種別 (2種)'!C:C,'職種別 (2種)'!K:K)</f>
        <v>4</v>
      </c>
    </row>
    <row r="93" spans="1:3" ht="18" customHeight="1" x14ac:dyDescent="0.45">
      <c r="A93" s="6" t="s">
        <v>48</v>
      </c>
      <c r="B93" s="6" t="s">
        <v>234</v>
      </c>
      <c r="C93" s="27">
        <f>_xlfn.XLOOKUP(B93,'職種別 (2種)'!C:C,'職種別 (2種)'!K:K)</f>
        <v>4</v>
      </c>
    </row>
    <row r="94" spans="1:3" ht="18" customHeight="1" x14ac:dyDescent="0.45">
      <c r="A94" s="6" t="s">
        <v>48</v>
      </c>
      <c r="B94" s="6" t="s">
        <v>235</v>
      </c>
      <c r="C94" s="27">
        <f>_xlfn.XLOOKUP(B94,'職種別 (2種)'!C:C,'職種別 (2種)'!K:K)</f>
        <v>6</v>
      </c>
    </row>
    <row r="95" spans="1:3" ht="18" customHeight="1" x14ac:dyDescent="0.45">
      <c r="A95" s="6" t="s">
        <v>48</v>
      </c>
      <c r="B95" s="6" t="s">
        <v>236</v>
      </c>
      <c r="C95" s="27">
        <f>_xlfn.XLOOKUP(B95,'職種別 (2種)'!C:C,'職種別 (2種)'!K:K)</f>
        <v>6</v>
      </c>
    </row>
    <row r="96" spans="1:3" ht="18" customHeight="1" x14ac:dyDescent="0.45">
      <c r="A96" s="6" t="s">
        <v>48</v>
      </c>
      <c r="B96" s="6" t="s">
        <v>237</v>
      </c>
      <c r="C96" s="27">
        <f>_xlfn.XLOOKUP(B96,'職種別 (2種)'!C:C,'職種別 (2種)'!K:K)</f>
        <v>6</v>
      </c>
    </row>
    <row r="97" spans="1:3" ht="18" customHeight="1" x14ac:dyDescent="0.45">
      <c r="A97" s="6" t="s">
        <v>48</v>
      </c>
      <c r="B97" s="6" t="s">
        <v>53</v>
      </c>
      <c r="C97" s="27">
        <f>_xlfn.XLOOKUP(B97,'職種別 (2種)'!C:C,'職種別 (2種)'!K:K)</f>
        <v>2</v>
      </c>
    </row>
    <row r="98" spans="1:3" ht="18" customHeight="1" x14ac:dyDescent="0.45">
      <c r="A98" s="6" t="s">
        <v>48</v>
      </c>
      <c r="B98" s="6" t="s">
        <v>54</v>
      </c>
      <c r="C98" s="27">
        <f>_xlfn.XLOOKUP(B98,'職種別 (2種)'!C:C,'職種別 (2種)'!K:K)</f>
        <v>6</v>
      </c>
    </row>
    <row r="99" spans="1:3" ht="18" customHeight="1" x14ac:dyDescent="0.45">
      <c r="A99" s="6" t="s">
        <v>48</v>
      </c>
      <c r="B99" s="6" t="s">
        <v>55</v>
      </c>
      <c r="C99" s="27">
        <f>_xlfn.XLOOKUP(B99,'職種別 (2種)'!C:C,'職種別 (2種)'!K:K)</f>
        <v>2</v>
      </c>
    </row>
    <row r="100" spans="1:3" ht="18" customHeight="1" x14ac:dyDescent="0.45">
      <c r="A100" s="6" t="s">
        <v>48</v>
      </c>
      <c r="B100" s="6" t="s">
        <v>238</v>
      </c>
      <c r="C100" s="27">
        <f>_xlfn.XLOOKUP(B100,'職種別 (2種)'!C:C,'職種別 (2種)'!K:K)</f>
        <v>6</v>
      </c>
    </row>
    <row r="101" spans="1:3" ht="18" customHeight="1" x14ac:dyDescent="0.45">
      <c r="A101" s="6" t="s">
        <v>48</v>
      </c>
      <c r="B101" s="6" t="s">
        <v>239</v>
      </c>
      <c r="C101" s="27">
        <f>_xlfn.XLOOKUP(B101,'職種別 (2種)'!C:C,'職種別 (2種)'!K:K)</f>
        <v>6</v>
      </c>
    </row>
    <row r="102" spans="1:3" ht="18" customHeight="1" x14ac:dyDescent="0.45">
      <c r="A102" s="6" t="s">
        <v>48</v>
      </c>
      <c r="B102" s="6" t="s">
        <v>56</v>
      </c>
      <c r="C102" s="27">
        <f>_xlfn.XLOOKUP(B102,'職種別 (2種)'!C:C,'職種別 (2種)'!K:K)</f>
        <v>6</v>
      </c>
    </row>
    <row r="103" spans="1:3" ht="18" customHeight="1" x14ac:dyDescent="0.45">
      <c r="A103" s="6" t="s">
        <v>48</v>
      </c>
      <c r="B103" s="6" t="s">
        <v>240</v>
      </c>
      <c r="C103" s="27">
        <f>_xlfn.XLOOKUP(B103,'職種別 (2種)'!C:C,'職種別 (2種)'!K:K)</f>
        <v>5</v>
      </c>
    </row>
    <row r="104" spans="1:3" ht="18" customHeight="1" x14ac:dyDescent="0.45">
      <c r="A104" s="6" t="s">
        <v>48</v>
      </c>
      <c r="B104" s="6" t="s">
        <v>241</v>
      </c>
      <c r="C104" s="27">
        <f>_xlfn.XLOOKUP(B104,'職種別 (2種)'!C:C,'職種別 (2種)'!K:K)</f>
        <v>9</v>
      </c>
    </row>
    <row r="105" spans="1:3" ht="18" customHeight="1" x14ac:dyDescent="0.45">
      <c r="A105" s="6" t="s">
        <v>48</v>
      </c>
      <c r="B105" s="6" t="s">
        <v>57</v>
      </c>
      <c r="C105" s="27">
        <f>_xlfn.XLOOKUP(B105,'職種別 (2種)'!C:C,'職種別 (2種)'!K:K)</f>
        <v>8</v>
      </c>
    </row>
    <row r="106" spans="1:3" ht="18" customHeight="1" x14ac:dyDescent="0.45">
      <c r="A106" s="6" t="s">
        <v>48</v>
      </c>
      <c r="B106" s="6" t="s">
        <v>242</v>
      </c>
      <c r="C106" s="27">
        <f>_xlfn.XLOOKUP(B106,'職種別 (2種)'!C:C,'職種別 (2種)'!K:K)</f>
        <v>7</v>
      </c>
    </row>
    <row r="107" spans="1:3" ht="18" customHeight="1" x14ac:dyDescent="0.45">
      <c r="A107" s="6" t="s">
        <v>48</v>
      </c>
      <c r="B107" s="6" t="s">
        <v>58</v>
      </c>
      <c r="C107" s="27">
        <f>_xlfn.XLOOKUP(B107,'職種別 (2種)'!C:C,'職種別 (2種)'!K:K)</f>
        <v>10</v>
      </c>
    </row>
    <row r="108" spans="1:3" ht="18" customHeight="1" x14ac:dyDescent="0.45">
      <c r="A108" s="6" t="s">
        <v>48</v>
      </c>
      <c r="B108" s="6" t="s">
        <v>59</v>
      </c>
      <c r="C108" s="27">
        <f>_xlfn.XLOOKUP(B108,'職種別 (2種)'!C:C,'職種別 (2種)'!K:K)</f>
        <v>9</v>
      </c>
    </row>
    <row r="109" spans="1:3" ht="18" customHeight="1" x14ac:dyDescent="0.45">
      <c r="A109" s="6" t="s">
        <v>48</v>
      </c>
      <c r="B109" s="6" t="s">
        <v>60</v>
      </c>
      <c r="C109" s="27">
        <f>_xlfn.XLOOKUP(B109,'職種別 (2種)'!C:C,'職種別 (2種)'!K:K)</f>
        <v>5</v>
      </c>
    </row>
    <row r="110" spans="1:3" ht="18" customHeight="1" x14ac:dyDescent="0.45">
      <c r="A110" s="6" t="s">
        <v>48</v>
      </c>
      <c r="B110" s="6" t="s">
        <v>243</v>
      </c>
      <c r="C110" s="27">
        <f>_xlfn.XLOOKUP(B110,'職種別 (2種)'!C:C,'職種別 (2種)'!K:K)</f>
        <v>5</v>
      </c>
    </row>
    <row r="111" spans="1:3" ht="18" customHeight="1" x14ac:dyDescent="0.45">
      <c r="A111" s="6" t="s">
        <v>48</v>
      </c>
      <c r="B111" s="6" t="s">
        <v>244</v>
      </c>
      <c r="C111" s="27">
        <f>_xlfn.XLOOKUP(B111,'職種別 (2種)'!C:C,'職種別 (2種)'!K:K)</f>
        <v>4</v>
      </c>
    </row>
    <row r="112" spans="1:3" ht="18" customHeight="1" x14ac:dyDescent="0.45">
      <c r="A112" s="6" t="s">
        <v>48</v>
      </c>
      <c r="B112" s="6" t="s">
        <v>61</v>
      </c>
      <c r="C112" s="27">
        <f>_xlfn.XLOOKUP(B112,'職種別 (2種)'!C:C,'職種別 (2種)'!K:K)</f>
        <v>5</v>
      </c>
    </row>
    <row r="113" spans="1:3" ht="18" customHeight="1" x14ac:dyDescent="0.45">
      <c r="A113" s="6" t="s">
        <v>48</v>
      </c>
      <c r="B113" s="6" t="s">
        <v>245</v>
      </c>
      <c r="C113" s="27">
        <f>_xlfn.XLOOKUP(B113,'職種別 (2種)'!C:C,'職種別 (2種)'!K:K)</f>
        <v>5</v>
      </c>
    </row>
    <row r="114" spans="1:3" ht="18" customHeight="1" x14ac:dyDescent="0.45">
      <c r="A114" s="6" t="s">
        <v>48</v>
      </c>
      <c r="B114" s="6" t="s">
        <v>246</v>
      </c>
      <c r="C114" s="27">
        <f>_xlfn.XLOOKUP(B114,'職種別 (2種)'!C:C,'職種別 (2種)'!K:K)</f>
        <v>7</v>
      </c>
    </row>
    <row r="115" spans="1:3" ht="18" customHeight="1" x14ac:dyDescent="0.45">
      <c r="A115" s="6" t="s">
        <v>48</v>
      </c>
      <c r="B115" s="6" t="s">
        <v>247</v>
      </c>
      <c r="C115" s="27">
        <f>_xlfn.XLOOKUP(B115,'職種別 (2種)'!C:C,'職種別 (2種)'!K:K)</f>
        <v>6</v>
      </c>
    </row>
    <row r="116" spans="1:3" ht="18" customHeight="1" x14ac:dyDescent="0.45">
      <c r="A116" s="6" t="s">
        <v>48</v>
      </c>
      <c r="B116" s="6" t="s">
        <v>62</v>
      </c>
      <c r="C116" s="27">
        <f>_xlfn.XLOOKUP(B116,'職種別 (2種)'!C:C,'職種別 (2種)'!K:K)</f>
        <v>9</v>
      </c>
    </row>
    <row r="117" spans="1:3" ht="18" customHeight="1" x14ac:dyDescent="0.45">
      <c r="A117" s="6" t="s">
        <v>48</v>
      </c>
      <c r="B117" s="6" t="s">
        <v>248</v>
      </c>
      <c r="C117" s="27">
        <f>_xlfn.XLOOKUP(B117,'職種別 (2種)'!C:C,'職種別 (2種)'!K:K)</f>
        <v>4</v>
      </c>
    </row>
    <row r="118" spans="1:3" ht="18" customHeight="1" x14ac:dyDescent="0.45">
      <c r="A118" s="6" t="s">
        <v>48</v>
      </c>
      <c r="B118" s="6" t="s">
        <v>249</v>
      </c>
      <c r="C118" s="27">
        <f>_xlfn.XLOOKUP(B118,'職種別 (2種)'!C:C,'職種別 (2種)'!K:K)</f>
        <v>6</v>
      </c>
    </row>
    <row r="119" spans="1:3" ht="18" customHeight="1" x14ac:dyDescent="0.45">
      <c r="A119" s="6" t="s">
        <v>48</v>
      </c>
      <c r="B119" s="6" t="s">
        <v>250</v>
      </c>
      <c r="C119" s="27">
        <f>_xlfn.XLOOKUP(B119,'職種別 (2種)'!C:C,'職種別 (2種)'!K:K)</f>
        <v>7</v>
      </c>
    </row>
    <row r="120" spans="1:3" ht="18" customHeight="1" x14ac:dyDescent="0.45">
      <c r="A120" s="6" t="s">
        <v>48</v>
      </c>
      <c r="B120" s="6" t="s">
        <v>63</v>
      </c>
      <c r="C120" s="27">
        <f>_xlfn.XLOOKUP(B120,'職種別 (2種)'!C:C,'職種別 (2種)'!K:K)</f>
        <v>5</v>
      </c>
    </row>
    <row r="121" spans="1:3" ht="18" customHeight="1" x14ac:dyDescent="0.45">
      <c r="A121" s="6" t="s">
        <v>48</v>
      </c>
      <c r="B121" s="6" t="s">
        <v>251</v>
      </c>
      <c r="C121" s="27">
        <f>_xlfn.XLOOKUP(B121,'職種別 (2種)'!C:C,'職種別 (2種)'!K:K)</f>
        <v>10</v>
      </c>
    </row>
    <row r="122" spans="1:3" ht="18" customHeight="1" x14ac:dyDescent="0.45">
      <c r="A122" s="6" t="s">
        <v>48</v>
      </c>
      <c r="B122" s="6" t="s">
        <v>64</v>
      </c>
      <c r="C122" s="27">
        <f>_xlfn.XLOOKUP(B122,'職種別 (2種)'!C:C,'職種別 (2種)'!K:K)</f>
        <v>4</v>
      </c>
    </row>
    <row r="123" spans="1:3" ht="18" customHeight="1" x14ac:dyDescent="0.45">
      <c r="A123" s="6" t="s">
        <v>48</v>
      </c>
      <c r="B123" s="6" t="s">
        <v>252</v>
      </c>
      <c r="C123" s="27">
        <f>_xlfn.XLOOKUP(B123,'職種別 (2種)'!C:C,'職種別 (2種)'!K:K)</f>
        <v>8</v>
      </c>
    </row>
    <row r="124" spans="1:3" ht="18" customHeight="1" x14ac:dyDescent="0.45">
      <c r="A124" s="6" t="s">
        <v>48</v>
      </c>
      <c r="B124" s="6" t="s">
        <v>65</v>
      </c>
      <c r="C124" s="27">
        <f>_xlfn.XLOOKUP(B124,'職種別 (2種)'!C:C,'職種別 (2種)'!K:K)</f>
        <v>5</v>
      </c>
    </row>
    <row r="125" spans="1:3" ht="18" customHeight="1" x14ac:dyDescent="0.45">
      <c r="A125" s="6" t="s">
        <v>48</v>
      </c>
      <c r="B125" s="6" t="s">
        <v>253</v>
      </c>
      <c r="C125" s="27">
        <f>_xlfn.XLOOKUP(B125,'職種別 (2種)'!C:C,'職種別 (2種)'!K:K)</f>
        <v>7</v>
      </c>
    </row>
    <row r="126" spans="1:3" ht="18" customHeight="1" x14ac:dyDescent="0.45">
      <c r="A126" s="6" t="s">
        <v>48</v>
      </c>
      <c r="B126" s="6" t="s">
        <v>254</v>
      </c>
      <c r="C126" s="27">
        <f>_xlfn.XLOOKUP(B126,'職種別 (2種)'!C:C,'職種別 (2種)'!K:K)</f>
        <v>6</v>
      </c>
    </row>
    <row r="127" spans="1:3" ht="18" customHeight="1" x14ac:dyDescent="0.45">
      <c r="A127" s="6" t="s">
        <v>48</v>
      </c>
      <c r="B127" s="6" t="s">
        <v>255</v>
      </c>
      <c r="C127" s="27">
        <f>_xlfn.XLOOKUP(B127,'職種別 (2種)'!C:C,'職種別 (2種)'!K:K)</f>
        <v>8</v>
      </c>
    </row>
    <row r="128" spans="1:3" ht="18" customHeight="1" x14ac:dyDescent="0.45">
      <c r="A128" s="6" t="s">
        <v>48</v>
      </c>
      <c r="B128" s="6" t="s">
        <v>256</v>
      </c>
      <c r="C128" s="27">
        <f>_xlfn.XLOOKUP(B128,'職種別 (2種)'!C:C,'職種別 (2種)'!K:K)</f>
        <v>8</v>
      </c>
    </row>
    <row r="129" spans="1:3" ht="18" customHeight="1" x14ac:dyDescent="0.45">
      <c r="A129" s="6" t="s">
        <v>48</v>
      </c>
      <c r="B129" s="6" t="s">
        <v>257</v>
      </c>
      <c r="C129" s="27">
        <f>_xlfn.XLOOKUP(B129,'職種別 (2種)'!C:C,'職種別 (2種)'!K:K)</f>
        <v>3</v>
      </c>
    </row>
    <row r="130" spans="1:3" ht="18" customHeight="1" x14ac:dyDescent="0.45">
      <c r="A130" s="6" t="s">
        <v>48</v>
      </c>
      <c r="B130" s="6" t="s">
        <v>258</v>
      </c>
      <c r="C130" s="27">
        <f>_xlfn.XLOOKUP(B130,'職種別 (2種)'!C:C,'職種別 (2種)'!K:K)</f>
        <v>5</v>
      </c>
    </row>
    <row r="131" spans="1:3" ht="18" customHeight="1" x14ac:dyDescent="0.45">
      <c r="A131" s="6" t="s">
        <v>48</v>
      </c>
      <c r="B131" s="6" t="s">
        <v>66</v>
      </c>
      <c r="C131" s="27">
        <f>_xlfn.XLOOKUP(B131,'職種別 (2種)'!C:C,'職種別 (2種)'!K:K)</f>
        <v>8</v>
      </c>
    </row>
    <row r="132" spans="1:3" ht="18" customHeight="1" x14ac:dyDescent="0.45">
      <c r="A132" s="6" t="s">
        <v>48</v>
      </c>
      <c r="B132" s="6" t="s">
        <v>259</v>
      </c>
      <c r="C132" s="27">
        <f>_xlfn.XLOOKUP(B132,'職種別 (2種)'!C:C,'職種別 (2種)'!K:K)</f>
        <v>5</v>
      </c>
    </row>
    <row r="133" spans="1:3" ht="18" customHeight="1" x14ac:dyDescent="0.45">
      <c r="A133" s="6" t="s">
        <v>48</v>
      </c>
      <c r="B133" s="6" t="s">
        <v>260</v>
      </c>
      <c r="C133" s="27">
        <f>_xlfn.XLOOKUP(B133,'職種別 (2種)'!C:C,'職種別 (2種)'!K:K)</f>
        <v>8</v>
      </c>
    </row>
    <row r="134" spans="1:3" ht="18" customHeight="1" x14ac:dyDescent="0.45">
      <c r="A134" s="6" t="s">
        <v>48</v>
      </c>
      <c r="B134" s="6" t="s">
        <v>261</v>
      </c>
      <c r="C134" s="27">
        <f>_xlfn.XLOOKUP(B134,'職種別 (2種)'!C:C,'職種別 (2種)'!K:K)</f>
        <v>5</v>
      </c>
    </row>
    <row r="135" spans="1:3" ht="18" customHeight="1" x14ac:dyDescent="0.45">
      <c r="A135" s="6" t="s">
        <v>48</v>
      </c>
      <c r="B135" s="6" t="s">
        <v>262</v>
      </c>
      <c r="C135" s="27">
        <f>_xlfn.XLOOKUP(B135,'職種別 (2種)'!C:C,'職種別 (2種)'!K:K)</f>
        <v>8</v>
      </c>
    </row>
    <row r="136" spans="1:3" ht="18" customHeight="1" x14ac:dyDescent="0.45">
      <c r="A136" s="6" t="s">
        <v>48</v>
      </c>
      <c r="B136" s="6" t="s">
        <v>263</v>
      </c>
      <c r="C136" s="27">
        <f>_xlfn.XLOOKUP(B136,'職種別 (2種)'!C:C,'職種別 (2種)'!K:K)</f>
        <v>8</v>
      </c>
    </row>
    <row r="137" spans="1:3" ht="18" customHeight="1" x14ac:dyDescent="0.45">
      <c r="A137" s="6" t="s">
        <v>48</v>
      </c>
      <c r="B137" s="6" t="s">
        <v>264</v>
      </c>
      <c r="C137" s="27">
        <f>_xlfn.XLOOKUP(B137,'職種別 (2種)'!C:C,'職種別 (2種)'!K:K)</f>
        <v>7</v>
      </c>
    </row>
    <row r="138" spans="1:3" ht="18" customHeight="1" x14ac:dyDescent="0.45">
      <c r="A138" s="6" t="s">
        <v>48</v>
      </c>
      <c r="B138" s="6" t="s">
        <v>265</v>
      </c>
      <c r="C138" s="27">
        <f>_xlfn.XLOOKUP(B138,'職種別 (2種)'!C:C,'職種別 (2種)'!K:K)</f>
        <v>5</v>
      </c>
    </row>
    <row r="139" spans="1:3" ht="18" customHeight="1" x14ac:dyDescent="0.45">
      <c r="A139" s="6" t="s">
        <v>48</v>
      </c>
      <c r="B139" s="6" t="s">
        <v>266</v>
      </c>
      <c r="C139" s="27">
        <f>_xlfn.XLOOKUP(B139,'職種別 (2種)'!C:C,'職種別 (2種)'!K:K)</f>
        <v>2</v>
      </c>
    </row>
    <row r="140" spans="1:3" ht="18" customHeight="1" x14ac:dyDescent="0.45">
      <c r="A140" s="6" t="s">
        <v>48</v>
      </c>
      <c r="B140" s="6" t="s">
        <v>267</v>
      </c>
      <c r="C140" s="27">
        <f>_xlfn.XLOOKUP(B140,'職種別 (2種)'!C:C,'職種別 (2種)'!K:K)</f>
        <v>7</v>
      </c>
    </row>
    <row r="141" spans="1:3" ht="18" customHeight="1" x14ac:dyDescent="0.45">
      <c r="A141" s="6" t="s">
        <v>48</v>
      </c>
      <c r="B141" s="6" t="s">
        <v>67</v>
      </c>
      <c r="C141" s="27">
        <f>_xlfn.XLOOKUP(B141,'職種別 (2種)'!C:C,'職種別 (2種)'!K:K)</f>
        <v>6</v>
      </c>
    </row>
    <row r="142" spans="1:3" ht="18" customHeight="1" x14ac:dyDescent="0.45">
      <c r="A142" s="6" t="s">
        <v>48</v>
      </c>
      <c r="B142" s="6" t="s">
        <v>268</v>
      </c>
      <c r="C142" s="27">
        <f>_xlfn.XLOOKUP(B142,'職種別 (2種)'!C:C,'職種別 (2種)'!K:K)</f>
        <v>4</v>
      </c>
    </row>
    <row r="143" spans="1:3" ht="18" customHeight="1" x14ac:dyDescent="0.45">
      <c r="A143" s="6" t="s">
        <v>48</v>
      </c>
      <c r="B143" s="6" t="s">
        <v>269</v>
      </c>
      <c r="C143" s="27">
        <f>_xlfn.XLOOKUP(B143,'職種別 (2種)'!C:C,'職種別 (2種)'!K:K)</f>
        <v>9</v>
      </c>
    </row>
    <row r="144" spans="1:3" ht="18" customHeight="1" x14ac:dyDescent="0.45">
      <c r="A144" s="6" t="s">
        <v>48</v>
      </c>
      <c r="B144" s="6" t="s">
        <v>68</v>
      </c>
      <c r="C144" s="27">
        <f>_xlfn.XLOOKUP(B144,'職種別 (2種)'!C:C,'職種別 (2種)'!K:K)</f>
        <v>8</v>
      </c>
    </row>
    <row r="145" spans="1:3" ht="18" customHeight="1" x14ac:dyDescent="0.45">
      <c r="A145" s="6" t="s">
        <v>48</v>
      </c>
      <c r="B145" s="6" t="s">
        <v>270</v>
      </c>
      <c r="C145" s="27">
        <f>_xlfn.XLOOKUP(B145,'職種別 (2種)'!C:C,'職種別 (2種)'!K:K)</f>
        <v>2</v>
      </c>
    </row>
    <row r="146" spans="1:3" ht="18" customHeight="1" x14ac:dyDescent="0.45">
      <c r="A146" s="6" t="s">
        <v>48</v>
      </c>
      <c r="B146" s="6" t="s">
        <v>271</v>
      </c>
      <c r="C146" s="27">
        <f>_xlfn.XLOOKUP(B146,'職種別 (2種)'!C:C,'職種別 (2種)'!K:K)</f>
        <v>6</v>
      </c>
    </row>
    <row r="147" spans="1:3" ht="18" customHeight="1" x14ac:dyDescent="0.45">
      <c r="A147" s="6" t="s">
        <v>48</v>
      </c>
      <c r="B147" s="6" t="s">
        <v>272</v>
      </c>
      <c r="C147" s="27">
        <f>_xlfn.XLOOKUP(B147,'職種別 (2種)'!C:C,'職種別 (2種)'!K:K)</f>
        <v>6</v>
      </c>
    </row>
    <row r="148" spans="1:3" ht="18" customHeight="1" x14ac:dyDescent="0.45">
      <c r="A148" s="6" t="s">
        <v>48</v>
      </c>
      <c r="B148" s="6" t="s">
        <v>273</v>
      </c>
      <c r="C148" s="27">
        <f>_xlfn.XLOOKUP(B148,'職種別 (2種)'!C:C,'職種別 (2種)'!K:K)</f>
        <v>7</v>
      </c>
    </row>
    <row r="149" spans="1:3" ht="18" customHeight="1" x14ac:dyDescent="0.45">
      <c r="A149" s="6" t="s">
        <v>48</v>
      </c>
      <c r="B149" s="6" t="s">
        <v>274</v>
      </c>
      <c r="C149" s="27">
        <f>_xlfn.XLOOKUP(B149,'職種別 (2種)'!C:C,'職種別 (2種)'!K:K)</f>
        <v>7</v>
      </c>
    </row>
    <row r="150" spans="1:3" ht="18" customHeight="1" x14ac:dyDescent="0.45">
      <c r="A150" s="6" t="s">
        <v>48</v>
      </c>
      <c r="B150" s="6" t="s">
        <v>275</v>
      </c>
      <c r="C150" s="27">
        <f>_xlfn.XLOOKUP(B150,'職種別 (2種)'!C:C,'職種別 (2種)'!K:K)</f>
        <v>4</v>
      </c>
    </row>
    <row r="151" spans="1:3" ht="18" customHeight="1" x14ac:dyDescent="0.45">
      <c r="A151" s="6" t="s">
        <v>48</v>
      </c>
      <c r="B151" s="6" t="s">
        <v>69</v>
      </c>
      <c r="C151" s="27">
        <f>_xlfn.XLOOKUP(B151,'職種別 (2種)'!C:C,'職種別 (2種)'!K:K)</f>
        <v>5</v>
      </c>
    </row>
    <row r="152" spans="1:3" ht="18" customHeight="1" x14ac:dyDescent="0.45">
      <c r="A152" s="6" t="s">
        <v>48</v>
      </c>
      <c r="B152" s="6" t="s">
        <v>70</v>
      </c>
      <c r="C152" s="27">
        <f>_xlfn.XLOOKUP(B152,'職種別 (2種)'!C:C,'職種別 (2種)'!K:K)</f>
        <v>7</v>
      </c>
    </row>
    <row r="153" spans="1:3" ht="18" customHeight="1" x14ac:dyDescent="0.45">
      <c r="A153" s="6" t="s">
        <v>48</v>
      </c>
      <c r="B153" s="6" t="s">
        <v>86</v>
      </c>
      <c r="C153" s="27">
        <f>_xlfn.XLOOKUP(B153,'職種別 (2種)'!C:C,'職種別 (2種)'!K:K)</f>
        <v>3</v>
      </c>
    </row>
    <row r="154" spans="1:3" ht="18" customHeight="1" x14ac:dyDescent="0.45">
      <c r="A154" s="6" t="s">
        <v>48</v>
      </c>
      <c r="B154" s="6" t="s">
        <v>87</v>
      </c>
      <c r="C154" s="27">
        <f>_xlfn.XLOOKUP(B154,'職種別 (2種)'!C:C,'職種別 (2種)'!K:K)</f>
        <v>4</v>
      </c>
    </row>
    <row r="155" spans="1:3" ht="18" customHeight="1" x14ac:dyDescent="0.45">
      <c r="A155" s="6" t="s">
        <v>71</v>
      </c>
      <c r="B155" s="6" t="s">
        <v>72</v>
      </c>
      <c r="C155" s="27">
        <f>_xlfn.XLOOKUP(B155,'職種別 (2種)'!C:C,'職種別 (2種)'!K:K)</f>
        <v>6</v>
      </c>
    </row>
    <row r="156" spans="1:3" ht="18" customHeight="1" x14ac:dyDescent="0.45">
      <c r="A156" s="6" t="s">
        <v>71</v>
      </c>
      <c r="B156" s="6" t="s">
        <v>276</v>
      </c>
      <c r="C156" s="27">
        <f>_xlfn.XLOOKUP(B156,'職種別 (2種)'!C:C,'職種別 (2種)'!K:K)</f>
        <v>6</v>
      </c>
    </row>
    <row r="157" spans="1:3" ht="18" customHeight="1" x14ac:dyDescent="0.45">
      <c r="A157" s="6" t="s">
        <v>71</v>
      </c>
      <c r="B157" s="6" t="s">
        <v>277</v>
      </c>
      <c r="C157" s="27">
        <f>_xlfn.XLOOKUP(B157,'職種別 (2種)'!C:C,'職種別 (2種)'!K:K)</f>
        <v>6</v>
      </c>
    </row>
    <row r="158" spans="1:3" ht="18" customHeight="1" x14ac:dyDescent="0.45">
      <c r="A158" s="6" t="s">
        <v>71</v>
      </c>
      <c r="B158" s="6" t="s">
        <v>73</v>
      </c>
      <c r="C158" s="27">
        <f>_xlfn.XLOOKUP(B158,'職種別 (2種)'!C:C,'職種別 (2種)'!K:K)</f>
        <v>8</v>
      </c>
    </row>
    <row r="159" spans="1:3" ht="18" customHeight="1" x14ac:dyDescent="0.45">
      <c r="A159" s="6" t="s">
        <v>71</v>
      </c>
      <c r="B159" s="6" t="s">
        <v>278</v>
      </c>
      <c r="C159" s="27">
        <f>_xlfn.XLOOKUP(B159,'職種別 (2種)'!C:C,'職種別 (2種)'!K:K)</f>
        <v>8</v>
      </c>
    </row>
    <row r="160" spans="1:3" ht="18" customHeight="1" x14ac:dyDescent="0.45">
      <c r="A160" s="6" t="s">
        <v>71</v>
      </c>
      <c r="B160" s="6" t="s">
        <v>279</v>
      </c>
      <c r="C160" s="27">
        <f>_xlfn.XLOOKUP(B160,'職種別 (2種)'!C:C,'職種別 (2種)'!K:K)</f>
        <v>10</v>
      </c>
    </row>
    <row r="161" spans="1:3" ht="18" customHeight="1" x14ac:dyDescent="0.45">
      <c r="A161" s="6" t="s">
        <v>71</v>
      </c>
      <c r="B161" s="6" t="s">
        <v>74</v>
      </c>
      <c r="C161" s="27">
        <f>_xlfn.XLOOKUP(B161,'職種別 (2種)'!C:C,'職種別 (2種)'!K:K)</f>
        <v>6</v>
      </c>
    </row>
    <row r="162" spans="1:3" ht="18" customHeight="1" x14ac:dyDescent="0.45">
      <c r="A162" s="6" t="s">
        <v>71</v>
      </c>
      <c r="B162" s="6" t="s">
        <v>75</v>
      </c>
      <c r="C162" s="27">
        <f>_xlfn.XLOOKUP(B162,'職種別 (2種)'!C:C,'職種別 (2種)'!K:K)</f>
        <v>7</v>
      </c>
    </row>
    <row r="163" spans="1:3" ht="18" customHeight="1" x14ac:dyDescent="0.45">
      <c r="A163" s="6" t="s">
        <v>71</v>
      </c>
      <c r="B163" s="6" t="s">
        <v>280</v>
      </c>
      <c r="C163" s="27">
        <f>_xlfn.XLOOKUP(B163,'職種別 (2種)'!C:C,'職種別 (2種)'!K:K)</f>
        <v>7</v>
      </c>
    </row>
    <row r="164" spans="1:3" ht="18" customHeight="1" x14ac:dyDescent="0.45">
      <c r="A164" s="6" t="s">
        <v>71</v>
      </c>
      <c r="B164" s="6" t="s">
        <v>281</v>
      </c>
      <c r="C164" s="27">
        <f>_xlfn.XLOOKUP(B164,'職種別 (2種)'!C:C,'職種別 (2種)'!K:K)</f>
        <v>6</v>
      </c>
    </row>
    <row r="165" spans="1:3" ht="18" customHeight="1" x14ac:dyDescent="0.45">
      <c r="A165" s="6" t="s">
        <v>71</v>
      </c>
      <c r="B165" s="6" t="s">
        <v>282</v>
      </c>
      <c r="C165" s="27">
        <f>_xlfn.XLOOKUP(B165,'職種別 (2種)'!C:C,'職種別 (2種)'!K:K)</f>
        <v>8</v>
      </c>
    </row>
    <row r="166" spans="1:3" ht="18" customHeight="1" x14ac:dyDescent="0.45">
      <c r="A166" s="6" t="s">
        <v>71</v>
      </c>
      <c r="B166" s="6" t="s">
        <v>283</v>
      </c>
      <c r="C166" s="27">
        <f>_xlfn.XLOOKUP(B166,'職種別 (2種)'!C:C,'職種別 (2種)'!K:K)</f>
        <v>8</v>
      </c>
    </row>
    <row r="167" spans="1:3" ht="18" customHeight="1" x14ac:dyDescent="0.45">
      <c r="A167" s="6" t="s">
        <v>71</v>
      </c>
      <c r="B167" s="6" t="s">
        <v>284</v>
      </c>
      <c r="C167" s="27">
        <f>_xlfn.XLOOKUP(B167,'職種別 (2種)'!C:C,'職種別 (2種)'!K:K)</f>
        <v>4</v>
      </c>
    </row>
    <row r="168" spans="1:3" ht="18" customHeight="1" x14ac:dyDescent="0.45">
      <c r="A168" s="6" t="s">
        <v>71</v>
      </c>
      <c r="B168" s="6" t="s">
        <v>76</v>
      </c>
      <c r="C168" s="27">
        <f>_xlfn.XLOOKUP(B168,'職種別 (2種)'!C:C,'職種別 (2種)'!K:K)</f>
        <v>7</v>
      </c>
    </row>
    <row r="169" spans="1:3" ht="18" customHeight="1" x14ac:dyDescent="0.45">
      <c r="A169" s="6" t="s">
        <v>71</v>
      </c>
      <c r="B169" s="6" t="s">
        <v>285</v>
      </c>
      <c r="C169" s="27">
        <f>_xlfn.XLOOKUP(B169,'職種別 (2種)'!C:C,'職種別 (2種)'!K:K)</f>
        <v>10</v>
      </c>
    </row>
    <row r="170" spans="1:3" ht="18" customHeight="1" x14ac:dyDescent="0.45">
      <c r="A170" s="6" t="s">
        <v>71</v>
      </c>
      <c r="B170" s="6" t="s">
        <v>286</v>
      </c>
      <c r="C170" s="27">
        <f>_xlfn.XLOOKUP(B170,'職種別 (2種)'!C:C,'職種別 (2種)'!K:K)</f>
        <v>8</v>
      </c>
    </row>
    <row r="171" spans="1:3" ht="18" customHeight="1" x14ac:dyDescent="0.45">
      <c r="A171" s="6" t="s">
        <v>71</v>
      </c>
      <c r="B171" s="6" t="s">
        <v>287</v>
      </c>
      <c r="C171" s="27">
        <f>_xlfn.XLOOKUP(B171,'職種別 (2種)'!C:C,'職種別 (2種)'!K:K)</f>
        <v>7</v>
      </c>
    </row>
    <row r="172" spans="1:3" ht="18" customHeight="1" x14ac:dyDescent="0.45">
      <c r="A172" s="6" t="s">
        <v>71</v>
      </c>
      <c r="B172" s="6" t="s">
        <v>288</v>
      </c>
      <c r="C172" s="27">
        <f>_xlfn.XLOOKUP(B172,'職種別 (2種)'!C:C,'職種別 (2種)'!K:K)</f>
        <v>3</v>
      </c>
    </row>
    <row r="173" spans="1:3" ht="18" customHeight="1" x14ac:dyDescent="0.45">
      <c r="A173" s="6" t="s">
        <v>71</v>
      </c>
      <c r="B173" s="6" t="s">
        <v>289</v>
      </c>
      <c r="C173" s="27">
        <f>_xlfn.XLOOKUP(B173,'職種別 (2種)'!C:C,'職種別 (2種)'!K:K)</f>
        <v>9</v>
      </c>
    </row>
    <row r="174" spans="1:3" ht="18" customHeight="1" x14ac:dyDescent="0.45">
      <c r="A174" s="6" t="s">
        <v>71</v>
      </c>
      <c r="B174" s="6" t="s">
        <v>290</v>
      </c>
      <c r="C174" s="27">
        <f>_xlfn.XLOOKUP(B174,'職種別 (2種)'!C:C,'職種別 (2種)'!K:K)</f>
        <v>4</v>
      </c>
    </row>
    <row r="175" spans="1:3" ht="18" customHeight="1" x14ac:dyDescent="0.45">
      <c r="A175" s="6" t="s">
        <v>71</v>
      </c>
      <c r="B175" s="6" t="s">
        <v>291</v>
      </c>
      <c r="C175" s="27">
        <f>_xlfn.XLOOKUP(B175,'職種別 (2種)'!C:C,'職種別 (2種)'!K:K)</f>
        <v>6</v>
      </c>
    </row>
    <row r="176" spans="1:3" ht="18" customHeight="1" x14ac:dyDescent="0.45">
      <c r="A176" s="6" t="s">
        <v>71</v>
      </c>
      <c r="B176" s="6" t="s">
        <v>292</v>
      </c>
      <c r="C176" s="27">
        <f>_xlfn.XLOOKUP(B176,'職種別 (2種)'!C:C,'職種別 (2種)'!K:K)</f>
        <v>6</v>
      </c>
    </row>
    <row r="177" spans="1:3" ht="18" customHeight="1" x14ac:dyDescent="0.45">
      <c r="A177" s="6" t="s">
        <v>71</v>
      </c>
      <c r="B177" s="6" t="s">
        <v>293</v>
      </c>
      <c r="C177" s="27">
        <f>_xlfn.XLOOKUP(B177,'職種別 (2種)'!C:C,'職種別 (2種)'!K:K)</f>
        <v>6</v>
      </c>
    </row>
    <row r="178" spans="1:3" ht="18" customHeight="1" x14ac:dyDescent="0.45">
      <c r="A178" s="6" t="s">
        <v>71</v>
      </c>
      <c r="B178" s="6" t="s">
        <v>294</v>
      </c>
      <c r="C178" s="27">
        <f>_xlfn.XLOOKUP(B178,'職種別 (2種)'!C:C,'職種別 (2種)'!K:K)</f>
        <v>7</v>
      </c>
    </row>
    <row r="179" spans="1:3" ht="18" customHeight="1" x14ac:dyDescent="0.45">
      <c r="A179" s="6" t="s">
        <v>71</v>
      </c>
      <c r="B179" s="6" t="s">
        <v>295</v>
      </c>
      <c r="C179" s="27">
        <f>_xlfn.XLOOKUP(B179,'職種別 (2種)'!C:C,'職種別 (2種)'!K:K)</f>
        <v>10</v>
      </c>
    </row>
    <row r="180" spans="1:3" ht="18" customHeight="1" x14ac:dyDescent="0.45">
      <c r="A180" s="6" t="s">
        <v>71</v>
      </c>
      <c r="B180" s="6" t="s">
        <v>296</v>
      </c>
      <c r="C180" s="27">
        <f>_xlfn.XLOOKUP(B180,'職種別 (2種)'!C:C,'職種別 (2種)'!K:K)</f>
        <v>9</v>
      </c>
    </row>
    <row r="181" spans="1:3" ht="18" customHeight="1" x14ac:dyDescent="0.45">
      <c r="A181" s="6" t="s">
        <v>71</v>
      </c>
      <c r="B181" s="6" t="s">
        <v>297</v>
      </c>
      <c r="C181" s="27">
        <f>_xlfn.XLOOKUP(B181,'職種別 (2種)'!C:C,'職種別 (2種)'!K:K)</f>
        <v>6</v>
      </c>
    </row>
    <row r="182" spans="1:3" ht="18" customHeight="1" x14ac:dyDescent="0.45">
      <c r="A182" s="6" t="s">
        <v>71</v>
      </c>
      <c r="B182" s="6" t="s">
        <v>175</v>
      </c>
      <c r="C182" s="27">
        <f>_xlfn.XLOOKUP(B182,'職種別 (2種)'!C:C,'職種別 (2種)'!K:K)</f>
        <v>8</v>
      </c>
    </row>
    <row r="183" spans="1:3" ht="18" customHeight="1" x14ac:dyDescent="0.45">
      <c r="A183" s="6" t="s">
        <v>71</v>
      </c>
      <c r="B183" s="6" t="s">
        <v>77</v>
      </c>
      <c r="C183" s="27">
        <f>_xlfn.XLOOKUP(B183,'職種別 (2種)'!C:C,'職種別 (2種)'!K:K)</f>
        <v>7</v>
      </c>
    </row>
    <row r="184" spans="1:3" ht="18" customHeight="1" x14ac:dyDescent="0.45">
      <c r="A184" s="6" t="s">
        <v>71</v>
      </c>
      <c r="B184" s="6" t="s">
        <v>78</v>
      </c>
      <c r="C184" s="27">
        <f>_xlfn.XLOOKUP(B184,'職種別 (2種)'!C:C,'職種別 (2種)'!K:K)</f>
        <v>2</v>
      </c>
    </row>
    <row r="185" spans="1:3" ht="18" customHeight="1" x14ac:dyDescent="0.45">
      <c r="A185" s="6" t="s">
        <v>71</v>
      </c>
      <c r="B185" s="6" t="s">
        <v>298</v>
      </c>
      <c r="C185" s="27">
        <f>_xlfn.XLOOKUP(B185,'職種別 (2種)'!C:C,'職種別 (2種)'!K:K)</f>
        <v>3</v>
      </c>
    </row>
    <row r="186" spans="1:3" ht="18" customHeight="1" x14ac:dyDescent="0.45">
      <c r="A186" s="6" t="s">
        <v>71</v>
      </c>
      <c r="B186" s="6" t="s">
        <v>299</v>
      </c>
      <c r="C186" s="27">
        <f>_xlfn.XLOOKUP(B186,'職種別 (2種)'!C:C,'職種別 (2種)'!K:K)</f>
        <v>4</v>
      </c>
    </row>
    <row r="187" spans="1:3" ht="18" customHeight="1" x14ac:dyDescent="0.45">
      <c r="A187" s="6" t="s">
        <v>71</v>
      </c>
      <c r="B187" s="6" t="s">
        <v>300</v>
      </c>
      <c r="C187" s="27">
        <f>_xlfn.XLOOKUP(B187,'職種別 (2種)'!C:C,'職種別 (2種)'!K:K)</f>
        <v>9</v>
      </c>
    </row>
    <row r="188" spans="1:3" ht="18" customHeight="1" x14ac:dyDescent="0.45">
      <c r="A188" s="6" t="s">
        <v>71</v>
      </c>
      <c r="B188" s="6" t="s">
        <v>79</v>
      </c>
      <c r="C188" s="27">
        <f>_xlfn.XLOOKUP(B188,'職種別 (2種)'!C:C,'職種別 (2種)'!K:K)</f>
        <v>10</v>
      </c>
    </row>
    <row r="189" spans="1:3" ht="18" customHeight="1" x14ac:dyDescent="0.45">
      <c r="A189" s="6" t="s">
        <v>71</v>
      </c>
      <c r="B189" s="6" t="s">
        <v>301</v>
      </c>
      <c r="C189" s="27">
        <f>_xlfn.XLOOKUP(B189,'職種別 (2種)'!C:C,'職種別 (2種)'!K:K)</f>
        <v>4</v>
      </c>
    </row>
    <row r="190" spans="1:3" ht="18" customHeight="1" x14ac:dyDescent="0.45">
      <c r="A190" s="6" t="s">
        <v>71</v>
      </c>
      <c r="B190" s="6" t="s">
        <v>302</v>
      </c>
      <c r="C190" s="27">
        <f>_xlfn.XLOOKUP(B190,'職種別 (2種)'!C:C,'職種別 (2種)'!K:K)</f>
        <v>5</v>
      </c>
    </row>
    <row r="191" spans="1:3" ht="18" customHeight="1" x14ac:dyDescent="0.45">
      <c r="A191" s="6" t="s">
        <v>71</v>
      </c>
      <c r="B191" s="6" t="s">
        <v>303</v>
      </c>
      <c r="C191" s="27">
        <f>_xlfn.XLOOKUP(B191,'職種別 (2種)'!C:C,'職種別 (2種)'!K:K)</f>
        <v>8</v>
      </c>
    </row>
    <row r="192" spans="1:3" ht="18" customHeight="1" x14ac:dyDescent="0.45">
      <c r="A192" s="6" t="s">
        <v>71</v>
      </c>
      <c r="B192" s="6" t="s">
        <v>80</v>
      </c>
      <c r="C192" s="27">
        <f>_xlfn.XLOOKUP(B192,'職種別 (2種)'!C:C,'職種別 (2種)'!K:K)</f>
        <v>6</v>
      </c>
    </row>
    <row r="193" spans="1:3" ht="18" customHeight="1" x14ac:dyDescent="0.45">
      <c r="A193" s="6" t="s">
        <v>71</v>
      </c>
      <c r="B193" s="6" t="s">
        <v>81</v>
      </c>
      <c r="C193" s="27">
        <f>_xlfn.XLOOKUP(B193,'職種別 (2種)'!C:C,'職種別 (2種)'!K:K)</f>
        <v>8</v>
      </c>
    </row>
    <row r="194" spans="1:3" ht="18" customHeight="1" x14ac:dyDescent="0.45">
      <c r="A194" s="6" t="s">
        <v>71</v>
      </c>
      <c r="B194" s="6" t="s">
        <v>304</v>
      </c>
      <c r="C194" s="27">
        <f>_xlfn.XLOOKUP(B194,'職種別 (2種)'!C:C,'職種別 (2種)'!K:K)</f>
        <v>3</v>
      </c>
    </row>
    <row r="195" spans="1:3" ht="18" customHeight="1" x14ac:dyDescent="0.45">
      <c r="A195" s="6" t="s">
        <v>71</v>
      </c>
      <c r="B195" s="6" t="s">
        <v>305</v>
      </c>
      <c r="C195" s="27">
        <f>_xlfn.XLOOKUP(B195,'職種別 (2種)'!C:C,'職種別 (2種)'!K:K)</f>
        <v>6</v>
      </c>
    </row>
    <row r="196" spans="1:3" ht="18" customHeight="1" x14ac:dyDescent="0.45">
      <c r="A196" s="6" t="s">
        <v>71</v>
      </c>
      <c r="B196" s="6" t="s">
        <v>306</v>
      </c>
      <c r="C196" s="27">
        <f>_xlfn.XLOOKUP(B196,'職種別 (2種)'!C:C,'職種別 (2種)'!K:K)</f>
        <v>2</v>
      </c>
    </row>
    <row r="197" spans="1:3" ht="18" customHeight="1" x14ac:dyDescent="0.45">
      <c r="A197" s="6" t="s">
        <v>71</v>
      </c>
      <c r="B197" s="6" t="s">
        <v>82</v>
      </c>
      <c r="C197" s="27">
        <f>_xlfn.XLOOKUP(B197,'職種別 (2種)'!C:C,'職種別 (2種)'!K:K)</f>
        <v>4</v>
      </c>
    </row>
    <row r="198" spans="1:3" ht="18" customHeight="1" x14ac:dyDescent="0.45">
      <c r="A198" s="6" t="s">
        <v>71</v>
      </c>
      <c r="B198" s="6" t="s">
        <v>83</v>
      </c>
      <c r="C198" s="27">
        <f>_xlfn.XLOOKUP(B198,'職種別 (2種)'!C:C,'職種別 (2種)'!K:K)</f>
        <v>8</v>
      </c>
    </row>
    <row r="199" spans="1:3" ht="18" customHeight="1" x14ac:dyDescent="0.45">
      <c r="A199" s="6" t="s">
        <v>71</v>
      </c>
      <c r="B199" s="6" t="s">
        <v>307</v>
      </c>
      <c r="C199" s="27">
        <f>_xlfn.XLOOKUP(B199,'職種別 (2種)'!C:C,'職種別 (2種)'!K:K)</f>
        <v>4</v>
      </c>
    </row>
    <row r="200" spans="1:3" ht="18" customHeight="1" x14ac:dyDescent="0.45">
      <c r="A200" s="6" t="s">
        <v>71</v>
      </c>
      <c r="B200" s="6" t="s">
        <v>308</v>
      </c>
      <c r="C200" s="27">
        <f>_xlfn.XLOOKUP(B200,'職種別 (2種)'!C:C,'職種別 (2種)'!K:K)</f>
        <v>9</v>
      </c>
    </row>
    <row r="201" spans="1:3" ht="18" customHeight="1" x14ac:dyDescent="0.45">
      <c r="A201" s="6" t="s">
        <v>71</v>
      </c>
      <c r="B201" s="6" t="s">
        <v>84</v>
      </c>
      <c r="C201" s="27">
        <f>_xlfn.XLOOKUP(B201,'職種別 (2種)'!C:C,'職種別 (2種)'!K:K)</f>
        <v>4</v>
      </c>
    </row>
    <row r="202" spans="1:3" ht="18" customHeight="1" x14ac:dyDescent="0.45">
      <c r="A202" s="6" t="s">
        <v>85</v>
      </c>
      <c r="B202" s="6" t="s">
        <v>88</v>
      </c>
      <c r="C202" s="27">
        <f>_xlfn.XLOOKUP(B202,'職種別 (2種)'!C:C,'職種別 (2種)'!K:K)</f>
        <v>7</v>
      </c>
    </row>
    <row r="203" spans="1:3" ht="18" customHeight="1" x14ac:dyDescent="0.45">
      <c r="A203" s="6" t="s">
        <v>85</v>
      </c>
      <c r="B203" s="6" t="s">
        <v>89</v>
      </c>
      <c r="C203" s="27">
        <f>_xlfn.XLOOKUP(B203,'職種別 (2種)'!C:C,'職種別 (2種)'!K:K)</f>
        <v>3</v>
      </c>
    </row>
    <row r="204" spans="1:3" ht="18" customHeight="1" x14ac:dyDescent="0.45">
      <c r="A204" s="6" t="s">
        <v>85</v>
      </c>
      <c r="B204" s="6" t="s">
        <v>90</v>
      </c>
      <c r="C204" s="27">
        <f>_xlfn.XLOOKUP(B204,'職種別 (2種)'!C:C,'職種別 (2種)'!K:K)</f>
        <v>7</v>
      </c>
    </row>
    <row r="205" spans="1:3" ht="18" customHeight="1" x14ac:dyDescent="0.45">
      <c r="A205" s="6" t="s">
        <v>85</v>
      </c>
      <c r="B205" s="6" t="s">
        <v>91</v>
      </c>
      <c r="C205" s="27">
        <f>_xlfn.XLOOKUP(B205,'職種別 (2種)'!C:C,'職種別 (2種)'!K:K)</f>
        <v>4</v>
      </c>
    </row>
    <row r="206" spans="1:3" ht="18" customHeight="1" x14ac:dyDescent="0.45">
      <c r="A206" s="6" t="s">
        <v>85</v>
      </c>
      <c r="B206" s="6" t="s">
        <v>92</v>
      </c>
      <c r="C206" s="27">
        <f>_xlfn.XLOOKUP(B206,'職種別 (2種)'!C:C,'職種別 (2種)'!K:K)</f>
        <v>6</v>
      </c>
    </row>
    <row r="207" spans="1:3" ht="18" customHeight="1" x14ac:dyDescent="0.45">
      <c r="A207" s="6" t="s">
        <v>85</v>
      </c>
      <c r="B207" s="6" t="s">
        <v>93</v>
      </c>
      <c r="C207" s="27">
        <f>_xlfn.XLOOKUP(B207,'職種別 (2種)'!C:C,'職種別 (2種)'!K:K)</f>
        <v>6</v>
      </c>
    </row>
    <row r="208" spans="1:3" ht="18" customHeight="1" x14ac:dyDescent="0.45">
      <c r="A208" s="6" t="s">
        <v>85</v>
      </c>
      <c r="B208" s="6" t="s">
        <v>94</v>
      </c>
      <c r="C208" s="27">
        <f>_xlfn.XLOOKUP(B208,'職種別 (2種)'!C:C,'職種別 (2種)'!K:K)</f>
        <v>9</v>
      </c>
    </row>
    <row r="209" spans="1:3" ht="18" customHeight="1" x14ac:dyDescent="0.45">
      <c r="A209" s="6" t="s">
        <v>85</v>
      </c>
      <c r="B209" s="6" t="s">
        <v>95</v>
      </c>
      <c r="C209" s="27">
        <f>_xlfn.XLOOKUP(B209,'職種別 (2種)'!C:C,'職種別 (2種)'!K:K)</f>
        <v>8</v>
      </c>
    </row>
    <row r="210" spans="1:3" ht="18" customHeight="1" x14ac:dyDescent="0.45">
      <c r="A210" s="6" t="s">
        <v>85</v>
      </c>
      <c r="B210" s="6" t="s">
        <v>309</v>
      </c>
      <c r="C210" s="27">
        <f>_xlfn.XLOOKUP(B210,'職種別 (2種)'!C:C,'職種別 (2種)'!K:K)</f>
        <v>8</v>
      </c>
    </row>
    <row r="211" spans="1:3" ht="18" customHeight="1" x14ac:dyDescent="0.45">
      <c r="A211" s="6" t="s">
        <v>85</v>
      </c>
      <c r="B211" s="6" t="s">
        <v>96</v>
      </c>
      <c r="C211" s="27">
        <f>_xlfn.XLOOKUP(B211,'職種別 (2種)'!C:C,'職種別 (2種)'!K:K)</f>
        <v>6</v>
      </c>
    </row>
    <row r="212" spans="1:3" ht="18" customHeight="1" x14ac:dyDescent="0.45">
      <c r="A212" s="6" t="s">
        <v>85</v>
      </c>
      <c r="B212" s="6" t="s">
        <v>97</v>
      </c>
      <c r="C212" s="27">
        <f>_xlfn.XLOOKUP(B212,'職種別 (2種)'!C:C,'職種別 (2種)'!K:K)</f>
        <v>7</v>
      </c>
    </row>
    <row r="213" spans="1:3" ht="18" customHeight="1" x14ac:dyDescent="0.45">
      <c r="A213" s="6" t="s">
        <v>85</v>
      </c>
      <c r="B213" s="6" t="s">
        <v>98</v>
      </c>
      <c r="C213" s="27">
        <f>_xlfn.XLOOKUP(B213,'職種別 (2種)'!C:C,'職種別 (2種)'!K:K)</f>
        <v>8</v>
      </c>
    </row>
    <row r="214" spans="1:3" ht="18" customHeight="1" x14ac:dyDescent="0.45">
      <c r="A214" s="6" t="s">
        <v>85</v>
      </c>
      <c r="B214" s="6" t="s">
        <v>99</v>
      </c>
      <c r="C214" s="27">
        <f>_xlfn.XLOOKUP(B214,'職種別 (2種)'!C:C,'職種別 (2種)'!K:K)</f>
        <v>4</v>
      </c>
    </row>
    <row r="215" spans="1:3" ht="18" customHeight="1" x14ac:dyDescent="0.45">
      <c r="A215" s="6" t="s">
        <v>85</v>
      </c>
      <c r="B215" s="6" t="s">
        <v>310</v>
      </c>
      <c r="C215" s="27">
        <f>_xlfn.XLOOKUP(B215,'職種別 (2種)'!C:C,'職種別 (2種)'!K:K)</f>
        <v>6</v>
      </c>
    </row>
    <row r="216" spans="1:3" ht="18" customHeight="1" x14ac:dyDescent="0.45">
      <c r="A216" s="6" t="s">
        <v>85</v>
      </c>
      <c r="B216" s="6" t="s">
        <v>100</v>
      </c>
      <c r="C216" s="27">
        <f>_xlfn.XLOOKUP(B216,'職種別 (2種)'!C:C,'職種別 (2種)'!K:K)</f>
        <v>1</v>
      </c>
    </row>
    <row r="217" spans="1:3" ht="18" customHeight="1" x14ac:dyDescent="0.45">
      <c r="A217" s="6" t="s">
        <v>85</v>
      </c>
      <c r="B217" s="6" t="s">
        <v>106</v>
      </c>
      <c r="C217" s="27">
        <f>_xlfn.XLOOKUP(B217,'職種別 (2種)'!C:C,'職種別 (2種)'!K:K)</f>
        <v>8</v>
      </c>
    </row>
    <row r="218" spans="1:3" ht="18" customHeight="1" x14ac:dyDescent="0.45">
      <c r="A218" s="6" t="s">
        <v>85</v>
      </c>
      <c r="B218" s="6" t="s">
        <v>107</v>
      </c>
      <c r="C218" s="27">
        <f>_xlfn.XLOOKUP(B218,'職種別 (2種)'!C:C,'職種別 (2種)'!K:K)</f>
        <v>6</v>
      </c>
    </row>
    <row r="219" spans="1:3" ht="18" customHeight="1" x14ac:dyDescent="0.45">
      <c r="A219" s="6" t="s">
        <v>85</v>
      </c>
      <c r="B219" s="6" t="s">
        <v>108</v>
      </c>
      <c r="C219" s="27">
        <f>_xlfn.XLOOKUP(B219,'職種別 (2種)'!C:C,'職種別 (2種)'!K:K)</f>
        <v>4</v>
      </c>
    </row>
    <row r="220" spans="1:3" ht="18" customHeight="1" x14ac:dyDescent="0.45">
      <c r="A220" s="6" t="s">
        <v>85</v>
      </c>
      <c r="B220" s="6" t="s">
        <v>109</v>
      </c>
      <c r="C220" s="27">
        <f>_xlfn.XLOOKUP(B220,'職種別 (2種)'!C:C,'職種別 (2種)'!K:K)</f>
        <v>10</v>
      </c>
    </row>
    <row r="221" spans="1:3" ht="18" customHeight="1" x14ac:dyDescent="0.45">
      <c r="A221" s="6" t="s">
        <v>85</v>
      </c>
      <c r="B221" s="6" t="s">
        <v>110</v>
      </c>
      <c r="C221" s="27">
        <f>_xlfn.XLOOKUP(B221,'職種別 (2種)'!C:C,'職種別 (2種)'!K:K)</f>
        <v>5</v>
      </c>
    </row>
    <row r="222" spans="1:3" ht="18" customHeight="1" x14ac:dyDescent="0.45">
      <c r="A222" s="6" t="s">
        <v>85</v>
      </c>
      <c r="B222" s="6" t="s">
        <v>111</v>
      </c>
      <c r="C222" s="27">
        <f>_xlfn.XLOOKUP(B222,'職種別 (2種)'!C:C,'職種別 (2種)'!K:K)</f>
        <v>6</v>
      </c>
    </row>
    <row r="223" spans="1:3" ht="18" customHeight="1" x14ac:dyDescent="0.45">
      <c r="A223" s="6" t="s">
        <v>85</v>
      </c>
      <c r="B223" s="6" t="s">
        <v>112</v>
      </c>
      <c r="C223" s="27">
        <f>_xlfn.XLOOKUP(B223,'職種別 (2種)'!C:C,'職種別 (2種)'!K:K)</f>
        <v>5</v>
      </c>
    </row>
    <row r="224" spans="1:3" ht="18" customHeight="1" x14ac:dyDescent="0.45">
      <c r="A224" s="6" t="s">
        <v>85</v>
      </c>
      <c r="B224" s="6" t="s">
        <v>113</v>
      </c>
      <c r="C224" s="27">
        <f>_xlfn.XLOOKUP(B224,'職種別 (2種)'!C:C,'職種別 (2種)'!K:K)</f>
        <v>6</v>
      </c>
    </row>
    <row r="225" spans="1:3" ht="18" customHeight="1" x14ac:dyDescent="0.45">
      <c r="A225" s="6" t="s">
        <v>85</v>
      </c>
      <c r="B225" s="6" t="s">
        <v>114</v>
      </c>
      <c r="C225" s="27">
        <f>_xlfn.XLOOKUP(B225,'職種別 (2種)'!C:C,'職種別 (2種)'!K:K)</f>
        <v>10</v>
      </c>
    </row>
    <row r="226" spans="1:3" ht="18" customHeight="1" x14ac:dyDescent="0.45">
      <c r="A226" s="6" t="s">
        <v>85</v>
      </c>
      <c r="B226" s="6" t="s">
        <v>115</v>
      </c>
      <c r="C226" s="27">
        <f>_xlfn.XLOOKUP(B226,'職種別 (2種)'!C:C,'職種別 (2種)'!K:K)</f>
        <v>8</v>
      </c>
    </row>
    <row r="227" spans="1:3" ht="18" customHeight="1" x14ac:dyDescent="0.45">
      <c r="A227" s="6" t="s">
        <v>85</v>
      </c>
      <c r="B227" s="6" t="s">
        <v>116</v>
      </c>
      <c r="C227" s="27">
        <f>_xlfn.XLOOKUP(B227,'職種別 (2種)'!C:C,'職種別 (2種)'!K:K)</f>
        <v>6</v>
      </c>
    </row>
    <row r="228" spans="1:3" ht="18" customHeight="1" x14ac:dyDescent="0.45">
      <c r="A228" s="6" t="s">
        <v>85</v>
      </c>
      <c r="B228" s="6" t="s">
        <v>117</v>
      </c>
      <c r="C228" s="27">
        <f>_xlfn.XLOOKUP(B228,'職種別 (2種)'!C:C,'職種別 (2種)'!K:K)</f>
        <v>8</v>
      </c>
    </row>
    <row r="229" spans="1:3" ht="18" customHeight="1" x14ac:dyDescent="0.45">
      <c r="A229" s="6" t="s">
        <v>85</v>
      </c>
      <c r="B229" s="6" t="s">
        <v>118</v>
      </c>
      <c r="C229" s="27">
        <f>_xlfn.XLOOKUP(B229,'職種別 (2種)'!C:C,'職種別 (2種)'!K:K)</f>
        <v>8</v>
      </c>
    </row>
    <row r="230" spans="1:3" ht="18" customHeight="1" x14ac:dyDescent="0.45">
      <c r="A230" s="6" t="s">
        <v>85</v>
      </c>
      <c r="B230" s="6" t="s">
        <v>119</v>
      </c>
      <c r="C230" s="27">
        <f>_xlfn.XLOOKUP(B230,'職種別 (2種)'!C:C,'職種別 (2種)'!K:K)</f>
        <v>10</v>
      </c>
    </row>
    <row r="231" spans="1:3" ht="18" customHeight="1" x14ac:dyDescent="0.45">
      <c r="A231" s="6" t="s">
        <v>85</v>
      </c>
      <c r="B231" s="6" t="s">
        <v>120</v>
      </c>
      <c r="C231" s="27">
        <f>_xlfn.XLOOKUP(B231,'職種別 (2種)'!C:C,'職種別 (2種)'!K:K)</f>
        <v>7</v>
      </c>
    </row>
    <row r="232" spans="1:3" ht="18" customHeight="1" x14ac:dyDescent="0.45">
      <c r="A232" s="6" t="s">
        <v>85</v>
      </c>
      <c r="B232" s="6" t="s">
        <v>311</v>
      </c>
      <c r="C232" s="27">
        <f>_xlfn.XLOOKUP(B232,'職種別 (2種)'!C:C,'職種別 (2種)'!K:K)</f>
        <v>8</v>
      </c>
    </row>
    <row r="233" spans="1:3" ht="18" customHeight="1" x14ac:dyDescent="0.45">
      <c r="A233" s="6" t="s">
        <v>85</v>
      </c>
      <c r="B233" s="6" t="s">
        <v>121</v>
      </c>
      <c r="C233" s="27">
        <f>_xlfn.XLOOKUP(B233,'職種別 (2種)'!C:C,'職種別 (2種)'!K:K)</f>
        <v>8</v>
      </c>
    </row>
    <row r="234" spans="1:3" ht="18" customHeight="1" x14ac:dyDescent="0.45">
      <c r="A234" s="6" t="s">
        <v>85</v>
      </c>
      <c r="B234" s="6" t="s">
        <v>122</v>
      </c>
      <c r="C234" s="27">
        <f>_xlfn.XLOOKUP(B234,'職種別 (2種)'!C:C,'職種別 (2種)'!K:K)</f>
        <v>7</v>
      </c>
    </row>
    <row r="235" spans="1:3" ht="18" customHeight="1" x14ac:dyDescent="0.45">
      <c r="A235" s="6" t="s">
        <v>85</v>
      </c>
      <c r="B235" s="6" t="s">
        <v>123</v>
      </c>
      <c r="C235" s="27">
        <f>_xlfn.XLOOKUP(B235,'職種別 (2種)'!C:C,'職種別 (2種)'!K:K)</f>
        <v>5</v>
      </c>
    </row>
    <row r="236" spans="1:3" ht="18" customHeight="1" x14ac:dyDescent="0.45">
      <c r="A236" s="6" t="s">
        <v>85</v>
      </c>
      <c r="B236" s="6" t="s">
        <v>124</v>
      </c>
      <c r="C236" s="27">
        <f>_xlfn.XLOOKUP(B236,'職種別 (2種)'!C:C,'職種別 (2種)'!K:K)</f>
        <v>6</v>
      </c>
    </row>
    <row r="237" spans="1:3" ht="18" customHeight="1" x14ac:dyDescent="0.45">
      <c r="A237" s="6" t="s">
        <v>85</v>
      </c>
      <c r="B237" s="6" t="s">
        <v>312</v>
      </c>
      <c r="C237" s="27">
        <f>_xlfn.XLOOKUP(B237,'職種別 (2種)'!C:C,'職種別 (2種)'!K:K)</f>
        <v>6</v>
      </c>
    </row>
    <row r="238" spans="1:3" ht="18" customHeight="1" x14ac:dyDescent="0.45">
      <c r="A238" s="6" t="s">
        <v>85</v>
      </c>
      <c r="B238" s="6" t="s">
        <v>125</v>
      </c>
      <c r="C238" s="27">
        <f>_xlfn.XLOOKUP(B238,'職種別 (2種)'!C:C,'職種別 (2種)'!K:K)</f>
        <v>7</v>
      </c>
    </row>
    <row r="239" spans="1:3" ht="18" customHeight="1" x14ac:dyDescent="0.45">
      <c r="A239" s="6" t="s">
        <v>85</v>
      </c>
      <c r="B239" s="6" t="s">
        <v>126</v>
      </c>
      <c r="C239" s="27">
        <f>_xlfn.XLOOKUP(B239,'職種別 (2種)'!C:C,'職種別 (2種)'!K:K)</f>
        <v>8</v>
      </c>
    </row>
    <row r="240" spans="1:3" ht="18" customHeight="1" x14ac:dyDescent="0.45">
      <c r="A240" s="6" t="s">
        <v>85</v>
      </c>
      <c r="B240" s="6" t="s">
        <v>127</v>
      </c>
      <c r="C240" s="27">
        <f>_xlfn.XLOOKUP(B240,'職種別 (2種)'!C:C,'職種別 (2種)'!K:K)</f>
        <v>8</v>
      </c>
    </row>
    <row r="241" spans="1:3" ht="18" customHeight="1" x14ac:dyDescent="0.45">
      <c r="A241" s="6" t="s">
        <v>85</v>
      </c>
      <c r="B241" s="6" t="s">
        <v>128</v>
      </c>
      <c r="C241" s="27">
        <f>_xlfn.XLOOKUP(B241,'職種別 (2種)'!C:C,'職種別 (2種)'!K:K)</f>
        <v>9</v>
      </c>
    </row>
    <row r="242" spans="1:3" ht="18" customHeight="1" x14ac:dyDescent="0.45">
      <c r="A242" s="6" t="s">
        <v>85</v>
      </c>
      <c r="B242" s="6" t="s">
        <v>313</v>
      </c>
      <c r="C242" s="27">
        <f>_xlfn.XLOOKUP(B242,'職種別 (2種)'!C:C,'職種別 (2種)'!K:K)</f>
        <v>10</v>
      </c>
    </row>
    <row r="243" spans="1:3" ht="18" customHeight="1" x14ac:dyDescent="0.45">
      <c r="A243" s="6" t="s">
        <v>85</v>
      </c>
      <c r="B243" s="6" t="s">
        <v>129</v>
      </c>
      <c r="C243" s="27">
        <f>_xlfn.XLOOKUP(B243,'職種別 (2種)'!C:C,'職種別 (2種)'!K:K)</f>
        <v>8</v>
      </c>
    </row>
    <row r="244" spans="1:3" ht="18" customHeight="1" x14ac:dyDescent="0.45">
      <c r="A244" s="6" t="s">
        <v>85</v>
      </c>
      <c r="B244" s="6" t="s">
        <v>314</v>
      </c>
      <c r="C244" s="27">
        <f>_xlfn.XLOOKUP(B244,'職種別 (2種)'!C:C,'職種別 (2種)'!K:K)</f>
        <v>8</v>
      </c>
    </row>
    <row r="245" spans="1:3" ht="18" customHeight="1" x14ac:dyDescent="0.45">
      <c r="A245" s="6" t="s">
        <v>85</v>
      </c>
      <c r="B245" s="6" t="s">
        <v>130</v>
      </c>
      <c r="C245" s="27">
        <f>_xlfn.XLOOKUP(B245,'職種別 (2種)'!C:C,'職種別 (2種)'!K:K)</f>
        <v>8</v>
      </c>
    </row>
    <row r="246" spans="1:3" ht="18" customHeight="1" x14ac:dyDescent="0.45">
      <c r="A246" s="6" t="s">
        <v>85</v>
      </c>
      <c r="B246" s="6" t="s">
        <v>131</v>
      </c>
      <c r="C246" s="27">
        <f>_xlfn.XLOOKUP(B246,'職種別 (2種)'!C:C,'職種別 (2種)'!K:K)</f>
        <v>8</v>
      </c>
    </row>
    <row r="247" spans="1:3" ht="18" customHeight="1" x14ac:dyDescent="0.45">
      <c r="A247" s="6" t="s">
        <v>85</v>
      </c>
      <c r="B247" s="6" t="s">
        <v>132</v>
      </c>
      <c r="C247" s="27">
        <f>_xlfn.XLOOKUP(B247,'職種別 (2種)'!C:C,'職種別 (2種)'!K:K)</f>
        <v>3</v>
      </c>
    </row>
    <row r="248" spans="1:3" ht="18" customHeight="1" x14ac:dyDescent="0.45">
      <c r="A248" s="6" t="s">
        <v>85</v>
      </c>
      <c r="B248" s="6" t="s">
        <v>133</v>
      </c>
      <c r="C248" s="27">
        <f>_xlfn.XLOOKUP(B248,'職種別 (2種)'!C:C,'職種別 (2種)'!K:K)</f>
        <v>6</v>
      </c>
    </row>
    <row r="249" spans="1:3" ht="18" customHeight="1" x14ac:dyDescent="0.45">
      <c r="A249" s="6" t="s">
        <v>85</v>
      </c>
      <c r="B249" s="6" t="s">
        <v>134</v>
      </c>
      <c r="C249" s="27">
        <f>_xlfn.XLOOKUP(B249,'職種別 (2種)'!C:C,'職種別 (2種)'!K:K)</f>
        <v>7</v>
      </c>
    </row>
    <row r="250" spans="1:3" ht="18" customHeight="1" x14ac:dyDescent="0.45">
      <c r="A250" s="6" t="s">
        <v>85</v>
      </c>
      <c r="B250" s="6" t="s">
        <v>135</v>
      </c>
      <c r="C250" s="27">
        <f>_xlfn.XLOOKUP(B250,'職種別 (2種)'!C:C,'職種別 (2種)'!K:K)</f>
        <v>7</v>
      </c>
    </row>
    <row r="251" spans="1:3" ht="18" customHeight="1" x14ac:dyDescent="0.45">
      <c r="A251" s="6" t="s">
        <v>85</v>
      </c>
      <c r="B251" s="6" t="s">
        <v>136</v>
      </c>
      <c r="C251" s="27">
        <f>_xlfn.XLOOKUP(B251,'職種別 (2種)'!C:C,'職種別 (2種)'!K:K)</f>
        <v>10</v>
      </c>
    </row>
    <row r="252" spans="1:3" ht="18" customHeight="1" x14ac:dyDescent="0.45">
      <c r="A252" s="6" t="s">
        <v>85</v>
      </c>
      <c r="B252" s="6" t="s">
        <v>137</v>
      </c>
      <c r="C252" s="27">
        <f>_xlfn.XLOOKUP(B252,'職種別 (2種)'!C:C,'職種別 (2種)'!K:K)</f>
        <v>6</v>
      </c>
    </row>
    <row r="253" spans="1:3" ht="18" customHeight="1" x14ac:dyDescent="0.45">
      <c r="A253" s="6" t="s">
        <v>85</v>
      </c>
      <c r="B253" s="6" t="s">
        <v>138</v>
      </c>
      <c r="C253" s="27">
        <f>_xlfn.XLOOKUP(B253,'職種別 (2種)'!C:C,'職種別 (2種)'!K:K)</f>
        <v>10</v>
      </c>
    </row>
    <row r="254" spans="1:3" ht="18" customHeight="1" x14ac:dyDescent="0.45">
      <c r="A254" s="6" t="s">
        <v>85</v>
      </c>
      <c r="B254" s="6" t="s">
        <v>139</v>
      </c>
      <c r="C254" s="27">
        <f>_xlfn.XLOOKUP(B254,'職種別 (2種)'!C:C,'職種別 (2種)'!K:K)</f>
        <v>8</v>
      </c>
    </row>
    <row r="255" spans="1:3" ht="18" customHeight="1" x14ac:dyDescent="0.45">
      <c r="A255" s="6" t="s">
        <v>85</v>
      </c>
      <c r="B255" s="6" t="s">
        <v>140</v>
      </c>
      <c r="C255" s="27">
        <f>_xlfn.XLOOKUP(B255,'職種別 (2種)'!C:C,'職種別 (2種)'!K:K)</f>
        <v>9</v>
      </c>
    </row>
    <row r="256" spans="1:3" ht="18" customHeight="1" x14ac:dyDescent="0.45">
      <c r="A256" s="6" t="s">
        <v>85</v>
      </c>
      <c r="B256" s="6" t="s">
        <v>141</v>
      </c>
      <c r="C256" s="27">
        <f>_xlfn.XLOOKUP(B256,'職種別 (2種)'!C:C,'職種別 (2種)'!K:K)</f>
        <v>7</v>
      </c>
    </row>
    <row r="257" spans="1:3" ht="18" customHeight="1" x14ac:dyDescent="0.45">
      <c r="A257" s="6" t="s">
        <v>85</v>
      </c>
      <c r="B257" s="6" t="s">
        <v>142</v>
      </c>
      <c r="C257" s="27">
        <f>_xlfn.XLOOKUP(B257,'職種別 (2種)'!C:C,'職種別 (2種)'!K:K)</f>
        <v>8</v>
      </c>
    </row>
    <row r="258" spans="1:3" ht="18" customHeight="1" x14ac:dyDescent="0.45">
      <c r="A258" s="6" t="s">
        <v>85</v>
      </c>
      <c r="B258" s="6" t="s">
        <v>143</v>
      </c>
      <c r="C258" s="27">
        <f>_xlfn.XLOOKUP(B258,'職種別 (2種)'!C:C,'職種別 (2種)'!K:K)</f>
        <v>7</v>
      </c>
    </row>
    <row r="259" spans="1:3" ht="18" customHeight="1" x14ac:dyDescent="0.45">
      <c r="A259" s="6" t="s">
        <v>85</v>
      </c>
      <c r="B259" s="6" t="s">
        <v>144</v>
      </c>
      <c r="C259" s="27">
        <f>_xlfn.XLOOKUP(B259,'職種別 (2種)'!C:C,'職種別 (2種)'!K:K)</f>
        <v>8</v>
      </c>
    </row>
    <row r="260" spans="1:3" ht="18" customHeight="1" x14ac:dyDescent="0.45">
      <c r="A260" s="6" t="s">
        <v>85</v>
      </c>
      <c r="B260" s="6" t="s">
        <v>145</v>
      </c>
      <c r="C260" s="27">
        <f>_xlfn.XLOOKUP(B260,'職種別 (2種)'!C:C,'職種別 (2種)'!K:K)</f>
        <v>4</v>
      </c>
    </row>
    <row r="261" spans="1:3" ht="18" customHeight="1" x14ac:dyDescent="0.45">
      <c r="A261" s="6" t="s">
        <v>85</v>
      </c>
      <c r="B261" s="6" t="s">
        <v>146</v>
      </c>
      <c r="C261" s="27">
        <f>_xlfn.XLOOKUP(B261,'職種別 (2種)'!C:C,'職種別 (2種)'!K:K)</f>
        <v>10</v>
      </c>
    </row>
    <row r="262" spans="1:3" ht="18" customHeight="1" x14ac:dyDescent="0.45">
      <c r="A262" s="6" t="s">
        <v>85</v>
      </c>
      <c r="B262" s="6" t="s">
        <v>147</v>
      </c>
      <c r="C262" s="27">
        <f>_xlfn.XLOOKUP(B262,'職種別 (2種)'!C:C,'職種別 (2種)'!K:K)</f>
        <v>4</v>
      </c>
    </row>
    <row r="263" spans="1:3" ht="18" customHeight="1" x14ac:dyDescent="0.45">
      <c r="A263" s="6" t="s">
        <v>85</v>
      </c>
      <c r="B263" s="6" t="s">
        <v>148</v>
      </c>
      <c r="C263" s="27">
        <f>_xlfn.XLOOKUP(B263,'職種別 (2種)'!C:C,'職種別 (2種)'!K:K)</f>
        <v>8</v>
      </c>
    </row>
    <row r="264" spans="1:3" ht="18" customHeight="1" x14ac:dyDescent="0.45">
      <c r="A264" s="6" t="s">
        <v>149</v>
      </c>
      <c r="B264" s="6" t="s">
        <v>150</v>
      </c>
      <c r="C264" s="27">
        <f>_xlfn.XLOOKUP(B264,'職種別 (2種)'!C:C,'職種別 (2種)'!K:K)</f>
        <v>8</v>
      </c>
    </row>
    <row r="265" spans="1:3" ht="18" customHeight="1" x14ac:dyDescent="0.45">
      <c r="A265" s="6" t="s">
        <v>149</v>
      </c>
      <c r="B265" s="6" t="s">
        <v>151</v>
      </c>
      <c r="C265" s="27">
        <f>_xlfn.XLOOKUP(B265,'職種別 (2種)'!C:C,'職種別 (2種)'!K:K)</f>
        <v>8</v>
      </c>
    </row>
    <row r="266" spans="1:3" ht="18" customHeight="1" x14ac:dyDescent="0.45">
      <c r="A266" s="6" t="s">
        <v>149</v>
      </c>
      <c r="B266" s="6" t="s">
        <v>315</v>
      </c>
      <c r="C266" s="27">
        <f>_xlfn.XLOOKUP(B266,'職種別 (2種)'!C:C,'職種別 (2種)'!K:K)</f>
        <v>10</v>
      </c>
    </row>
    <row r="267" spans="1:3" ht="18" customHeight="1" x14ac:dyDescent="0.45">
      <c r="A267" s="6" t="s">
        <v>149</v>
      </c>
      <c r="B267" s="6" t="s">
        <v>152</v>
      </c>
      <c r="C267" s="27">
        <f>_xlfn.XLOOKUP(B267,'職種別 (2種)'!C:C,'職種別 (2種)'!K:K)</f>
        <v>10</v>
      </c>
    </row>
    <row r="268" spans="1:3" ht="18" customHeight="1" x14ac:dyDescent="0.45">
      <c r="A268" s="6" t="s">
        <v>149</v>
      </c>
      <c r="B268" s="6" t="s">
        <v>153</v>
      </c>
      <c r="C268" s="27">
        <f>_xlfn.XLOOKUP(B268,'職種別 (2種)'!C:C,'職種別 (2種)'!K:K)</f>
        <v>8</v>
      </c>
    </row>
    <row r="269" spans="1:3" ht="18" customHeight="1" x14ac:dyDescent="0.45">
      <c r="A269" s="6" t="s">
        <v>149</v>
      </c>
      <c r="B269" s="6" t="s">
        <v>316</v>
      </c>
      <c r="C269" s="27">
        <f>_xlfn.XLOOKUP(B269,'職種別 (2種)'!C:C,'職種別 (2種)'!K:K)</f>
        <v>10</v>
      </c>
    </row>
    <row r="270" spans="1:3" ht="18" customHeight="1" x14ac:dyDescent="0.45">
      <c r="A270" s="6" t="s">
        <v>149</v>
      </c>
      <c r="B270" s="6" t="s">
        <v>154</v>
      </c>
      <c r="C270" s="27">
        <f>_xlfn.XLOOKUP(B270,'職種別 (2種)'!C:C,'職種別 (2種)'!K:K)</f>
        <v>7</v>
      </c>
    </row>
    <row r="271" spans="1:3" ht="18" customHeight="1" x14ac:dyDescent="0.45">
      <c r="A271" s="6" t="s">
        <v>149</v>
      </c>
      <c r="B271" s="6" t="s">
        <v>155</v>
      </c>
      <c r="C271" s="27">
        <f>_xlfn.XLOOKUP(B271,'職種別 (2種)'!C:C,'職種別 (2種)'!K:K)</f>
        <v>4</v>
      </c>
    </row>
    <row r="272" spans="1:3" ht="18" customHeight="1" x14ac:dyDescent="0.45">
      <c r="A272" s="6" t="s">
        <v>149</v>
      </c>
      <c r="B272" s="6" t="s">
        <v>317</v>
      </c>
      <c r="C272" s="27">
        <f>_xlfn.XLOOKUP(B272,'職種別 (2種)'!C:C,'職種別 (2種)'!K:K)</f>
        <v>5</v>
      </c>
    </row>
    <row r="273" spans="1:3" ht="18" customHeight="1" x14ac:dyDescent="0.45">
      <c r="A273" s="6" t="s">
        <v>149</v>
      </c>
      <c r="B273" s="6" t="s">
        <v>156</v>
      </c>
      <c r="C273" s="27">
        <f>_xlfn.XLOOKUP(B273,'職種別 (2種)'!C:C,'職種別 (2種)'!K:K)</f>
        <v>6</v>
      </c>
    </row>
    <row r="274" spans="1:3" ht="18" customHeight="1" x14ac:dyDescent="0.45">
      <c r="A274" s="6" t="s">
        <v>149</v>
      </c>
      <c r="B274" s="6" t="s">
        <v>318</v>
      </c>
      <c r="C274" s="27">
        <f>_xlfn.XLOOKUP(B274,'職種別 (2種)'!C:C,'職種別 (2種)'!K:K)</f>
        <v>5</v>
      </c>
    </row>
    <row r="275" spans="1:3" ht="18" customHeight="1" x14ac:dyDescent="0.45">
      <c r="A275" s="6" t="s">
        <v>149</v>
      </c>
      <c r="B275" s="6" t="s">
        <v>319</v>
      </c>
      <c r="C275" s="27">
        <f>_xlfn.XLOOKUP(B275,'職種別 (2種)'!C:C,'職種別 (2種)'!K:K)</f>
        <v>5</v>
      </c>
    </row>
    <row r="276" spans="1:3" ht="18" customHeight="1" x14ac:dyDescent="0.45">
      <c r="A276" s="6" t="s">
        <v>149</v>
      </c>
      <c r="B276" s="6" t="s">
        <v>157</v>
      </c>
      <c r="C276" s="27">
        <f>_xlfn.XLOOKUP(B276,'職種別 (2種)'!C:C,'職種別 (2種)'!K:K)</f>
        <v>8</v>
      </c>
    </row>
    <row r="277" spans="1:3" ht="18" customHeight="1" x14ac:dyDescent="0.45">
      <c r="A277" s="6" t="s">
        <v>149</v>
      </c>
      <c r="B277" s="6" t="s">
        <v>158</v>
      </c>
      <c r="C277" s="27">
        <f>_xlfn.XLOOKUP(B277,'職種別 (2種)'!C:C,'職種別 (2種)'!K:K)</f>
        <v>9</v>
      </c>
    </row>
    <row r="278" spans="1:3" ht="18" customHeight="1" x14ac:dyDescent="0.45">
      <c r="A278" s="6" t="s">
        <v>149</v>
      </c>
      <c r="B278" s="6" t="s">
        <v>159</v>
      </c>
      <c r="C278" s="27">
        <f>_xlfn.XLOOKUP(B278,'職種別 (2種)'!C:C,'職種別 (2種)'!K:K)</f>
        <v>8</v>
      </c>
    </row>
    <row r="279" spans="1:3" ht="18" customHeight="1" x14ac:dyDescent="0.45">
      <c r="A279" s="6" t="s">
        <v>149</v>
      </c>
      <c r="B279" s="6" t="s">
        <v>160</v>
      </c>
      <c r="C279" s="27">
        <f>_xlfn.XLOOKUP(B279,'職種別 (2種)'!C:C,'職種別 (2種)'!K:K)</f>
        <v>9</v>
      </c>
    </row>
    <row r="280" spans="1:3" ht="18" customHeight="1" x14ac:dyDescent="0.45">
      <c r="A280" s="6" t="s">
        <v>149</v>
      </c>
      <c r="B280" s="6" t="s">
        <v>161</v>
      </c>
      <c r="C280" s="27">
        <f>_xlfn.XLOOKUP(B280,'職種別 (2種)'!C:C,'職種別 (2種)'!K:K)</f>
        <v>9</v>
      </c>
    </row>
    <row r="281" spans="1:3" ht="18" customHeight="1" x14ac:dyDescent="0.45">
      <c r="A281" s="6" t="s">
        <v>149</v>
      </c>
      <c r="B281" s="6" t="s">
        <v>162</v>
      </c>
      <c r="C281" s="27">
        <f>_xlfn.XLOOKUP(B281,'職種別 (2種)'!C:C,'職種別 (2種)'!K:K)</f>
        <v>10</v>
      </c>
    </row>
    <row r="282" spans="1:3" ht="18" customHeight="1" x14ac:dyDescent="0.45">
      <c r="A282" s="6" t="s">
        <v>149</v>
      </c>
      <c r="B282" s="6" t="s">
        <v>163</v>
      </c>
      <c r="C282" s="27">
        <f>_xlfn.XLOOKUP(B282,'職種別 (2種)'!C:C,'職種別 (2種)'!K:K)</f>
        <v>8</v>
      </c>
    </row>
    <row r="283" spans="1:3" ht="18" customHeight="1" x14ac:dyDescent="0.45">
      <c r="A283" s="6" t="s">
        <v>149</v>
      </c>
      <c r="B283" s="6" t="s">
        <v>164</v>
      </c>
      <c r="C283" s="27">
        <f>_xlfn.XLOOKUP(B283,'職種別 (2種)'!C:C,'職種別 (2種)'!K:K)</f>
        <v>10</v>
      </c>
    </row>
    <row r="284" spans="1:3" ht="18" customHeight="1" x14ac:dyDescent="0.45">
      <c r="A284" s="6" t="s">
        <v>149</v>
      </c>
      <c r="B284" s="6" t="s">
        <v>165</v>
      </c>
      <c r="C284" s="27">
        <f>_xlfn.XLOOKUP(B284,'職種別 (2種)'!C:C,'職種別 (2種)'!K:K)</f>
        <v>8</v>
      </c>
    </row>
    <row r="285" spans="1:3" ht="18" customHeight="1" x14ac:dyDescent="0.45">
      <c r="A285" s="6" t="s">
        <v>149</v>
      </c>
      <c r="B285" s="6" t="s">
        <v>166</v>
      </c>
      <c r="C285" s="27">
        <f>_xlfn.XLOOKUP(B285,'職種別 (2種)'!C:C,'職種別 (2種)'!K:K)</f>
        <v>9</v>
      </c>
    </row>
    <row r="286" spans="1:3" ht="18" customHeight="1" x14ac:dyDescent="0.45">
      <c r="A286" s="6" t="s">
        <v>149</v>
      </c>
      <c r="B286" s="6" t="s">
        <v>167</v>
      </c>
      <c r="C286" s="27">
        <f>_xlfn.XLOOKUP(B286,'職種別 (2種)'!C:C,'職種別 (2種)'!K:K)</f>
        <v>8</v>
      </c>
    </row>
    <row r="287" spans="1:3" ht="18" customHeight="1" x14ac:dyDescent="0.45">
      <c r="A287" s="6" t="s">
        <v>149</v>
      </c>
      <c r="B287" s="6" t="s">
        <v>173</v>
      </c>
      <c r="C287" s="27">
        <f>_xlfn.XLOOKUP(B287,'職種別 (2種)'!C:C,'職種別 (2種)'!K:K)</f>
        <v>6</v>
      </c>
    </row>
    <row r="288" spans="1:3" ht="18" customHeight="1" x14ac:dyDescent="0.45">
      <c r="A288" s="6" t="s">
        <v>149</v>
      </c>
      <c r="B288" s="6" t="s">
        <v>320</v>
      </c>
      <c r="C288" s="27">
        <f>_xlfn.XLOOKUP(B288,'職種別 (2種)'!C:C,'職種別 (2種)'!K:K)</f>
        <v>8</v>
      </c>
    </row>
    <row r="289" spans="1:3" ht="18" customHeight="1" x14ac:dyDescent="0.45">
      <c r="A289" s="6" t="s">
        <v>149</v>
      </c>
      <c r="B289" s="6" t="s">
        <v>321</v>
      </c>
      <c r="C289" s="27">
        <f>_xlfn.XLOOKUP(B289,'職種別 (2種)'!C:C,'職種別 (2種)'!K:K)</f>
        <v>5</v>
      </c>
    </row>
    <row r="290" spans="1:3" ht="18" customHeight="1" x14ac:dyDescent="0.45">
      <c r="A290" s="6" t="s">
        <v>149</v>
      </c>
      <c r="B290" s="6" t="s">
        <v>322</v>
      </c>
      <c r="C290" s="27">
        <f>_xlfn.XLOOKUP(B290,'職種別 (2種)'!C:C,'職種別 (2種)'!K:K)</f>
        <v>5</v>
      </c>
    </row>
    <row r="291" spans="1:3" x14ac:dyDescent="0.45">
      <c r="A291" s="6" t="s">
        <v>149</v>
      </c>
      <c r="B291" s="6" t="s">
        <v>168</v>
      </c>
      <c r="C291" s="27">
        <f>_xlfn.XLOOKUP(B291,'職種別 (2種)'!C:C,'職種別 (2種)'!K:K)</f>
        <v>6</v>
      </c>
    </row>
    <row r="292" spans="1:3" ht="18" x14ac:dyDescent="0.45">
      <c r="A292"/>
      <c r="B292"/>
    </row>
    <row r="293" spans="1:3" ht="18" x14ac:dyDescent="0.45">
      <c r="A293"/>
      <c r="B293"/>
    </row>
    <row r="294" spans="1:3" ht="18" x14ac:dyDescent="0.45">
      <c r="A294"/>
      <c r="B294"/>
    </row>
    <row r="295" spans="1:3" ht="18" x14ac:dyDescent="0.45">
      <c r="A295"/>
      <c r="B295"/>
    </row>
    <row r="296" spans="1:3" ht="18" x14ac:dyDescent="0.45">
      <c r="A296"/>
      <c r="B296"/>
    </row>
    <row r="297" spans="1:3" ht="18" x14ac:dyDescent="0.45">
      <c r="A297"/>
      <c r="B297"/>
    </row>
    <row r="298" spans="1:3" ht="18" x14ac:dyDescent="0.45">
      <c r="A298"/>
      <c r="B298"/>
    </row>
    <row r="299" spans="1:3" ht="18" x14ac:dyDescent="0.45">
      <c r="A299"/>
      <c r="B299"/>
    </row>
    <row r="300" spans="1:3" ht="18" x14ac:dyDescent="0.45">
      <c r="A300"/>
      <c r="B300"/>
    </row>
    <row r="301" spans="1:3" ht="18" x14ac:dyDescent="0.45">
      <c r="A301"/>
      <c r="B301"/>
    </row>
    <row r="302" spans="1:3" ht="18" x14ac:dyDescent="0.45">
      <c r="A302"/>
      <c r="B302"/>
    </row>
    <row r="303" spans="1:3" ht="18" x14ac:dyDescent="0.45">
      <c r="A303"/>
      <c r="B303"/>
    </row>
    <row r="304" spans="1:3" ht="18" x14ac:dyDescent="0.45">
      <c r="A304"/>
      <c r="B304"/>
    </row>
    <row r="305" spans="1:2" ht="18" x14ac:dyDescent="0.45">
      <c r="A305"/>
      <c r="B305"/>
    </row>
    <row r="306" spans="1:2" ht="18" x14ac:dyDescent="0.45">
      <c r="A306"/>
      <c r="B306"/>
    </row>
    <row r="307" spans="1:2" ht="18" x14ac:dyDescent="0.45">
      <c r="A307"/>
      <c r="B307"/>
    </row>
    <row r="308" spans="1:2" ht="18" x14ac:dyDescent="0.45">
      <c r="A308"/>
      <c r="B308"/>
    </row>
    <row r="309" spans="1:2" ht="18" x14ac:dyDescent="0.45">
      <c r="A309"/>
      <c r="B309"/>
    </row>
    <row r="310" spans="1:2" ht="18" x14ac:dyDescent="0.45">
      <c r="A310"/>
      <c r="B310"/>
    </row>
    <row r="311" spans="1:2" ht="18" x14ac:dyDescent="0.45">
      <c r="A311"/>
      <c r="B311"/>
    </row>
    <row r="312" spans="1:2" ht="18" x14ac:dyDescent="0.45">
      <c r="A312"/>
      <c r="B312"/>
    </row>
    <row r="313" spans="1:2" ht="18" x14ac:dyDescent="0.45">
      <c r="A313"/>
      <c r="B313"/>
    </row>
    <row r="314" spans="1:2" ht="18" x14ac:dyDescent="0.45">
      <c r="A314"/>
      <c r="B314"/>
    </row>
    <row r="315" spans="1:2" ht="18" x14ac:dyDescent="0.45">
      <c r="A315"/>
      <c r="B315"/>
    </row>
    <row r="316" spans="1:2" ht="18" x14ac:dyDescent="0.45">
      <c r="A316"/>
      <c r="B316"/>
    </row>
    <row r="317" spans="1:2" ht="18" x14ac:dyDescent="0.45">
      <c r="A317"/>
      <c r="B317"/>
    </row>
    <row r="318" spans="1:2" ht="18" x14ac:dyDescent="0.45">
      <c r="A318"/>
      <c r="B318"/>
    </row>
    <row r="319" spans="1:2" ht="18" x14ac:dyDescent="0.45">
      <c r="A319"/>
      <c r="B319"/>
    </row>
    <row r="320" spans="1:2" ht="18" x14ac:dyDescent="0.45">
      <c r="A320"/>
      <c r="B320"/>
    </row>
    <row r="321" spans="1:2" ht="18" x14ac:dyDescent="0.45">
      <c r="A321"/>
      <c r="B321"/>
    </row>
    <row r="322" spans="1:2" ht="18" x14ac:dyDescent="0.45">
      <c r="A322"/>
      <c r="B322"/>
    </row>
    <row r="323" spans="1:2" ht="18" x14ac:dyDescent="0.45">
      <c r="A323"/>
      <c r="B323"/>
    </row>
    <row r="324" spans="1:2" ht="18" x14ac:dyDescent="0.45">
      <c r="A324"/>
      <c r="B324"/>
    </row>
    <row r="325" spans="1:2" ht="18" x14ac:dyDescent="0.45">
      <c r="A325"/>
      <c r="B325"/>
    </row>
    <row r="326" spans="1:2" ht="18" x14ac:dyDescent="0.45">
      <c r="A326"/>
      <c r="B326"/>
    </row>
    <row r="327" spans="1:2" ht="18" x14ac:dyDescent="0.45">
      <c r="A327"/>
      <c r="B327"/>
    </row>
    <row r="328" spans="1:2" ht="18" x14ac:dyDescent="0.45">
      <c r="A328"/>
      <c r="B328"/>
    </row>
    <row r="329" spans="1:2" ht="18" x14ac:dyDescent="0.45">
      <c r="A329"/>
      <c r="B329"/>
    </row>
    <row r="330" spans="1:2" ht="18" x14ac:dyDescent="0.45">
      <c r="A330"/>
      <c r="B330"/>
    </row>
    <row r="331" spans="1:2" ht="18" x14ac:dyDescent="0.45">
      <c r="A331"/>
      <c r="B331"/>
    </row>
    <row r="332" spans="1:2" ht="18" x14ac:dyDescent="0.45">
      <c r="A332"/>
      <c r="B332"/>
    </row>
    <row r="333" spans="1:2" ht="18" x14ac:dyDescent="0.45">
      <c r="A333"/>
      <c r="B333"/>
    </row>
    <row r="334" spans="1:2" ht="18" x14ac:dyDescent="0.45">
      <c r="A334"/>
      <c r="B334"/>
    </row>
    <row r="335" spans="1:2" ht="18" x14ac:dyDescent="0.45">
      <c r="A335"/>
      <c r="B335"/>
    </row>
    <row r="336" spans="1:2" ht="18" x14ac:dyDescent="0.45">
      <c r="A336"/>
      <c r="B336"/>
    </row>
    <row r="337" spans="1:2" ht="18" x14ac:dyDescent="0.45">
      <c r="A337"/>
      <c r="B337"/>
    </row>
    <row r="338" spans="1:2" ht="18" x14ac:dyDescent="0.45">
      <c r="A338"/>
      <c r="B338"/>
    </row>
    <row r="339" spans="1:2" ht="18" x14ac:dyDescent="0.45">
      <c r="A339"/>
      <c r="B339"/>
    </row>
    <row r="340" spans="1:2" ht="18" x14ac:dyDescent="0.45">
      <c r="A340"/>
      <c r="B340"/>
    </row>
    <row r="341" spans="1:2" ht="18" x14ac:dyDescent="0.45">
      <c r="A341"/>
      <c r="B341"/>
    </row>
    <row r="342" spans="1:2" ht="18" x14ac:dyDescent="0.45">
      <c r="A342"/>
      <c r="B342"/>
    </row>
    <row r="343" spans="1:2" ht="18" x14ac:dyDescent="0.45">
      <c r="A343"/>
      <c r="B343"/>
    </row>
    <row r="344" spans="1:2" ht="18" x14ac:dyDescent="0.45">
      <c r="A344"/>
      <c r="B344"/>
    </row>
    <row r="345" spans="1:2" ht="18" x14ac:dyDescent="0.45">
      <c r="A345"/>
      <c r="B345"/>
    </row>
    <row r="346" spans="1:2" ht="18" x14ac:dyDescent="0.45">
      <c r="A346"/>
      <c r="B346"/>
    </row>
    <row r="347" spans="1:2" ht="18" x14ac:dyDescent="0.45">
      <c r="A347"/>
      <c r="B347"/>
    </row>
    <row r="348" spans="1:2" ht="18" x14ac:dyDescent="0.45">
      <c r="A348"/>
      <c r="B348"/>
    </row>
    <row r="349" spans="1:2" ht="18" x14ac:dyDescent="0.45">
      <c r="A349"/>
      <c r="B349"/>
    </row>
    <row r="350" spans="1:2" ht="18" x14ac:dyDescent="0.45">
      <c r="A350"/>
      <c r="B350"/>
    </row>
    <row r="351" spans="1:2" ht="18" x14ac:dyDescent="0.45">
      <c r="A351"/>
      <c r="B351"/>
    </row>
    <row r="352" spans="1:2" ht="18" x14ac:dyDescent="0.45">
      <c r="A352"/>
      <c r="B352"/>
    </row>
    <row r="353" spans="1:2" ht="18" x14ac:dyDescent="0.45">
      <c r="A353"/>
      <c r="B353"/>
    </row>
    <row r="354" spans="1:2" ht="18" x14ac:dyDescent="0.45">
      <c r="A354"/>
      <c r="B354"/>
    </row>
    <row r="355" spans="1:2" ht="18" x14ac:dyDescent="0.45">
      <c r="A355"/>
      <c r="B355"/>
    </row>
    <row r="356" spans="1:2" ht="18" x14ac:dyDescent="0.45">
      <c r="A356"/>
      <c r="B356"/>
    </row>
    <row r="357" spans="1:2" ht="18" x14ac:dyDescent="0.45">
      <c r="A357"/>
      <c r="B357"/>
    </row>
    <row r="358" spans="1:2" ht="18" x14ac:dyDescent="0.45">
      <c r="A358"/>
      <c r="B358"/>
    </row>
    <row r="359" spans="1:2" ht="18" x14ac:dyDescent="0.45">
      <c r="A359"/>
      <c r="B359"/>
    </row>
    <row r="360" spans="1:2" ht="18" x14ac:dyDescent="0.45">
      <c r="A360"/>
      <c r="B360"/>
    </row>
    <row r="361" spans="1:2" ht="18" x14ac:dyDescent="0.45">
      <c r="A361"/>
      <c r="B361"/>
    </row>
    <row r="362" spans="1:2" ht="18" x14ac:dyDescent="0.45">
      <c r="A362"/>
      <c r="B362"/>
    </row>
    <row r="363" spans="1:2" ht="18" x14ac:dyDescent="0.45">
      <c r="A363"/>
      <c r="B363"/>
    </row>
    <row r="364" spans="1:2" ht="18" x14ac:dyDescent="0.45">
      <c r="A364"/>
      <c r="B364"/>
    </row>
    <row r="365" spans="1:2" ht="18" x14ac:dyDescent="0.45">
      <c r="A365"/>
      <c r="B365"/>
    </row>
    <row r="366" spans="1:2" ht="18" x14ac:dyDescent="0.45">
      <c r="A366"/>
      <c r="B366"/>
    </row>
    <row r="367" spans="1:2" ht="18" x14ac:dyDescent="0.45">
      <c r="A367"/>
      <c r="B367"/>
    </row>
    <row r="368" spans="1:2" ht="18" x14ac:dyDescent="0.45">
      <c r="A368"/>
      <c r="B368"/>
    </row>
    <row r="369" spans="1:2" ht="18" x14ac:dyDescent="0.45">
      <c r="A369"/>
      <c r="B369"/>
    </row>
    <row r="370" spans="1:2" ht="18" x14ac:dyDescent="0.45">
      <c r="A370"/>
      <c r="B370"/>
    </row>
    <row r="371" spans="1:2" ht="18" x14ac:dyDescent="0.45">
      <c r="A371"/>
      <c r="B371"/>
    </row>
    <row r="372" spans="1:2" ht="18" x14ac:dyDescent="0.45">
      <c r="A372"/>
      <c r="B372"/>
    </row>
    <row r="373" spans="1:2" ht="18" x14ac:dyDescent="0.45">
      <c r="A373"/>
      <c r="B373"/>
    </row>
    <row r="374" spans="1:2" ht="18" x14ac:dyDescent="0.45">
      <c r="A374"/>
      <c r="B374"/>
    </row>
    <row r="375" spans="1:2" ht="18" x14ac:dyDescent="0.45">
      <c r="A375"/>
      <c r="B375"/>
    </row>
    <row r="376" spans="1:2" ht="18" x14ac:dyDescent="0.45">
      <c r="A376"/>
      <c r="B376"/>
    </row>
    <row r="377" spans="1:2" ht="18" x14ac:dyDescent="0.45">
      <c r="A377"/>
      <c r="B377"/>
    </row>
    <row r="378" spans="1:2" ht="18" x14ac:dyDescent="0.45">
      <c r="A378"/>
      <c r="B378"/>
    </row>
    <row r="379" spans="1:2" ht="18" x14ac:dyDescent="0.45">
      <c r="A379"/>
      <c r="B379"/>
    </row>
    <row r="380" spans="1:2" ht="18" x14ac:dyDescent="0.45">
      <c r="A380"/>
      <c r="B380"/>
    </row>
    <row r="381" spans="1:2" ht="18" x14ac:dyDescent="0.45">
      <c r="A381"/>
      <c r="B381"/>
    </row>
    <row r="382" spans="1:2" ht="18" x14ac:dyDescent="0.45">
      <c r="A382"/>
      <c r="B382"/>
    </row>
    <row r="383" spans="1:2" ht="18" x14ac:dyDescent="0.45">
      <c r="A383"/>
      <c r="B383"/>
    </row>
    <row r="384" spans="1:2" ht="18" x14ac:dyDescent="0.45">
      <c r="A384"/>
      <c r="B384"/>
    </row>
    <row r="385" spans="1:2" ht="18" x14ac:dyDescent="0.45">
      <c r="A385"/>
      <c r="B385"/>
    </row>
    <row r="386" spans="1:2" ht="18" x14ac:dyDescent="0.45">
      <c r="A386"/>
      <c r="B386"/>
    </row>
    <row r="387" spans="1:2" ht="18" x14ac:dyDescent="0.45">
      <c r="A387"/>
      <c r="B387"/>
    </row>
    <row r="388" spans="1:2" ht="18" x14ac:dyDescent="0.45">
      <c r="A388"/>
      <c r="B388"/>
    </row>
    <row r="389" spans="1:2" ht="18" x14ac:dyDescent="0.45">
      <c r="A389"/>
      <c r="B389"/>
    </row>
    <row r="390" spans="1:2" ht="18" x14ac:dyDescent="0.45">
      <c r="A390"/>
      <c r="B390"/>
    </row>
    <row r="391" spans="1:2" ht="18" x14ac:dyDescent="0.45">
      <c r="A391"/>
      <c r="B391"/>
    </row>
    <row r="392" spans="1:2" ht="18" x14ac:dyDescent="0.45">
      <c r="A392"/>
      <c r="B392"/>
    </row>
    <row r="393" spans="1:2" ht="18" x14ac:dyDescent="0.45">
      <c r="A393"/>
      <c r="B393"/>
    </row>
    <row r="394" spans="1:2" ht="18" x14ac:dyDescent="0.45">
      <c r="A394"/>
      <c r="B394"/>
    </row>
    <row r="395" spans="1:2" ht="18" x14ac:dyDescent="0.45">
      <c r="A395"/>
      <c r="B395"/>
    </row>
    <row r="396" spans="1:2" ht="18" x14ac:dyDescent="0.45">
      <c r="A396"/>
      <c r="B396"/>
    </row>
    <row r="397" spans="1:2" ht="18" x14ac:dyDescent="0.45">
      <c r="A397"/>
      <c r="B397"/>
    </row>
    <row r="398" spans="1:2" ht="18" x14ac:dyDescent="0.45">
      <c r="A398"/>
      <c r="B398"/>
    </row>
    <row r="399" spans="1:2" ht="18" x14ac:dyDescent="0.45">
      <c r="A399"/>
      <c r="B399"/>
    </row>
    <row r="400" spans="1:2" ht="18" x14ac:dyDescent="0.45">
      <c r="A400"/>
      <c r="B400"/>
    </row>
    <row r="401" spans="1:2" ht="18" x14ac:dyDescent="0.45">
      <c r="A401"/>
      <c r="B401"/>
    </row>
    <row r="402" spans="1:2" ht="18" x14ac:dyDescent="0.45">
      <c r="A402"/>
      <c r="B402"/>
    </row>
    <row r="403" spans="1:2" ht="18" x14ac:dyDescent="0.45">
      <c r="A403"/>
      <c r="B403"/>
    </row>
    <row r="404" spans="1:2" ht="18" x14ac:dyDescent="0.45">
      <c r="A404"/>
      <c r="B404"/>
    </row>
    <row r="405" spans="1:2" ht="18" x14ac:dyDescent="0.45">
      <c r="A405"/>
      <c r="B405"/>
    </row>
    <row r="406" spans="1:2" ht="18" x14ac:dyDescent="0.45">
      <c r="A406"/>
      <c r="B406"/>
    </row>
    <row r="407" spans="1:2" ht="18" x14ac:dyDescent="0.45">
      <c r="A407"/>
      <c r="B407"/>
    </row>
    <row r="408" spans="1:2" ht="18" x14ac:dyDescent="0.45">
      <c r="A408"/>
      <c r="B408"/>
    </row>
    <row r="409" spans="1:2" ht="18" x14ac:dyDescent="0.45">
      <c r="A409"/>
      <c r="B409"/>
    </row>
    <row r="410" spans="1:2" ht="18" x14ac:dyDescent="0.45">
      <c r="A410"/>
      <c r="B410"/>
    </row>
    <row r="411" spans="1:2" ht="18" x14ac:dyDescent="0.45">
      <c r="A411"/>
      <c r="B411"/>
    </row>
    <row r="412" spans="1:2" ht="18" x14ac:dyDescent="0.45">
      <c r="A412"/>
      <c r="B412"/>
    </row>
    <row r="413" spans="1:2" ht="18" x14ac:dyDescent="0.45">
      <c r="A413"/>
      <c r="B413"/>
    </row>
    <row r="414" spans="1:2" ht="18" x14ac:dyDescent="0.45">
      <c r="A414"/>
      <c r="B414"/>
    </row>
    <row r="415" spans="1:2" ht="18" x14ac:dyDescent="0.45">
      <c r="A415"/>
      <c r="B415"/>
    </row>
    <row r="416" spans="1:2" ht="18" x14ac:dyDescent="0.45">
      <c r="A416"/>
      <c r="B416"/>
    </row>
    <row r="417" spans="1:2" ht="18" x14ac:dyDescent="0.45">
      <c r="A417"/>
      <c r="B417"/>
    </row>
    <row r="418" spans="1:2" ht="18" x14ac:dyDescent="0.45">
      <c r="A418"/>
      <c r="B418"/>
    </row>
    <row r="419" spans="1:2" ht="18" x14ac:dyDescent="0.45">
      <c r="A419"/>
      <c r="B419"/>
    </row>
    <row r="420" spans="1:2" ht="18" x14ac:dyDescent="0.45">
      <c r="A420"/>
      <c r="B420"/>
    </row>
    <row r="421" spans="1:2" ht="18" x14ac:dyDescent="0.45">
      <c r="A421"/>
      <c r="B421"/>
    </row>
    <row r="422" spans="1:2" ht="18" x14ac:dyDescent="0.45">
      <c r="A422"/>
      <c r="B422"/>
    </row>
    <row r="423" spans="1:2" ht="18" x14ac:dyDescent="0.45">
      <c r="A423"/>
      <c r="B423"/>
    </row>
    <row r="424" spans="1:2" ht="18" x14ac:dyDescent="0.45">
      <c r="A424"/>
      <c r="B424"/>
    </row>
    <row r="425" spans="1:2" ht="18" x14ac:dyDescent="0.45">
      <c r="A425"/>
      <c r="B425"/>
    </row>
    <row r="426" spans="1:2" ht="18" x14ac:dyDescent="0.45">
      <c r="A426"/>
      <c r="B426"/>
    </row>
    <row r="427" spans="1:2" ht="18" x14ac:dyDescent="0.45">
      <c r="A427"/>
      <c r="B427"/>
    </row>
    <row r="428" spans="1:2" ht="18" x14ac:dyDescent="0.45">
      <c r="A428"/>
      <c r="B428"/>
    </row>
    <row r="429" spans="1:2" ht="18" x14ac:dyDescent="0.45">
      <c r="A429"/>
      <c r="B429"/>
    </row>
    <row r="430" spans="1:2" ht="18" x14ac:dyDescent="0.45">
      <c r="A430"/>
      <c r="B430"/>
    </row>
    <row r="431" spans="1:2" ht="18" x14ac:dyDescent="0.45">
      <c r="A431"/>
      <c r="B431"/>
    </row>
    <row r="432" spans="1:2" ht="18" x14ac:dyDescent="0.45">
      <c r="A432"/>
      <c r="B432"/>
    </row>
    <row r="433" spans="1:2" ht="18" x14ac:dyDescent="0.45">
      <c r="A433"/>
      <c r="B433"/>
    </row>
    <row r="434" spans="1:2" ht="18" x14ac:dyDescent="0.45">
      <c r="A434"/>
      <c r="B434"/>
    </row>
    <row r="435" spans="1:2" ht="18" x14ac:dyDescent="0.45">
      <c r="A435"/>
      <c r="B435"/>
    </row>
    <row r="436" spans="1:2" ht="18" x14ac:dyDescent="0.45">
      <c r="A436"/>
      <c r="B436"/>
    </row>
    <row r="437" spans="1:2" ht="18" x14ac:dyDescent="0.45">
      <c r="A437"/>
      <c r="B437"/>
    </row>
    <row r="438" spans="1:2" ht="18" x14ac:dyDescent="0.45">
      <c r="A438"/>
      <c r="B438"/>
    </row>
    <row r="439" spans="1:2" ht="18" x14ac:dyDescent="0.45">
      <c r="A439"/>
      <c r="B439"/>
    </row>
    <row r="440" spans="1:2" ht="18" x14ac:dyDescent="0.45">
      <c r="A440"/>
      <c r="B440"/>
    </row>
    <row r="441" spans="1:2" ht="18" x14ac:dyDescent="0.45">
      <c r="A441"/>
      <c r="B441"/>
    </row>
    <row r="442" spans="1:2" ht="18" x14ac:dyDescent="0.45">
      <c r="A442"/>
      <c r="B442"/>
    </row>
    <row r="443" spans="1:2" ht="18" x14ac:dyDescent="0.45">
      <c r="A443"/>
      <c r="B443"/>
    </row>
    <row r="444" spans="1:2" ht="18" x14ac:dyDescent="0.45">
      <c r="A444"/>
      <c r="B444"/>
    </row>
    <row r="445" spans="1:2" ht="18" x14ac:dyDescent="0.45">
      <c r="A445"/>
      <c r="B445"/>
    </row>
    <row r="446" spans="1:2" ht="18" x14ac:dyDescent="0.45">
      <c r="A446"/>
      <c r="B446"/>
    </row>
    <row r="447" spans="1:2" ht="18" x14ac:dyDescent="0.45">
      <c r="A447"/>
      <c r="B447"/>
    </row>
    <row r="448" spans="1:2" ht="18" x14ac:dyDescent="0.45">
      <c r="A448"/>
      <c r="B448"/>
    </row>
    <row r="449" spans="1:2" ht="18" x14ac:dyDescent="0.45">
      <c r="A449"/>
      <c r="B449"/>
    </row>
    <row r="450" spans="1:2" ht="18" x14ac:dyDescent="0.45">
      <c r="A450"/>
      <c r="B450"/>
    </row>
    <row r="451" spans="1:2" ht="18" x14ac:dyDescent="0.45">
      <c r="A451"/>
      <c r="B451"/>
    </row>
    <row r="452" spans="1:2" ht="18" x14ac:dyDescent="0.45">
      <c r="A452"/>
      <c r="B452"/>
    </row>
    <row r="453" spans="1:2" ht="18" x14ac:dyDescent="0.45">
      <c r="A453"/>
      <c r="B453"/>
    </row>
    <row r="454" spans="1:2" ht="18" x14ac:dyDescent="0.45">
      <c r="A454"/>
      <c r="B454"/>
    </row>
    <row r="455" spans="1:2" ht="18" x14ac:dyDescent="0.45">
      <c r="A455"/>
      <c r="B455"/>
    </row>
    <row r="456" spans="1:2" ht="18" x14ac:dyDescent="0.45">
      <c r="A456"/>
      <c r="B456"/>
    </row>
    <row r="457" spans="1:2" ht="18" x14ac:dyDescent="0.45">
      <c r="A457"/>
      <c r="B457"/>
    </row>
    <row r="458" spans="1:2" ht="18" x14ac:dyDescent="0.45">
      <c r="A458"/>
      <c r="B458"/>
    </row>
    <row r="459" spans="1:2" ht="18" x14ac:dyDescent="0.45">
      <c r="A459"/>
      <c r="B459"/>
    </row>
    <row r="460" spans="1:2" ht="18" x14ac:dyDescent="0.45">
      <c r="A460"/>
      <c r="B460"/>
    </row>
    <row r="461" spans="1:2" ht="18" x14ac:dyDescent="0.45">
      <c r="A461"/>
      <c r="B461"/>
    </row>
    <row r="462" spans="1:2" ht="18" x14ac:dyDescent="0.45">
      <c r="A462"/>
      <c r="B462"/>
    </row>
    <row r="463" spans="1:2" ht="18" x14ac:dyDescent="0.45">
      <c r="A463"/>
      <c r="B463"/>
    </row>
    <row r="464" spans="1:2" ht="18" x14ac:dyDescent="0.45">
      <c r="A464"/>
      <c r="B464"/>
    </row>
    <row r="465" spans="1:2" ht="18" x14ac:dyDescent="0.45">
      <c r="A465"/>
      <c r="B465"/>
    </row>
    <row r="466" spans="1:2" ht="18" x14ac:dyDescent="0.45">
      <c r="A466"/>
      <c r="B466"/>
    </row>
    <row r="467" spans="1:2" ht="18" x14ac:dyDescent="0.45">
      <c r="A467"/>
      <c r="B467"/>
    </row>
    <row r="468" spans="1:2" ht="18" x14ac:dyDescent="0.45">
      <c r="A468"/>
      <c r="B468"/>
    </row>
    <row r="469" spans="1:2" ht="18" x14ac:dyDescent="0.45">
      <c r="A469"/>
      <c r="B469"/>
    </row>
    <row r="470" spans="1:2" ht="18" x14ac:dyDescent="0.45">
      <c r="A470"/>
      <c r="B470"/>
    </row>
    <row r="471" spans="1:2" ht="18" x14ac:dyDescent="0.45">
      <c r="A471"/>
      <c r="B471"/>
    </row>
    <row r="472" spans="1:2" ht="18" x14ac:dyDescent="0.45">
      <c r="A472"/>
      <c r="B472"/>
    </row>
    <row r="473" spans="1:2" ht="18" x14ac:dyDescent="0.45">
      <c r="A473"/>
      <c r="B473"/>
    </row>
    <row r="474" spans="1:2" ht="18" x14ac:dyDescent="0.45">
      <c r="A474"/>
      <c r="B474"/>
    </row>
    <row r="475" spans="1:2" ht="18" x14ac:dyDescent="0.45">
      <c r="A475"/>
      <c r="B475"/>
    </row>
    <row r="476" spans="1:2" ht="18" x14ac:dyDescent="0.45">
      <c r="A476"/>
      <c r="B476"/>
    </row>
    <row r="477" spans="1:2" ht="18" x14ac:dyDescent="0.45">
      <c r="A477"/>
      <c r="B477"/>
    </row>
    <row r="478" spans="1:2" ht="18" x14ac:dyDescent="0.45">
      <c r="A478"/>
      <c r="B478"/>
    </row>
    <row r="479" spans="1:2" ht="18" x14ac:dyDescent="0.45">
      <c r="A479"/>
      <c r="B479"/>
    </row>
    <row r="480" spans="1:2" ht="18" x14ac:dyDescent="0.45">
      <c r="A480"/>
      <c r="B480"/>
    </row>
    <row r="481" spans="1:2" ht="18" x14ac:dyDescent="0.45">
      <c r="A481"/>
      <c r="B481"/>
    </row>
    <row r="482" spans="1:2" ht="18" x14ac:dyDescent="0.45">
      <c r="A482"/>
      <c r="B482"/>
    </row>
    <row r="483" spans="1:2" ht="18" x14ac:dyDescent="0.45">
      <c r="A483"/>
      <c r="B483"/>
    </row>
    <row r="484" spans="1:2" ht="18" x14ac:dyDescent="0.45">
      <c r="A484"/>
      <c r="B484"/>
    </row>
    <row r="485" spans="1:2" ht="18" x14ac:dyDescent="0.45">
      <c r="A485"/>
      <c r="B485"/>
    </row>
    <row r="486" spans="1:2" ht="18" x14ac:dyDescent="0.45">
      <c r="A486"/>
      <c r="B486"/>
    </row>
    <row r="487" spans="1:2" ht="18" x14ac:dyDescent="0.45">
      <c r="A487"/>
      <c r="B487"/>
    </row>
    <row r="488" spans="1:2" ht="18" x14ac:dyDescent="0.45">
      <c r="A488"/>
      <c r="B488"/>
    </row>
    <row r="489" spans="1:2" ht="18" x14ac:dyDescent="0.45">
      <c r="A489"/>
      <c r="B489"/>
    </row>
    <row r="490" spans="1:2" ht="18" x14ac:dyDescent="0.45">
      <c r="A490"/>
      <c r="B490"/>
    </row>
    <row r="491" spans="1:2" ht="18" x14ac:dyDescent="0.45">
      <c r="A491"/>
      <c r="B491"/>
    </row>
    <row r="492" spans="1:2" ht="18" x14ac:dyDescent="0.45">
      <c r="A492"/>
      <c r="B492"/>
    </row>
    <row r="493" spans="1:2" ht="18" x14ac:dyDescent="0.45">
      <c r="A493"/>
      <c r="B493"/>
    </row>
    <row r="494" spans="1:2" ht="18" x14ac:dyDescent="0.45">
      <c r="A494"/>
      <c r="B494"/>
    </row>
    <row r="495" spans="1:2" ht="18" x14ac:dyDescent="0.45">
      <c r="A495"/>
      <c r="B495"/>
    </row>
    <row r="496" spans="1:2" ht="18" x14ac:dyDescent="0.45">
      <c r="A496"/>
      <c r="B496"/>
    </row>
    <row r="497" spans="1:2" ht="18" x14ac:dyDescent="0.45">
      <c r="A497"/>
      <c r="B497"/>
    </row>
    <row r="498" spans="1:2" ht="18" x14ac:dyDescent="0.45">
      <c r="A498"/>
      <c r="B498"/>
    </row>
    <row r="499" spans="1:2" ht="18" x14ac:dyDescent="0.45">
      <c r="A499"/>
      <c r="B499"/>
    </row>
    <row r="500" spans="1:2" ht="18" x14ac:dyDescent="0.45">
      <c r="A500"/>
      <c r="B500"/>
    </row>
    <row r="501" spans="1:2" ht="18" x14ac:dyDescent="0.45">
      <c r="A501"/>
      <c r="B501"/>
    </row>
    <row r="502" spans="1:2" ht="18" x14ac:dyDescent="0.45">
      <c r="A502"/>
      <c r="B502"/>
    </row>
    <row r="503" spans="1:2" ht="18" x14ac:dyDescent="0.45">
      <c r="A503"/>
      <c r="B503"/>
    </row>
    <row r="504" spans="1:2" ht="18" x14ac:dyDescent="0.45">
      <c r="A504"/>
      <c r="B504"/>
    </row>
    <row r="505" spans="1:2" ht="18" x14ac:dyDescent="0.45">
      <c r="A505"/>
      <c r="B505"/>
    </row>
    <row r="506" spans="1:2" ht="18" x14ac:dyDescent="0.45">
      <c r="A506"/>
      <c r="B506"/>
    </row>
    <row r="507" spans="1:2" ht="18" x14ac:dyDescent="0.45">
      <c r="A507"/>
      <c r="B507"/>
    </row>
    <row r="508" spans="1:2" ht="18" x14ac:dyDescent="0.45">
      <c r="A508"/>
      <c r="B508"/>
    </row>
    <row r="509" spans="1:2" ht="18" x14ac:dyDescent="0.45">
      <c r="A509"/>
      <c r="B509"/>
    </row>
    <row r="510" spans="1:2" ht="18" x14ac:dyDescent="0.45">
      <c r="A510"/>
      <c r="B510"/>
    </row>
    <row r="511" spans="1:2" ht="18" x14ac:dyDescent="0.45">
      <c r="A511"/>
      <c r="B511"/>
    </row>
    <row r="512" spans="1:2" ht="18" x14ac:dyDescent="0.45">
      <c r="A512"/>
      <c r="B512"/>
    </row>
    <row r="513" spans="1:2" ht="18" x14ac:dyDescent="0.45">
      <c r="A513"/>
      <c r="B513"/>
    </row>
    <row r="514" spans="1:2" ht="18" x14ac:dyDescent="0.45">
      <c r="A514"/>
      <c r="B514"/>
    </row>
    <row r="515" spans="1:2" ht="18" x14ac:dyDescent="0.45">
      <c r="A515"/>
      <c r="B515"/>
    </row>
    <row r="516" spans="1:2" ht="18" x14ac:dyDescent="0.45">
      <c r="A516"/>
      <c r="B516"/>
    </row>
    <row r="517" spans="1:2" ht="18" x14ac:dyDescent="0.45">
      <c r="A517"/>
      <c r="B517"/>
    </row>
    <row r="518" spans="1:2" ht="18" x14ac:dyDescent="0.45">
      <c r="A518"/>
      <c r="B518"/>
    </row>
    <row r="519" spans="1:2" ht="18" x14ac:dyDescent="0.45">
      <c r="A519"/>
      <c r="B519"/>
    </row>
    <row r="520" spans="1:2" ht="18" x14ac:dyDescent="0.45">
      <c r="A520"/>
      <c r="B520"/>
    </row>
    <row r="521" spans="1:2" ht="18" x14ac:dyDescent="0.45">
      <c r="A521"/>
      <c r="B521"/>
    </row>
    <row r="522" spans="1:2" ht="18" x14ac:dyDescent="0.45">
      <c r="A522"/>
      <c r="B522"/>
    </row>
    <row r="523" spans="1:2" ht="18" x14ac:dyDescent="0.45">
      <c r="A523"/>
      <c r="B523"/>
    </row>
    <row r="524" spans="1:2" ht="18" x14ac:dyDescent="0.45">
      <c r="A524"/>
      <c r="B524"/>
    </row>
    <row r="525" spans="1:2" ht="18" x14ac:dyDescent="0.45">
      <c r="A525"/>
      <c r="B525"/>
    </row>
    <row r="526" spans="1:2" ht="18" x14ac:dyDescent="0.45">
      <c r="A526"/>
      <c r="B526"/>
    </row>
    <row r="527" spans="1:2" ht="18" x14ac:dyDescent="0.45">
      <c r="A527"/>
      <c r="B527"/>
    </row>
    <row r="528" spans="1:2" ht="18" x14ac:dyDescent="0.45">
      <c r="A528"/>
      <c r="B528"/>
    </row>
    <row r="529" spans="1:2" ht="18" x14ac:dyDescent="0.45">
      <c r="A529"/>
      <c r="B529"/>
    </row>
    <row r="530" spans="1:2" ht="18" x14ac:dyDescent="0.45">
      <c r="A530"/>
      <c r="B530"/>
    </row>
    <row r="531" spans="1:2" ht="18" x14ac:dyDescent="0.45">
      <c r="A531"/>
      <c r="B531"/>
    </row>
    <row r="532" spans="1:2" ht="18" x14ac:dyDescent="0.45">
      <c r="A532"/>
      <c r="B532"/>
    </row>
    <row r="533" spans="1:2" ht="18" x14ac:dyDescent="0.45">
      <c r="A533"/>
      <c r="B533"/>
    </row>
    <row r="534" spans="1:2" ht="18" x14ac:dyDescent="0.45">
      <c r="A534"/>
      <c r="B534"/>
    </row>
    <row r="535" spans="1:2" ht="18" x14ac:dyDescent="0.45">
      <c r="A535"/>
      <c r="B535"/>
    </row>
    <row r="536" spans="1:2" ht="18" x14ac:dyDescent="0.45">
      <c r="A536"/>
      <c r="B536"/>
    </row>
    <row r="537" spans="1:2" ht="18" x14ac:dyDescent="0.45">
      <c r="A537"/>
      <c r="B537"/>
    </row>
    <row r="538" spans="1:2" ht="18" x14ac:dyDescent="0.45">
      <c r="A538"/>
      <c r="B538"/>
    </row>
    <row r="539" spans="1:2" ht="18" x14ac:dyDescent="0.45">
      <c r="A539"/>
      <c r="B539"/>
    </row>
    <row r="540" spans="1:2" ht="18" x14ac:dyDescent="0.45">
      <c r="A540"/>
      <c r="B540"/>
    </row>
    <row r="541" spans="1:2" ht="18" x14ac:dyDescent="0.45">
      <c r="A541"/>
      <c r="B541"/>
    </row>
    <row r="542" spans="1:2" ht="18" x14ac:dyDescent="0.45">
      <c r="A542"/>
      <c r="B542"/>
    </row>
    <row r="543" spans="1:2" ht="18" x14ac:dyDescent="0.45">
      <c r="A543"/>
      <c r="B543"/>
    </row>
    <row r="544" spans="1:2" ht="18" x14ac:dyDescent="0.45">
      <c r="A544"/>
      <c r="B544"/>
    </row>
    <row r="545" spans="1:2" ht="18" x14ac:dyDescent="0.45">
      <c r="A545"/>
      <c r="B545"/>
    </row>
    <row r="546" spans="1:2" ht="18" x14ac:dyDescent="0.45">
      <c r="A546"/>
      <c r="B546"/>
    </row>
    <row r="547" spans="1:2" ht="18" x14ac:dyDescent="0.45">
      <c r="A547"/>
      <c r="B547"/>
    </row>
    <row r="548" spans="1:2" ht="18" x14ac:dyDescent="0.45">
      <c r="A548"/>
      <c r="B548"/>
    </row>
    <row r="549" spans="1:2" ht="18" x14ac:dyDescent="0.45">
      <c r="A549"/>
      <c r="B549"/>
    </row>
    <row r="550" spans="1:2" ht="18" x14ac:dyDescent="0.45">
      <c r="A550"/>
      <c r="B550"/>
    </row>
    <row r="551" spans="1:2" ht="18" x14ac:dyDescent="0.45">
      <c r="A551"/>
      <c r="B551"/>
    </row>
    <row r="552" spans="1:2" ht="18" x14ac:dyDescent="0.45">
      <c r="A552"/>
      <c r="B552"/>
    </row>
    <row r="553" spans="1:2" ht="18" x14ac:dyDescent="0.45">
      <c r="A553"/>
      <c r="B553"/>
    </row>
    <row r="554" spans="1:2" ht="18" x14ac:dyDescent="0.45">
      <c r="A554"/>
      <c r="B554"/>
    </row>
    <row r="555" spans="1:2" ht="18" x14ac:dyDescent="0.45">
      <c r="A555"/>
      <c r="B555"/>
    </row>
    <row r="556" spans="1:2" ht="18" x14ac:dyDescent="0.45">
      <c r="A556"/>
      <c r="B556"/>
    </row>
    <row r="557" spans="1:2" ht="18" x14ac:dyDescent="0.45">
      <c r="A557"/>
      <c r="B557"/>
    </row>
    <row r="558" spans="1:2" ht="18" x14ac:dyDescent="0.45">
      <c r="A558"/>
      <c r="B558"/>
    </row>
    <row r="559" spans="1:2" ht="18" x14ac:dyDescent="0.45">
      <c r="A559"/>
      <c r="B559"/>
    </row>
    <row r="560" spans="1:2" ht="18" x14ac:dyDescent="0.45">
      <c r="A560"/>
      <c r="B560"/>
    </row>
    <row r="561" spans="1:2" ht="18" x14ac:dyDescent="0.45">
      <c r="A561"/>
      <c r="B561"/>
    </row>
    <row r="562" spans="1:2" ht="18" x14ac:dyDescent="0.45">
      <c r="A562"/>
      <c r="B562"/>
    </row>
    <row r="563" spans="1:2" ht="18" x14ac:dyDescent="0.45">
      <c r="A563"/>
      <c r="B563"/>
    </row>
    <row r="564" spans="1:2" ht="18" x14ac:dyDescent="0.45">
      <c r="A564"/>
      <c r="B564"/>
    </row>
    <row r="565" spans="1:2" ht="18" x14ac:dyDescent="0.45">
      <c r="A565"/>
      <c r="B565"/>
    </row>
    <row r="566" spans="1:2" ht="18" x14ac:dyDescent="0.45">
      <c r="A566"/>
      <c r="B566"/>
    </row>
    <row r="567" spans="1:2" ht="18" x14ac:dyDescent="0.45">
      <c r="A567"/>
      <c r="B567"/>
    </row>
    <row r="568" spans="1:2" ht="18" x14ac:dyDescent="0.45">
      <c r="A568"/>
      <c r="B568"/>
    </row>
    <row r="569" spans="1:2" ht="18" x14ac:dyDescent="0.45">
      <c r="A569"/>
      <c r="B569"/>
    </row>
    <row r="570" spans="1:2" ht="18" x14ac:dyDescent="0.45">
      <c r="A570"/>
      <c r="B570"/>
    </row>
    <row r="571" spans="1:2" ht="18" x14ac:dyDescent="0.45">
      <c r="A571"/>
      <c r="B571"/>
    </row>
    <row r="572" spans="1:2" ht="18" x14ac:dyDescent="0.45">
      <c r="A572"/>
      <c r="B572"/>
    </row>
    <row r="573" spans="1:2" ht="18" x14ac:dyDescent="0.45">
      <c r="A573"/>
      <c r="B573"/>
    </row>
    <row r="574" spans="1:2" ht="18" x14ac:dyDescent="0.45">
      <c r="A574"/>
      <c r="B574"/>
    </row>
    <row r="575" spans="1:2" ht="18" x14ac:dyDescent="0.45">
      <c r="A575"/>
      <c r="B575"/>
    </row>
    <row r="576" spans="1:2" ht="18" x14ac:dyDescent="0.45">
      <c r="A576"/>
      <c r="B576"/>
    </row>
    <row r="577" spans="1:2" ht="18" x14ac:dyDescent="0.45">
      <c r="A577"/>
      <c r="B577"/>
    </row>
    <row r="578" spans="1:2" ht="18" x14ac:dyDescent="0.45">
      <c r="A578"/>
      <c r="B578"/>
    </row>
    <row r="579" spans="1:2" ht="18" x14ac:dyDescent="0.45">
      <c r="A579"/>
      <c r="B579"/>
    </row>
    <row r="580" spans="1:2" ht="18" x14ac:dyDescent="0.45">
      <c r="A580"/>
      <c r="B580"/>
    </row>
    <row r="581" spans="1:2" ht="18" x14ac:dyDescent="0.45">
      <c r="A581"/>
      <c r="B581"/>
    </row>
    <row r="582" spans="1:2" ht="18" x14ac:dyDescent="0.45">
      <c r="A582"/>
      <c r="B582"/>
    </row>
    <row r="583" spans="1:2" ht="18" x14ac:dyDescent="0.45">
      <c r="A583"/>
      <c r="B583"/>
    </row>
    <row r="584" spans="1:2" ht="18" x14ac:dyDescent="0.45">
      <c r="A584"/>
      <c r="B584"/>
    </row>
    <row r="585" spans="1:2" ht="18" x14ac:dyDescent="0.45">
      <c r="A585"/>
      <c r="B585"/>
    </row>
    <row r="586" spans="1:2" ht="18" x14ac:dyDescent="0.45">
      <c r="A586"/>
      <c r="B586"/>
    </row>
    <row r="587" spans="1:2" ht="18" x14ac:dyDescent="0.45">
      <c r="A587"/>
      <c r="B587"/>
    </row>
    <row r="588" spans="1:2" ht="18" x14ac:dyDescent="0.45">
      <c r="A588"/>
      <c r="B588"/>
    </row>
    <row r="589" spans="1:2" ht="18" x14ac:dyDescent="0.45">
      <c r="A589"/>
      <c r="B589"/>
    </row>
    <row r="590" spans="1:2" ht="18" x14ac:dyDescent="0.45">
      <c r="A590"/>
      <c r="B590"/>
    </row>
    <row r="591" spans="1:2" ht="18" x14ac:dyDescent="0.45">
      <c r="A591"/>
      <c r="B591"/>
    </row>
    <row r="592" spans="1:2" ht="18" x14ac:dyDescent="0.45">
      <c r="A592"/>
      <c r="B592"/>
    </row>
    <row r="593" spans="1:2" ht="18" x14ac:dyDescent="0.45">
      <c r="A593"/>
      <c r="B593"/>
    </row>
    <row r="594" spans="1:2" ht="18" x14ac:dyDescent="0.45">
      <c r="A594"/>
      <c r="B594"/>
    </row>
    <row r="595" spans="1:2" ht="18" x14ac:dyDescent="0.45">
      <c r="A595"/>
      <c r="B595"/>
    </row>
    <row r="596" spans="1:2" ht="18" x14ac:dyDescent="0.45">
      <c r="A596"/>
      <c r="B596"/>
    </row>
    <row r="597" spans="1:2" ht="18" x14ac:dyDescent="0.45">
      <c r="A597"/>
      <c r="B597"/>
    </row>
    <row r="598" spans="1:2" ht="18" x14ac:dyDescent="0.45">
      <c r="A598"/>
      <c r="B598"/>
    </row>
    <row r="599" spans="1:2" ht="18" x14ac:dyDescent="0.45">
      <c r="A599"/>
      <c r="B599"/>
    </row>
    <row r="600" spans="1:2" ht="18" x14ac:dyDescent="0.45">
      <c r="A600"/>
      <c r="B600"/>
    </row>
    <row r="601" spans="1:2" ht="18" x14ac:dyDescent="0.45">
      <c r="A601"/>
      <c r="B601"/>
    </row>
    <row r="602" spans="1:2" ht="18" x14ac:dyDescent="0.45">
      <c r="A602"/>
      <c r="B602"/>
    </row>
    <row r="603" spans="1:2" ht="18" x14ac:dyDescent="0.45">
      <c r="A603"/>
      <c r="B603"/>
    </row>
    <row r="604" spans="1:2" ht="18" x14ac:dyDescent="0.45">
      <c r="A604"/>
      <c r="B604"/>
    </row>
    <row r="605" spans="1:2" ht="18" x14ac:dyDescent="0.45">
      <c r="A605"/>
      <c r="B605"/>
    </row>
    <row r="606" spans="1:2" ht="18" x14ac:dyDescent="0.45">
      <c r="A606"/>
      <c r="B606"/>
    </row>
    <row r="607" spans="1:2" ht="18" x14ac:dyDescent="0.45">
      <c r="A607"/>
      <c r="B607"/>
    </row>
    <row r="608" spans="1:2" ht="18" x14ac:dyDescent="0.45">
      <c r="A608"/>
      <c r="B608"/>
    </row>
    <row r="609" spans="1:2" ht="18" x14ac:dyDescent="0.45">
      <c r="A609"/>
      <c r="B609"/>
    </row>
    <row r="610" spans="1:2" ht="18" x14ac:dyDescent="0.45">
      <c r="A610"/>
      <c r="B610"/>
    </row>
    <row r="611" spans="1:2" ht="18" x14ac:dyDescent="0.45">
      <c r="A611"/>
      <c r="B611"/>
    </row>
    <row r="612" spans="1:2" ht="18" x14ac:dyDescent="0.45">
      <c r="A612"/>
      <c r="B612"/>
    </row>
    <row r="613" spans="1:2" ht="18" x14ac:dyDescent="0.45">
      <c r="A613"/>
      <c r="B613"/>
    </row>
    <row r="614" spans="1:2" ht="18" x14ac:dyDescent="0.45">
      <c r="A614"/>
      <c r="B614"/>
    </row>
    <row r="615" spans="1:2" ht="18" x14ac:dyDescent="0.45">
      <c r="A615"/>
      <c r="B615"/>
    </row>
    <row r="616" spans="1:2" ht="18" x14ac:dyDescent="0.45">
      <c r="A616"/>
      <c r="B616"/>
    </row>
    <row r="617" spans="1:2" ht="18" x14ac:dyDescent="0.45">
      <c r="A617"/>
      <c r="B617"/>
    </row>
    <row r="618" spans="1:2" ht="18" x14ac:dyDescent="0.45">
      <c r="A618"/>
      <c r="B618"/>
    </row>
    <row r="619" spans="1:2" ht="18" x14ac:dyDescent="0.45">
      <c r="A619"/>
      <c r="B619"/>
    </row>
    <row r="620" spans="1:2" ht="18" x14ac:dyDescent="0.45">
      <c r="A620"/>
      <c r="B620"/>
    </row>
    <row r="621" spans="1:2" ht="18" x14ac:dyDescent="0.45">
      <c r="A621"/>
      <c r="B621"/>
    </row>
    <row r="622" spans="1:2" ht="18" x14ac:dyDescent="0.45">
      <c r="A622"/>
      <c r="B622"/>
    </row>
    <row r="623" spans="1:2" ht="18" x14ac:dyDescent="0.45">
      <c r="A623"/>
      <c r="B623"/>
    </row>
    <row r="624" spans="1:2" ht="18" x14ac:dyDescent="0.45">
      <c r="A624"/>
      <c r="B624"/>
    </row>
    <row r="625" spans="1:2" ht="18" x14ac:dyDescent="0.45">
      <c r="A625"/>
      <c r="B625"/>
    </row>
    <row r="626" spans="1:2" ht="18" x14ac:dyDescent="0.45">
      <c r="A626"/>
      <c r="B626"/>
    </row>
    <row r="627" spans="1:2" ht="18" x14ac:dyDescent="0.45">
      <c r="A627"/>
      <c r="B627"/>
    </row>
    <row r="628" spans="1:2" ht="18" x14ac:dyDescent="0.45">
      <c r="A628"/>
      <c r="B628"/>
    </row>
    <row r="629" spans="1:2" ht="18" x14ac:dyDescent="0.45">
      <c r="A629"/>
      <c r="B629"/>
    </row>
    <row r="630" spans="1:2" ht="18" x14ac:dyDescent="0.45">
      <c r="A630"/>
      <c r="B630"/>
    </row>
    <row r="631" spans="1:2" ht="18" x14ac:dyDescent="0.45">
      <c r="A631"/>
      <c r="B631"/>
    </row>
    <row r="632" spans="1:2" ht="18" x14ac:dyDescent="0.45">
      <c r="A632"/>
      <c r="B632"/>
    </row>
    <row r="633" spans="1:2" ht="18" x14ac:dyDescent="0.45">
      <c r="A633"/>
      <c r="B633"/>
    </row>
    <row r="634" spans="1:2" ht="18" x14ac:dyDescent="0.45">
      <c r="A634"/>
      <c r="B634"/>
    </row>
    <row r="635" spans="1:2" ht="18" x14ac:dyDescent="0.45">
      <c r="A635"/>
      <c r="B635"/>
    </row>
    <row r="636" spans="1:2" ht="18" x14ac:dyDescent="0.45">
      <c r="A636"/>
      <c r="B636"/>
    </row>
    <row r="637" spans="1:2" ht="18" x14ac:dyDescent="0.45">
      <c r="A637"/>
      <c r="B637"/>
    </row>
    <row r="638" spans="1:2" ht="18" x14ac:dyDescent="0.45">
      <c r="A638"/>
      <c r="B638"/>
    </row>
    <row r="639" spans="1:2" ht="18" x14ac:dyDescent="0.45">
      <c r="A639"/>
      <c r="B639"/>
    </row>
    <row r="640" spans="1:2" ht="18" x14ac:dyDescent="0.45">
      <c r="A640"/>
      <c r="B640"/>
    </row>
    <row r="641" spans="1:2" ht="18" x14ac:dyDescent="0.45">
      <c r="A641"/>
      <c r="B641"/>
    </row>
    <row r="642" spans="1:2" ht="18" x14ac:dyDescent="0.45">
      <c r="A642"/>
      <c r="B642"/>
    </row>
    <row r="643" spans="1:2" ht="18" x14ac:dyDescent="0.45">
      <c r="A643"/>
      <c r="B643"/>
    </row>
    <row r="644" spans="1:2" ht="18" x14ac:dyDescent="0.45">
      <c r="A644"/>
      <c r="B644"/>
    </row>
    <row r="645" spans="1:2" ht="18" x14ac:dyDescent="0.45">
      <c r="A645"/>
      <c r="B645"/>
    </row>
    <row r="646" spans="1:2" ht="18" x14ac:dyDescent="0.45">
      <c r="A646"/>
      <c r="B646"/>
    </row>
    <row r="647" spans="1:2" ht="18" x14ac:dyDescent="0.45">
      <c r="A647"/>
      <c r="B647"/>
    </row>
    <row r="648" spans="1:2" ht="18" x14ac:dyDescent="0.45">
      <c r="A648"/>
      <c r="B648"/>
    </row>
    <row r="649" spans="1:2" ht="18" x14ac:dyDescent="0.45">
      <c r="A649"/>
      <c r="B649"/>
    </row>
    <row r="650" spans="1:2" ht="18" x14ac:dyDescent="0.45">
      <c r="A650"/>
      <c r="B650"/>
    </row>
    <row r="651" spans="1:2" ht="18" x14ac:dyDescent="0.45">
      <c r="A651"/>
      <c r="B651"/>
    </row>
    <row r="652" spans="1:2" ht="18" x14ac:dyDescent="0.45">
      <c r="A652"/>
      <c r="B652"/>
    </row>
    <row r="653" spans="1:2" ht="18" x14ac:dyDescent="0.45">
      <c r="A653"/>
      <c r="B653"/>
    </row>
    <row r="654" spans="1:2" ht="18" x14ac:dyDescent="0.45">
      <c r="A654"/>
      <c r="B654"/>
    </row>
    <row r="655" spans="1:2" ht="18" x14ac:dyDescent="0.45">
      <c r="A655"/>
      <c r="B655"/>
    </row>
    <row r="656" spans="1:2" ht="18" x14ac:dyDescent="0.45">
      <c r="A656"/>
      <c r="B656"/>
    </row>
    <row r="657" spans="1:2" ht="18" x14ac:dyDescent="0.45">
      <c r="A657"/>
      <c r="B657"/>
    </row>
    <row r="658" spans="1:2" ht="18" x14ac:dyDescent="0.45">
      <c r="A658"/>
      <c r="B658"/>
    </row>
    <row r="659" spans="1:2" ht="18" x14ac:dyDescent="0.45">
      <c r="A659"/>
      <c r="B659"/>
    </row>
    <row r="660" spans="1:2" ht="18" x14ac:dyDescent="0.45">
      <c r="A660"/>
      <c r="B660"/>
    </row>
    <row r="661" spans="1:2" ht="18" x14ac:dyDescent="0.45">
      <c r="A661"/>
      <c r="B661"/>
    </row>
    <row r="662" spans="1:2" ht="18" x14ac:dyDescent="0.45">
      <c r="A662"/>
      <c r="B662"/>
    </row>
    <row r="663" spans="1:2" ht="18" x14ac:dyDescent="0.45">
      <c r="A663"/>
      <c r="B663"/>
    </row>
    <row r="664" spans="1:2" ht="18" x14ac:dyDescent="0.45">
      <c r="A664"/>
      <c r="B664"/>
    </row>
    <row r="665" spans="1:2" ht="18" x14ac:dyDescent="0.45">
      <c r="A665"/>
      <c r="B665"/>
    </row>
    <row r="666" spans="1:2" ht="18" x14ac:dyDescent="0.45">
      <c r="A666"/>
      <c r="B666"/>
    </row>
    <row r="667" spans="1:2" ht="18" x14ac:dyDescent="0.45">
      <c r="A667"/>
      <c r="B667"/>
    </row>
    <row r="668" spans="1:2" ht="18" x14ac:dyDescent="0.45">
      <c r="A668"/>
      <c r="B668"/>
    </row>
    <row r="669" spans="1:2" ht="18" x14ac:dyDescent="0.45">
      <c r="A669"/>
      <c r="B669"/>
    </row>
    <row r="670" spans="1:2" ht="18" x14ac:dyDescent="0.45">
      <c r="A670"/>
      <c r="B670"/>
    </row>
    <row r="671" spans="1:2" ht="18" x14ac:dyDescent="0.45">
      <c r="A671"/>
      <c r="B671"/>
    </row>
    <row r="672" spans="1:2" ht="18" x14ac:dyDescent="0.45">
      <c r="A672"/>
      <c r="B672"/>
    </row>
    <row r="673" spans="1:2" ht="18" x14ac:dyDescent="0.45">
      <c r="A673"/>
      <c r="B673"/>
    </row>
    <row r="674" spans="1:2" ht="18" x14ac:dyDescent="0.45">
      <c r="A674"/>
      <c r="B674"/>
    </row>
    <row r="675" spans="1:2" ht="18" x14ac:dyDescent="0.45">
      <c r="A675"/>
      <c r="B675"/>
    </row>
    <row r="676" spans="1:2" ht="18" x14ac:dyDescent="0.45">
      <c r="A676"/>
      <c r="B676"/>
    </row>
    <row r="677" spans="1:2" ht="18" x14ac:dyDescent="0.45">
      <c r="A677"/>
      <c r="B677"/>
    </row>
    <row r="678" spans="1:2" ht="18" x14ac:dyDescent="0.45">
      <c r="A678"/>
      <c r="B678"/>
    </row>
    <row r="679" spans="1:2" ht="18" x14ac:dyDescent="0.45">
      <c r="A679"/>
      <c r="B679"/>
    </row>
    <row r="680" spans="1:2" ht="18" x14ac:dyDescent="0.45">
      <c r="A680"/>
      <c r="B680"/>
    </row>
    <row r="681" spans="1:2" ht="18" x14ac:dyDescent="0.45">
      <c r="A681"/>
      <c r="B681"/>
    </row>
    <row r="682" spans="1:2" ht="18" x14ac:dyDescent="0.45">
      <c r="A682"/>
      <c r="B682"/>
    </row>
    <row r="683" spans="1:2" ht="18" x14ac:dyDescent="0.45">
      <c r="A683"/>
      <c r="B683"/>
    </row>
    <row r="684" spans="1:2" ht="18" x14ac:dyDescent="0.45">
      <c r="A684"/>
      <c r="B684"/>
    </row>
    <row r="685" spans="1:2" ht="18" x14ac:dyDescent="0.45">
      <c r="A685"/>
      <c r="B685"/>
    </row>
    <row r="686" spans="1:2" ht="18" x14ac:dyDescent="0.45">
      <c r="A686"/>
      <c r="B686"/>
    </row>
    <row r="687" spans="1:2" ht="18" x14ac:dyDescent="0.45">
      <c r="A687"/>
      <c r="B687"/>
    </row>
    <row r="688" spans="1:2" ht="18" x14ac:dyDescent="0.45">
      <c r="A688"/>
      <c r="B688"/>
    </row>
    <row r="689" spans="1:2" ht="18" x14ac:dyDescent="0.45">
      <c r="A689"/>
      <c r="B689"/>
    </row>
    <row r="690" spans="1:2" ht="18" x14ac:dyDescent="0.45">
      <c r="A690"/>
      <c r="B690"/>
    </row>
    <row r="691" spans="1:2" ht="18" x14ac:dyDescent="0.45">
      <c r="A691"/>
      <c r="B691"/>
    </row>
    <row r="692" spans="1:2" ht="18" x14ac:dyDescent="0.45">
      <c r="A692"/>
      <c r="B692"/>
    </row>
    <row r="693" spans="1:2" ht="18" x14ac:dyDescent="0.45">
      <c r="A693"/>
      <c r="B693"/>
    </row>
    <row r="694" spans="1:2" ht="18" x14ac:dyDescent="0.45">
      <c r="A694"/>
      <c r="B694"/>
    </row>
    <row r="695" spans="1:2" ht="18" x14ac:dyDescent="0.45">
      <c r="A695"/>
      <c r="B695"/>
    </row>
    <row r="696" spans="1:2" ht="18" x14ac:dyDescent="0.45">
      <c r="A696"/>
      <c r="B696"/>
    </row>
    <row r="697" spans="1:2" ht="18" x14ac:dyDescent="0.45">
      <c r="A697"/>
      <c r="B697"/>
    </row>
    <row r="698" spans="1:2" ht="18" x14ac:dyDescent="0.45">
      <c r="A698"/>
      <c r="B698"/>
    </row>
    <row r="699" spans="1:2" ht="18" x14ac:dyDescent="0.45">
      <c r="A699"/>
      <c r="B699"/>
    </row>
    <row r="700" spans="1:2" ht="18" x14ac:dyDescent="0.45">
      <c r="A700"/>
      <c r="B700"/>
    </row>
    <row r="701" spans="1:2" ht="18" x14ac:dyDescent="0.45">
      <c r="A701"/>
      <c r="B701"/>
    </row>
    <row r="702" spans="1:2" ht="18" x14ac:dyDescent="0.45">
      <c r="A702"/>
      <c r="B702"/>
    </row>
    <row r="703" spans="1:2" ht="18" x14ac:dyDescent="0.45">
      <c r="A703"/>
      <c r="B703"/>
    </row>
    <row r="704" spans="1:2" ht="18" x14ac:dyDescent="0.45">
      <c r="A704"/>
      <c r="B704"/>
    </row>
    <row r="705" spans="1:2" ht="18" x14ac:dyDescent="0.45">
      <c r="A705"/>
      <c r="B705"/>
    </row>
    <row r="706" spans="1:2" ht="18" x14ac:dyDescent="0.45">
      <c r="A706"/>
      <c r="B706"/>
    </row>
    <row r="707" spans="1:2" ht="18" x14ac:dyDescent="0.45">
      <c r="A707"/>
      <c r="B707"/>
    </row>
    <row r="708" spans="1:2" ht="18" x14ac:dyDescent="0.45">
      <c r="A708"/>
      <c r="B708"/>
    </row>
    <row r="709" spans="1:2" ht="18" x14ac:dyDescent="0.45">
      <c r="A709"/>
      <c r="B709"/>
    </row>
    <row r="710" spans="1:2" ht="18" x14ac:dyDescent="0.45">
      <c r="A710"/>
      <c r="B710"/>
    </row>
    <row r="711" spans="1:2" ht="18" x14ac:dyDescent="0.45">
      <c r="A711"/>
      <c r="B711"/>
    </row>
    <row r="712" spans="1:2" ht="18" x14ac:dyDescent="0.45">
      <c r="A712"/>
      <c r="B712"/>
    </row>
    <row r="713" spans="1:2" ht="18" x14ac:dyDescent="0.45">
      <c r="A713"/>
      <c r="B713"/>
    </row>
    <row r="714" spans="1:2" ht="18" x14ac:dyDescent="0.45">
      <c r="A714"/>
      <c r="B714"/>
    </row>
    <row r="715" spans="1:2" ht="18" x14ac:dyDescent="0.45">
      <c r="A715"/>
      <c r="B715"/>
    </row>
    <row r="716" spans="1:2" ht="18" x14ac:dyDescent="0.45">
      <c r="A716"/>
      <c r="B716"/>
    </row>
    <row r="717" spans="1:2" ht="18" x14ac:dyDescent="0.45">
      <c r="A717"/>
      <c r="B717"/>
    </row>
    <row r="718" spans="1:2" ht="18" x14ac:dyDescent="0.45">
      <c r="A718"/>
      <c r="B718"/>
    </row>
    <row r="719" spans="1:2" ht="18" x14ac:dyDescent="0.45">
      <c r="A719"/>
      <c r="B719"/>
    </row>
    <row r="720" spans="1:2" ht="18" x14ac:dyDescent="0.45">
      <c r="A720"/>
      <c r="B720"/>
    </row>
    <row r="721" spans="1:2" ht="18" x14ac:dyDescent="0.45">
      <c r="A721"/>
      <c r="B721"/>
    </row>
    <row r="722" spans="1:2" ht="18" x14ac:dyDescent="0.45">
      <c r="A722"/>
      <c r="B722"/>
    </row>
    <row r="723" spans="1:2" ht="18" x14ac:dyDescent="0.45">
      <c r="A723"/>
      <c r="B723"/>
    </row>
    <row r="724" spans="1:2" ht="18" x14ac:dyDescent="0.45">
      <c r="A724"/>
      <c r="B724"/>
    </row>
    <row r="725" spans="1:2" ht="18" x14ac:dyDescent="0.45">
      <c r="A725"/>
      <c r="B725"/>
    </row>
    <row r="726" spans="1:2" ht="18" x14ac:dyDescent="0.45">
      <c r="A726"/>
      <c r="B726"/>
    </row>
    <row r="727" spans="1:2" ht="18" x14ac:dyDescent="0.45">
      <c r="A727"/>
      <c r="B727"/>
    </row>
    <row r="728" spans="1:2" ht="18" x14ac:dyDescent="0.45">
      <c r="A728"/>
      <c r="B728"/>
    </row>
    <row r="729" spans="1:2" ht="18" x14ac:dyDescent="0.45">
      <c r="A729"/>
      <c r="B729"/>
    </row>
    <row r="730" spans="1:2" ht="18" x14ac:dyDescent="0.45">
      <c r="A730"/>
      <c r="B730"/>
    </row>
    <row r="731" spans="1:2" ht="18" x14ac:dyDescent="0.45">
      <c r="A731"/>
      <c r="B731"/>
    </row>
    <row r="732" spans="1:2" ht="18" x14ac:dyDescent="0.45">
      <c r="A732"/>
      <c r="B732"/>
    </row>
    <row r="733" spans="1:2" ht="18" x14ac:dyDescent="0.45">
      <c r="A733"/>
      <c r="B733"/>
    </row>
    <row r="734" spans="1:2" ht="18" x14ac:dyDescent="0.45">
      <c r="A734"/>
      <c r="B734"/>
    </row>
    <row r="735" spans="1:2" ht="18" x14ac:dyDescent="0.45">
      <c r="A735"/>
      <c r="B735"/>
    </row>
    <row r="736" spans="1:2" ht="18" x14ac:dyDescent="0.45">
      <c r="A736"/>
      <c r="B736"/>
    </row>
    <row r="737" spans="1:2" ht="18" x14ac:dyDescent="0.45">
      <c r="A737"/>
      <c r="B737"/>
    </row>
    <row r="738" spans="1:2" ht="18" x14ac:dyDescent="0.45">
      <c r="A738"/>
      <c r="B738"/>
    </row>
    <row r="739" spans="1:2" ht="18" x14ac:dyDescent="0.45">
      <c r="A739"/>
      <c r="B739"/>
    </row>
    <row r="740" spans="1:2" ht="18" x14ac:dyDescent="0.45">
      <c r="A740"/>
      <c r="B740"/>
    </row>
    <row r="741" spans="1:2" ht="18" x14ac:dyDescent="0.45">
      <c r="A741"/>
      <c r="B741"/>
    </row>
    <row r="742" spans="1:2" ht="18" x14ac:dyDescent="0.45">
      <c r="A742"/>
      <c r="B742"/>
    </row>
    <row r="743" spans="1:2" ht="18" x14ac:dyDescent="0.45">
      <c r="A743"/>
      <c r="B743"/>
    </row>
    <row r="744" spans="1:2" ht="18" x14ac:dyDescent="0.45">
      <c r="A744"/>
      <c r="B744"/>
    </row>
    <row r="745" spans="1:2" ht="18" x14ac:dyDescent="0.45">
      <c r="A745"/>
      <c r="B745"/>
    </row>
    <row r="746" spans="1:2" ht="18" x14ac:dyDescent="0.45">
      <c r="A746"/>
      <c r="B746"/>
    </row>
    <row r="747" spans="1:2" ht="18" x14ac:dyDescent="0.45">
      <c r="A747"/>
      <c r="B747"/>
    </row>
    <row r="748" spans="1:2" ht="18" x14ac:dyDescent="0.45">
      <c r="A748"/>
      <c r="B748"/>
    </row>
    <row r="749" spans="1:2" ht="18" x14ac:dyDescent="0.45">
      <c r="A749"/>
      <c r="B749"/>
    </row>
    <row r="750" spans="1:2" ht="18" x14ac:dyDescent="0.45">
      <c r="A750"/>
      <c r="B750"/>
    </row>
    <row r="751" spans="1:2" ht="18" x14ac:dyDescent="0.45">
      <c r="A751"/>
      <c r="B751"/>
    </row>
    <row r="752" spans="1:2" ht="18" x14ac:dyDescent="0.45">
      <c r="A752"/>
      <c r="B752"/>
    </row>
    <row r="753" spans="1:2" ht="18" x14ac:dyDescent="0.45">
      <c r="A753"/>
      <c r="B753"/>
    </row>
    <row r="754" spans="1:2" ht="18" x14ac:dyDescent="0.45">
      <c r="A754"/>
      <c r="B754"/>
    </row>
    <row r="755" spans="1:2" ht="18" x14ac:dyDescent="0.45">
      <c r="A755"/>
      <c r="B755"/>
    </row>
    <row r="756" spans="1:2" ht="18" x14ac:dyDescent="0.45">
      <c r="A756"/>
      <c r="B756"/>
    </row>
    <row r="757" spans="1:2" ht="18" x14ac:dyDescent="0.45">
      <c r="A757"/>
      <c r="B757"/>
    </row>
    <row r="758" spans="1:2" ht="18" x14ac:dyDescent="0.45">
      <c r="A758"/>
      <c r="B758"/>
    </row>
    <row r="759" spans="1:2" ht="18" x14ac:dyDescent="0.45">
      <c r="A759"/>
      <c r="B759"/>
    </row>
    <row r="760" spans="1:2" ht="18" x14ac:dyDescent="0.45">
      <c r="A760"/>
      <c r="B760"/>
    </row>
    <row r="761" spans="1:2" ht="18" x14ac:dyDescent="0.45">
      <c r="A761"/>
      <c r="B761"/>
    </row>
    <row r="762" spans="1:2" ht="18" x14ac:dyDescent="0.45">
      <c r="A762"/>
      <c r="B762"/>
    </row>
    <row r="763" spans="1:2" ht="18" x14ac:dyDescent="0.45">
      <c r="A763"/>
      <c r="B763"/>
    </row>
    <row r="764" spans="1:2" ht="18" x14ac:dyDescent="0.45">
      <c r="A764"/>
      <c r="B764"/>
    </row>
    <row r="765" spans="1:2" ht="18" x14ac:dyDescent="0.45">
      <c r="A765"/>
      <c r="B765"/>
    </row>
    <row r="766" spans="1:2" ht="18" x14ac:dyDescent="0.45">
      <c r="A766"/>
      <c r="B766"/>
    </row>
    <row r="767" spans="1:2" ht="18" x14ac:dyDescent="0.45">
      <c r="A767"/>
      <c r="B767"/>
    </row>
    <row r="768" spans="1:2" ht="18" x14ac:dyDescent="0.45">
      <c r="A768"/>
      <c r="B768"/>
    </row>
    <row r="769" spans="1:2" ht="18" x14ac:dyDescent="0.45">
      <c r="A769"/>
      <c r="B769"/>
    </row>
    <row r="770" spans="1:2" ht="18" x14ac:dyDescent="0.45">
      <c r="A770"/>
      <c r="B770"/>
    </row>
    <row r="771" spans="1:2" ht="18" x14ac:dyDescent="0.45">
      <c r="A771"/>
      <c r="B771"/>
    </row>
    <row r="772" spans="1:2" ht="18" x14ac:dyDescent="0.45">
      <c r="A772"/>
      <c r="B772"/>
    </row>
    <row r="773" spans="1:2" ht="18" x14ac:dyDescent="0.45">
      <c r="A773"/>
      <c r="B773"/>
    </row>
    <row r="774" spans="1:2" ht="18" x14ac:dyDescent="0.45">
      <c r="A774"/>
      <c r="B774"/>
    </row>
    <row r="775" spans="1:2" ht="18" x14ac:dyDescent="0.45">
      <c r="A775"/>
      <c r="B775"/>
    </row>
    <row r="776" spans="1:2" ht="18" x14ac:dyDescent="0.45">
      <c r="A776"/>
      <c r="B776"/>
    </row>
    <row r="777" spans="1:2" ht="18" x14ac:dyDescent="0.45">
      <c r="A777"/>
      <c r="B777"/>
    </row>
    <row r="778" spans="1:2" ht="18" x14ac:dyDescent="0.45">
      <c r="A778"/>
      <c r="B778"/>
    </row>
    <row r="779" spans="1:2" ht="18" x14ac:dyDescent="0.45">
      <c r="A779"/>
      <c r="B779"/>
    </row>
    <row r="780" spans="1:2" ht="18" x14ac:dyDescent="0.45">
      <c r="A780"/>
      <c r="B780"/>
    </row>
    <row r="781" spans="1:2" ht="18" x14ac:dyDescent="0.45">
      <c r="A781"/>
      <c r="B781"/>
    </row>
    <row r="782" spans="1:2" ht="18" x14ac:dyDescent="0.45">
      <c r="A782"/>
      <c r="B782"/>
    </row>
    <row r="783" spans="1:2" ht="18" x14ac:dyDescent="0.45">
      <c r="A783"/>
      <c r="B783"/>
    </row>
    <row r="784" spans="1:2" ht="18" x14ac:dyDescent="0.45">
      <c r="A784"/>
      <c r="B784"/>
    </row>
    <row r="785" spans="1:2" ht="18" x14ac:dyDescent="0.45">
      <c r="A785"/>
      <c r="B785"/>
    </row>
    <row r="786" spans="1:2" ht="18" x14ac:dyDescent="0.45">
      <c r="A786"/>
      <c r="B786"/>
    </row>
    <row r="787" spans="1:2" ht="18" x14ac:dyDescent="0.45">
      <c r="A787"/>
      <c r="B787"/>
    </row>
    <row r="788" spans="1:2" ht="18" x14ac:dyDescent="0.45">
      <c r="A788"/>
      <c r="B788"/>
    </row>
    <row r="789" spans="1:2" ht="18" x14ac:dyDescent="0.45">
      <c r="A789"/>
      <c r="B789"/>
    </row>
    <row r="790" spans="1:2" ht="18" x14ac:dyDescent="0.45">
      <c r="A790"/>
      <c r="B790"/>
    </row>
    <row r="791" spans="1:2" ht="18" x14ac:dyDescent="0.45">
      <c r="A791"/>
      <c r="B791"/>
    </row>
    <row r="792" spans="1:2" ht="18" x14ac:dyDescent="0.45">
      <c r="A792"/>
      <c r="B792"/>
    </row>
    <row r="793" spans="1:2" ht="18" x14ac:dyDescent="0.45">
      <c r="A793"/>
      <c r="B793"/>
    </row>
    <row r="794" spans="1:2" ht="18" x14ac:dyDescent="0.45">
      <c r="A794"/>
      <c r="B794"/>
    </row>
    <row r="795" spans="1:2" ht="18" x14ac:dyDescent="0.45">
      <c r="A795"/>
      <c r="B795"/>
    </row>
    <row r="796" spans="1:2" ht="18" x14ac:dyDescent="0.45">
      <c r="A796"/>
      <c r="B796"/>
    </row>
    <row r="797" spans="1:2" ht="18" x14ac:dyDescent="0.45">
      <c r="A797"/>
      <c r="B797"/>
    </row>
    <row r="798" spans="1:2" ht="18" x14ac:dyDescent="0.45">
      <c r="A798"/>
      <c r="B798"/>
    </row>
    <row r="799" spans="1:2" ht="18" x14ac:dyDescent="0.45">
      <c r="A799"/>
      <c r="B799"/>
    </row>
    <row r="800" spans="1:2" ht="18" x14ac:dyDescent="0.45">
      <c r="A800"/>
      <c r="B800"/>
    </row>
    <row r="801" spans="1:2" ht="18" x14ac:dyDescent="0.45">
      <c r="A801"/>
      <c r="B801"/>
    </row>
    <row r="802" spans="1:2" ht="18" x14ac:dyDescent="0.45">
      <c r="A802"/>
      <c r="B802"/>
    </row>
    <row r="803" spans="1:2" ht="18" x14ac:dyDescent="0.45">
      <c r="A803"/>
      <c r="B803"/>
    </row>
    <row r="804" spans="1:2" ht="18" x14ac:dyDescent="0.45">
      <c r="A804"/>
      <c r="B804"/>
    </row>
    <row r="805" spans="1:2" ht="18" x14ac:dyDescent="0.45">
      <c r="A805"/>
      <c r="B805"/>
    </row>
    <row r="806" spans="1:2" ht="18" x14ac:dyDescent="0.45">
      <c r="A806"/>
      <c r="B806"/>
    </row>
    <row r="807" spans="1:2" ht="18" x14ac:dyDescent="0.45">
      <c r="A807"/>
      <c r="B807"/>
    </row>
    <row r="808" spans="1:2" ht="18" x14ac:dyDescent="0.45">
      <c r="A808"/>
      <c r="B808"/>
    </row>
    <row r="809" spans="1:2" ht="18" x14ac:dyDescent="0.45">
      <c r="A809"/>
      <c r="B809"/>
    </row>
    <row r="810" spans="1:2" ht="18" x14ac:dyDescent="0.45">
      <c r="A810"/>
      <c r="B810"/>
    </row>
    <row r="811" spans="1:2" ht="18" x14ac:dyDescent="0.45">
      <c r="A811"/>
      <c r="B811"/>
    </row>
    <row r="812" spans="1:2" ht="18" x14ac:dyDescent="0.45">
      <c r="A812"/>
      <c r="B812"/>
    </row>
    <row r="813" spans="1:2" ht="18" x14ac:dyDescent="0.45">
      <c r="A813"/>
      <c r="B813"/>
    </row>
    <row r="814" spans="1:2" ht="18" x14ac:dyDescent="0.45">
      <c r="A814"/>
      <c r="B814"/>
    </row>
    <row r="815" spans="1:2" ht="18" x14ac:dyDescent="0.45">
      <c r="A815"/>
      <c r="B815"/>
    </row>
    <row r="816" spans="1:2" ht="18" x14ac:dyDescent="0.45">
      <c r="A816"/>
      <c r="B816"/>
    </row>
    <row r="817" spans="1:2" ht="18" x14ac:dyDescent="0.45">
      <c r="A817"/>
      <c r="B817"/>
    </row>
    <row r="818" spans="1:2" ht="18" x14ac:dyDescent="0.45">
      <c r="A818"/>
      <c r="B818"/>
    </row>
    <row r="819" spans="1:2" ht="18" x14ac:dyDescent="0.45">
      <c r="A819"/>
      <c r="B819"/>
    </row>
    <row r="820" spans="1:2" ht="18" x14ac:dyDescent="0.45">
      <c r="A820"/>
      <c r="B820"/>
    </row>
    <row r="821" spans="1:2" ht="18" x14ac:dyDescent="0.45">
      <c r="A821"/>
      <c r="B821"/>
    </row>
    <row r="822" spans="1:2" ht="18" x14ac:dyDescent="0.45">
      <c r="A822"/>
      <c r="B822"/>
    </row>
    <row r="823" spans="1:2" ht="18" x14ac:dyDescent="0.45">
      <c r="A823"/>
      <c r="B823"/>
    </row>
    <row r="824" spans="1:2" ht="18" x14ac:dyDescent="0.45">
      <c r="A824"/>
      <c r="B824"/>
    </row>
    <row r="825" spans="1:2" ht="18" x14ac:dyDescent="0.45">
      <c r="A825"/>
      <c r="B825"/>
    </row>
    <row r="826" spans="1:2" ht="18" x14ac:dyDescent="0.45">
      <c r="A826"/>
      <c r="B826"/>
    </row>
    <row r="827" spans="1:2" ht="18" x14ac:dyDescent="0.45">
      <c r="A827"/>
      <c r="B827"/>
    </row>
    <row r="828" spans="1:2" ht="18" x14ac:dyDescent="0.45">
      <c r="A828"/>
      <c r="B828"/>
    </row>
    <row r="829" spans="1:2" ht="18" x14ac:dyDescent="0.45">
      <c r="A829"/>
      <c r="B829"/>
    </row>
    <row r="830" spans="1:2" ht="18" x14ac:dyDescent="0.45">
      <c r="A830"/>
      <c r="B830"/>
    </row>
    <row r="831" spans="1:2" ht="18" x14ac:dyDescent="0.45">
      <c r="A831"/>
      <c r="B831"/>
    </row>
    <row r="832" spans="1:2" ht="18" x14ac:dyDescent="0.45">
      <c r="A832"/>
      <c r="B832"/>
    </row>
    <row r="833" spans="1:2" ht="18" x14ac:dyDescent="0.45">
      <c r="A833"/>
      <c r="B833"/>
    </row>
    <row r="834" spans="1:2" ht="18" x14ac:dyDescent="0.45">
      <c r="A834"/>
      <c r="B834"/>
    </row>
    <row r="835" spans="1:2" ht="18" x14ac:dyDescent="0.45">
      <c r="A835"/>
      <c r="B835"/>
    </row>
    <row r="836" spans="1:2" ht="18" x14ac:dyDescent="0.45">
      <c r="A836"/>
      <c r="B836"/>
    </row>
    <row r="837" spans="1:2" ht="18" x14ac:dyDescent="0.45">
      <c r="A837"/>
      <c r="B837"/>
    </row>
    <row r="838" spans="1:2" ht="18" x14ac:dyDescent="0.45">
      <c r="A838"/>
      <c r="B838"/>
    </row>
    <row r="839" spans="1:2" ht="18" x14ac:dyDescent="0.45">
      <c r="A839"/>
      <c r="B839"/>
    </row>
    <row r="840" spans="1:2" ht="18" x14ac:dyDescent="0.45">
      <c r="A840"/>
      <c r="B840"/>
    </row>
    <row r="841" spans="1:2" ht="18" x14ac:dyDescent="0.45">
      <c r="A841"/>
      <c r="B841"/>
    </row>
    <row r="842" spans="1:2" ht="18" x14ac:dyDescent="0.45">
      <c r="A842"/>
      <c r="B842"/>
    </row>
    <row r="843" spans="1:2" ht="18" x14ac:dyDescent="0.45">
      <c r="A843"/>
      <c r="B843"/>
    </row>
    <row r="844" spans="1:2" ht="18" x14ac:dyDescent="0.45">
      <c r="A844"/>
      <c r="B844"/>
    </row>
    <row r="845" spans="1:2" ht="18" x14ac:dyDescent="0.45">
      <c r="A845"/>
      <c r="B845"/>
    </row>
    <row r="846" spans="1:2" ht="18" x14ac:dyDescent="0.45">
      <c r="A846"/>
      <c r="B846"/>
    </row>
    <row r="847" spans="1:2" ht="18" x14ac:dyDescent="0.45">
      <c r="A847"/>
      <c r="B847"/>
    </row>
    <row r="848" spans="1:2" ht="18" x14ac:dyDescent="0.45">
      <c r="A848"/>
      <c r="B848"/>
    </row>
    <row r="849" spans="1:2" ht="18" x14ac:dyDescent="0.45">
      <c r="A849"/>
      <c r="B849"/>
    </row>
    <row r="850" spans="1:2" ht="18" x14ac:dyDescent="0.45">
      <c r="A850"/>
      <c r="B850"/>
    </row>
    <row r="851" spans="1:2" ht="18" x14ac:dyDescent="0.45">
      <c r="A851"/>
      <c r="B851"/>
    </row>
    <row r="852" spans="1:2" ht="18" x14ac:dyDescent="0.45">
      <c r="A852"/>
      <c r="B852"/>
    </row>
    <row r="853" spans="1:2" ht="18" x14ac:dyDescent="0.45">
      <c r="A853"/>
      <c r="B853"/>
    </row>
    <row r="854" spans="1:2" ht="18" x14ac:dyDescent="0.45">
      <c r="A854"/>
      <c r="B854"/>
    </row>
    <row r="855" spans="1:2" ht="18" x14ac:dyDescent="0.45">
      <c r="A855"/>
      <c r="B855"/>
    </row>
    <row r="856" spans="1:2" ht="18" x14ac:dyDescent="0.45">
      <c r="A856"/>
      <c r="B856"/>
    </row>
    <row r="857" spans="1:2" ht="18" x14ac:dyDescent="0.45">
      <c r="A857"/>
      <c r="B857"/>
    </row>
    <row r="858" spans="1:2" ht="18" x14ac:dyDescent="0.45">
      <c r="A858"/>
      <c r="B858"/>
    </row>
    <row r="859" spans="1:2" ht="18" x14ac:dyDescent="0.45">
      <c r="A859"/>
      <c r="B859"/>
    </row>
    <row r="860" spans="1:2" ht="18" x14ac:dyDescent="0.45">
      <c r="A860"/>
      <c r="B860"/>
    </row>
    <row r="861" spans="1:2" ht="18" x14ac:dyDescent="0.45">
      <c r="A861"/>
      <c r="B861"/>
    </row>
    <row r="862" spans="1:2" ht="18" x14ac:dyDescent="0.45">
      <c r="A862"/>
      <c r="B862"/>
    </row>
    <row r="863" spans="1:2" ht="18" x14ac:dyDescent="0.45">
      <c r="A863"/>
      <c r="B863"/>
    </row>
    <row r="864" spans="1:2" ht="18" x14ac:dyDescent="0.45">
      <c r="A864"/>
      <c r="B864"/>
    </row>
    <row r="865" spans="1:2" ht="18" x14ac:dyDescent="0.45">
      <c r="A865"/>
      <c r="B865"/>
    </row>
    <row r="866" spans="1:2" ht="18" x14ac:dyDescent="0.45">
      <c r="A866"/>
      <c r="B866"/>
    </row>
    <row r="867" spans="1:2" ht="18" x14ac:dyDescent="0.45">
      <c r="A867"/>
      <c r="B867"/>
    </row>
    <row r="868" spans="1:2" ht="18" x14ac:dyDescent="0.45">
      <c r="A868"/>
      <c r="B868"/>
    </row>
    <row r="869" spans="1:2" ht="18" x14ac:dyDescent="0.45">
      <c r="A869"/>
      <c r="B869"/>
    </row>
    <row r="870" spans="1:2" ht="18" x14ac:dyDescent="0.45">
      <c r="A870"/>
      <c r="B870"/>
    </row>
    <row r="871" spans="1:2" ht="18" x14ac:dyDescent="0.45">
      <c r="A871"/>
      <c r="B871"/>
    </row>
    <row r="872" spans="1:2" ht="18" x14ac:dyDescent="0.45">
      <c r="A872"/>
      <c r="B872"/>
    </row>
    <row r="873" spans="1:2" ht="18" x14ac:dyDescent="0.45">
      <c r="A873"/>
      <c r="B873"/>
    </row>
    <row r="874" spans="1:2" ht="18" x14ac:dyDescent="0.45">
      <c r="A874"/>
      <c r="B874"/>
    </row>
    <row r="875" spans="1:2" ht="18" x14ac:dyDescent="0.45">
      <c r="A875"/>
      <c r="B875"/>
    </row>
    <row r="876" spans="1:2" ht="18" x14ac:dyDescent="0.45">
      <c r="A876"/>
      <c r="B876"/>
    </row>
    <row r="877" spans="1:2" ht="18" x14ac:dyDescent="0.45">
      <c r="A877"/>
      <c r="B877"/>
    </row>
    <row r="878" spans="1:2" ht="18" x14ac:dyDescent="0.45">
      <c r="A878"/>
      <c r="B878"/>
    </row>
    <row r="879" spans="1:2" ht="18" x14ac:dyDescent="0.45">
      <c r="A879"/>
      <c r="B879"/>
    </row>
    <row r="880" spans="1:2" ht="18" x14ac:dyDescent="0.45">
      <c r="A880"/>
      <c r="B880"/>
    </row>
    <row r="881" spans="1:2" ht="18" x14ac:dyDescent="0.45">
      <c r="A881"/>
      <c r="B881"/>
    </row>
    <row r="882" spans="1:2" ht="18" x14ac:dyDescent="0.45">
      <c r="A882"/>
      <c r="B882"/>
    </row>
    <row r="883" spans="1:2" ht="18" x14ac:dyDescent="0.45">
      <c r="A883"/>
      <c r="B883"/>
    </row>
    <row r="884" spans="1:2" ht="18" x14ac:dyDescent="0.45">
      <c r="A884"/>
      <c r="B884"/>
    </row>
    <row r="885" spans="1:2" ht="18" x14ac:dyDescent="0.45">
      <c r="A885"/>
      <c r="B885"/>
    </row>
    <row r="886" spans="1:2" ht="18" x14ac:dyDescent="0.45">
      <c r="A886"/>
      <c r="B886"/>
    </row>
    <row r="887" spans="1:2" ht="18" x14ac:dyDescent="0.45">
      <c r="A887"/>
      <c r="B887"/>
    </row>
    <row r="888" spans="1:2" ht="18" x14ac:dyDescent="0.45">
      <c r="A888"/>
      <c r="B888"/>
    </row>
    <row r="889" spans="1:2" ht="18" x14ac:dyDescent="0.45">
      <c r="A889"/>
      <c r="B889"/>
    </row>
    <row r="890" spans="1:2" ht="18" x14ac:dyDescent="0.45">
      <c r="A890"/>
      <c r="B890"/>
    </row>
    <row r="891" spans="1:2" ht="18" x14ac:dyDescent="0.45">
      <c r="A891"/>
      <c r="B891"/>
    </row>
    <row r="892" spans="1:2" ht="18" x14ac:dyDescent="0.45">
      <c r="A892"/>
      <c r="B892"/>
    </row>
    <row r="893" spans="1:2" ht="18" x14ac:dyDescent="0.45">
      <c r="A893"/>
      <c r="B893"/>
    </row>
    <row r="894" spans="1:2" ht="18" x14ac:dyDescent="0.45">
      <c r="A894"/>
      <c r="B894"/>
    </row>
    <row r="895" spans="1:2" ht="18" x14ac:dyDescent="0.45">
      <c r="A895"/>
      <c r="B895"/>
    </row>
    <row r="896" spans="1:2" ht="18" x14ac:dyDescent="0.45">
      <c r="A896"/>
      <c r="B896"/>
    </row>
    <row r="897" spans="1:2" ht="18" x14ac:dyDescent="0.45">
      <c r="A897"/>
      <c r="B897"/>
    </row>
    <row r="898" spans="1:2" ht="18" x14ac:dyDescent="0.45">
      <c r="A898"/>
      <c r="B898"/>
    </row>
    <row r="899" spans="1:2" ht="18" x14ac:dyDescent="0.45">
      <c r="A899"/>
      <c r="B899"/>
    </row>
    <row r="900" spans="1:2" ht="18" x14ac:dyDescent="0.45">
      <c r="A900"/>
      <c r="B900"/>
    </row>
    <row r="901" spans="1:2" ht="18" x14ac:dyDescent="0.45">
      <c r="A901"/>
      <c r="B901"/>
    </row>
    <row r="902" spans="1:2" ht="18" x14ac:dyDescent="0.45">
      <c r="A902"/>
      <c r="B902"/>
    </row>
    <row r="903" spans="1:2" ht="18" x14ac:dyDescent="0.45">
      <c r="A903"/>
      <c r="B903"/>
    </row>
    <row r="904" spans="1:2" ht="18" x14ac:dyDescent="0.45">
      <c r="A904"/>
      <c r="B904"/>
    </row>
    <row r="905" spans="1:2" ht="18" x14ac:dyDescent="0.45">
      <c r="A905"/>
      <c r="B905"/>
    </row>
    <row r="906" spans="1:2" ht="18" x14ac:dyDescent="0.45">
      <c r="A906"/>
      <c r="B906"/>
    </row>
    <row r="907" spans="1:2" ht="18" x14ac:dyDescent="0.45">
      <c r="A907"/>
      <c r="B907"/>
    </row>
    <row r="908" spans="1:2" ht="18" x14ac:dyDescent="0.45">
      <c r="A908"/>
      <c r="B908"/>
    </row>
    <row r="909" spans="1:2" ht="18" x14ac:dyDescent="0.45">
      <c r="A909"/>
      <c r="B909"/>
    </row>
    <row r="910" spans="1:2" ht="18" x14ac:dyDescent="0.45">
      <c r="A910"/>
      <c r="B910"/>
    </row>
    <row r="911" spans="1:2" ht="18" x14ac:dyDescent="0.45">
      <c r="A911"/>
      <c r="B911"/>
    </row>
    <row r="912" spans="1:2" ht="18" x14ac:dyDescent="0.45">
      <c r="A912"/>
      <c r="B912"/>
    </row>
    <row r="913" spans="1:2" ht="18" x14ac:dyDescent="0.45">
      <c r="A913"/>
      <c r="B913"/>
    </row>
    <row r="914" spans="1:2" ht="18" x14ac:dyDescent="0.45">
      <c r="A914"/>
      <c r="B914"/>
    </row>
    <row r="915" spans="1:2" ht="18" x14ac:dyDescent="0.45">
      <c r="A915"/>
      <c r="B915"/>
    </row>
    <row r="916" spans="1:2" ht="18" x14ac:dyDescent="0.45">
      <c r="A916"/>
      <c r="B916"/>
    </row>
    <row r="917" spans="1:2" ht="18" x14ac:dyDescent="0.45">
      <c r="A917"/>
      <c r="B917"/>
    </row>
    <row r="918" spans="1:2" ht="18" x14ac:dyDescent="0.45">
      <c r="A918"/>
      <c r="B918"/>
    </row>
    <row r="919" spans="1:2" ht="18" x14ac:dyDescent="0.45">
      <c r="A919"/>
      <c r="B919"/>
    </row>
    <row r="920" spans="1:2" ht="18" x14ac:dyDescent="0.45">
      <c r="A920"/>
      <c r="B920"/>
    </row>
    <row r="921" spans="1:2" ht="18" x14ac:dyDescent="0.45">
      <c r="A921"/>
      <c r="B921"/>
    </row>
    <row r="922" spans="1:2" ht="18" x14ac:dyDescent="0.45">
      <c r="A922"/>
      <c r="B922"/>
    </row>
    <row r="923" spans="1:2" ht="18" x14ac:dyDescent="0.45">
      <c r="A923"/>
      <c r="B923"/>
    </row>
    <row r="924" spans="1:2" ht="18" x14ac:dyDescent="0.45">
      <c r="A924"/>
      <c r="B924"/>
    </row>
    <row r="925" spans="1:2" ht="18" x14ac:dyDescent="0.45">
      <c r="A925"/>
      <c r="B925"/>
    </row>
    <row r="926" spans="1:2" ht="18" x14ac:dyDescent="0.45">
      <c r="A926"/>
      <c r="B926"/>
    </row>
    <row r="927" spans="1:2" ht="18" x14ac:dyDescent="0.45">
      <c r="A927"/>
      <c r="B927"/>
    </row>
    <row r="928" spans="1:2" ht="18" x14ac:dyDescent="0.45">
      <c r="A928"/>
      <c r="B928"/>
    </row>
    <row r="929" spans="1:2" ht="18" x14ac:dyDescent="0.45">
      <c r="A929"/>
      <c r="B929"/>
    </row>
    <row r="930" spans="1:2" ht="18" x14ac:dyDescent="0.45">
      <c r="A930"/>
      <c r="B930"/>
    </row>
    <row r="931" spans="1:2" ht="18" x14ac:dyDescent="0.45">
      <c r="A931"/>
      <c r="B931"/>
    </row>
    <row r="932" spans="1:2" ht="18" x14ac:dyDescent="0.45">
      <c r="A932"/>
      <c r="B932"/>
    </row>
    <row r="933" spans="1:2" ht="18" x14ac:dyDescent="0.45">
      <c r="A933"/>
      <c r="B933"/>
    </row>
    <row r="934" spans="1:2" ht="18" x14ac:dyDescent="0.45">
      <c r="A934"/>
      <c r="B934"/>
    </row>
    <row r="935" spans="1:2" ht="18" x14ac:dyDescent="0.45">
      <c r="A935"/>
      <c r="B935"/>
    </row>
    <row r="936" spans="1:2" ht="18" x14ac:dyDescent="0.45">
      <c r="A936"/>
      <c r="B936"/>
    </row>
    <row r="937" spans="1:2" ht="18" x14ac:dyDescent="0.45">
      <c r="A937"/>
      <c r="B937"/>
    </row>
    <row r="938" spans="1:2" ht="18" x14ac:dyDescent="0.45">
      <c r="A938"/>
      <c r="B938"/>
    </row>
    <row r="939" spans="1:2" ht="18" x14ac:dyDescent="0.45">
      <c r="A939"/>
      <c r="B939"/>
    </row>
    <row r="940" spans="1:2" ht="18" x14ac:dyDescent="0.45">
      <c r="A940"/>
      <c r="B940"/>
    </row>
    <row r="941" spans="1:2" ht="18" x14ac:dyDescent="0.45">
      <c r="A941"/>
      <c r="B941"/>
    </row>
    <row r="942" spans="1:2" ht="18" x14ac:dyDescent="0.45">
      <c r="A942"/>
      <c r="B942"/>
    </row>
    <row r="943" spans="1:2" ht="18" x14ac:dyDescent="0.45">
      <c r="A943"/>
      <c r="B943"/>
    </row>
    <row r="944" spans="1:2" ht="18" x14ac:dyDescent="0.45">
      <c r="A944"/>
      <c r="B944"/>
    </row>
    <row r="945" spans="1:2" ht="18" x14ac:dyDescent="0.45">
      <c r="A945"/>
      <c r="B945"/>
    </row>
    <row r="946" spans="1:2" ht="18" x14ac:dyDescent="0.45">
      <c r="A946"/>
      <c r="B946"/>
    </row>
    <row r="947" spans="1:2" ht="18" x14ac:dyDescent="0.45">
      <c r="A947"/>
      <c r="B947"/>
    </row>
    <row r="948" spans="1:2" ht="18" x14ac:dyDescent="0.45">
      <c r="A948"/>
      <c r="B948"/>
    </row>
    <row r="949" spans="1:2" ht="18" x14ac:dyDescent="0.45">
      <c r="A949"/>
      <c r="B949"/>
    </row>
    <row r="950" spans="1:2" ht="18" x14ac:dyDescent="0.45">
      <c r="A950"/>
      <c r="B950"/>
    </row>
    <row r="951" spans="1:2" ht="18" x14ac:dyDescent="0.45">
      <c r="A951"/>
      <c r="B951"/>
    </row>
    <row r="952" spans="1:2" ht="18" x14ac:dyDescent="0.45">
      <c r="A952"/>
      <c r="B952"/>
    </row>
    <row r="953" spans="1:2" ht="18" x14ac:dyDescent="0.45">
      <c r="A953"/>
      <c r="B953"/>
    </row>
    <row r="954" spans="1:2" ht="18" x14ac:dyDescent="0.45">
      <c r="A954"/>
      <c r="B954"/>
    </row>
    <row r="955" spans="1:2" ht="18" x14ac:dyDescent="0.45">
      <c r="A955"/>
      <c r="B955"/>
    </row>
    <row r="956" spans="1:2" ht="18" x14ac:dyDescent="0.45">
      <c r="A956"/>
      <c r="B956"/>
    </row>
    <row r="957" spans="1:2" ht="18" x14ac:dyDescent="0.45">
      <c r="A957"/>
      <c r="B957"/>
    </row>
    <row r="958" spans="1:2" ht="18" x14ac:dyDescent="0.45">
      <c r="A958"/>
      <c r="B958"/>
    </row>
    <row r="959" spans="1:2" ht="18" x14ac:dyDescent="0.45">
      <c r="A959"/>
      <c r="B959"/>
    </row>
    <row r="960" spans="1:2" ht="18" x14ac:dyDescent="0.45">
      <c r="A960"/>
      <c r="B960"/>
    </row>
    <row r="961" spans="1:2" ht="18" x14ac:dyDescent="0.45">
      <c r="A961"/>
      <c r="B961"/>
    </row>
    <row r="962" spans="1:2" ht="18" x14ac:dyDescent="0.45">
      <c r="A962"/>
      <c r="B962"/>
    </row>
    <row r="963" spans="1:2" ht="18" x14ac:dyDescent="0.45">
      <c r="A963"/>
      <c r="B963"/>
    </row>
    <row r="964" spans="1:2" ht="18" x14ac:dyDescent="0.45">
      <c r="A964"/>
      <c r="B964"/>
    </row>
    <row r="965" spans="1:2" ht="18" x14ac:dyDescent="0.45">
      <c r="A965"/>
      <c r="B965"/>
    </row>
    <row r="966" spans="1:2" ht="18" x14ac:dyDescent="0.45">
      <c r="A966"/>
      <c r="B966"/>
    </row>
    <row r="967" spans="1:2" ht="18" x14ac:dyDescent="0.45">
      <c r="A967"/>
      <c r="B967"/>
    </row>
    <row r="968" spans="1:2" ht="18" x14ac:dyDescent="0.45">
      <c r="A968"/>
      <c r="B968"/>
    </row>
    <row r="969" spans="1:2" ht="18" x14ac:dyDescent="0.45">
      <c r="A969"/>
      <c r="B969"/>
    </row>
    <row r="970" spans="1:2" ht="18" x14ac:dyDescent="0.45">
      <c r="A970"/>
      <c r="B970"/>
    </row>
    <row r="971" spans="1:2" ht="18" x14ac:dyDescent="0.45">
      <c r="A971"/>
      <c r="B971"/>
    </row>
    <row r="972" spans="1:2" ht="18" x14ac:dyDescent="0.45">
      <c r="A972"/>
      <c r="B972"/>
    </row>
    <row r="973" spans="1:2" ht="18" x14ac:dyDescent="0.45">
      <c r="A973"/>
      <c r="B973"/>
    </row>
    <row r="974" spans="1:2" ht="18" x14ac:dyDescent="0.45">
      <c r="A974"/>
      <c r="B974"/>
    </row>
    <row r="975" spans="1:2" ht="18" x14ac:dyDescent="0.45">
      <c r="A975"/>
      <c r="B975"/>
    </row>
    <row r="976" spans="1:2" ht="18" x14ac:dyDescent="0.45">
      <c r="A976"/>
      <c r="B976"/>
    </row>
    <row r="977" spans="1:2" ht="18" x14ac:dyDescent="0.45">
      <c r="A977"/>
      <c r="B977"/>
    </row>
    <row r="978" spans="1:2" ht="18" x14ac:dyDescent="0.45">
      <c r="A978"/>
      <c r="B978"/>
    </row>
    <row r="979" spans="1:2" ht="18" x14ac:dyDescent="0.45">
      <c r="A979"/>
      <c r="B979"/>
    </row>
    <row r="980" spans="1:2" ht="18" x14ac:dyDescent="0.45">
      <c r="A980"/>
      <c r="B980"/>
    </row>
    <row r="981" spans="1:2" ht="18" x14ac:dyDescent="0.45">
      <c r="A981"/>
      <c r="B981"/>
    </row>
    <row r="982" spans="1:2" ht="18" x14ac:dyDescent="0.45">
      <c r="A982"/>
      <c r="B982"/>
    </row>
    <row r="983" spans="1:2" ht="18" x14ac:dyDescent="0.45">
      <c r="A983"/>
      <c r="B983"/>
    </row>
    <row r="984" spans="1:2" ht="18" x14ac:dyDescent="0.45">
      <c r="A984"/>
      <c r="B984"/>
    </row>
    <row r="985" spans="1:2" ht="18" x14ac:dyDescent="0.45">
      <c r="A985"/>
      <c r="B985"/>
    </row>
    <row r="986" spans="1:2" ht="18" x14ac:dyDescent="0.45">
      <c r="A986"/>
      <c r="B986"/>
    </row>
    <row r="987" spans="1:2" ht="18" x14ac:dyDescent="0.45">
      <c r="A987"/>
      <c r="B987"/>
    </row>
    <row r="988" spans="1:2" ht="18" x14ac:dyDescent="0.45">
      <c r="A988"/>
      <c r="B988"/>
    </row>
    <row r="989" spans="1:2" ht="18" x14ac:dyDescent="0.45">
      <c r="A989"/>
      <c r="B989"/>
    </row>
    <row r="990" spans="1:2" ht="18" x14ac:dyDescent="0.45">
      <c r="A990"/>
      <c r="B990"/>
    </row>
    <row r="991" spans="1:2" ht="18" x14ac:dyDescent="0.45">
      <c r="A991"/>
      <c r="B991"/>
    </row>
    <row r="992" spans="1:2" ht="18" x14ac:dyDescent="0.45">
      <c r="A992"/>
      <c r="B992"/>
    </row>
    <row r="993" spans="1:2" ht="18" x14ac:dyDescent="0.45">
      <c r="A993"/>
      <c r="B993"/>
    </row>
    <row r="994" spans="1:2" ht="18" x14ac:dyDescent="0.45">
      <c r="A994"/>
      <c r="B994"/>
    </row>
    <row r="995" spans="1:2" ht="18" x14ac:dyDescent="0.45">
      <c r="A995"/>
      <c r="B995"/>
    </row>
    <row r="996" spans="1:2" ht="18" x14ac:dyDescent="0.45">
      <c r="A996"/>
      <c r="B996"/>
    </row>
    <row r="997" spans="1:2" ht="18" x14ac:dyDescent="0.45">
      <c r="A997"/>
      <c r="B997"/>
    </row>
    <row r="998" spans="1:2" ht="18" x14ac:dyDescent="0.45">
      <c r="A998"/>
      <c r="B998"/>
    </row>
    <row r="999" spans="1:2" ht="18" x14ac:dyDescent="0.45">
      <c r="A999"/>
      <c r="B999"/>
    </row>
    <row r="1000" spans="1:2" ht="18" x14ac:dyDescent="0.45">
      <c r="A1000"/>
      <c r="B1000"/>
    </row>
    <row r="1001" spans="1:2" ht="18" x14ac:dyDescent="0.45">
      <c r="A1001"/>
      <c r="B1001"/>
    </row>
    <row r="1002" spans="1:2" ht="18" x14ac:dyDescent="0.45">
      <c r="A1002"/>
      <c r="B1002"/>
    </row>
    <row r="1003" spans="1:2" ht="18" x14ac:dyDescent="0.45">
      <c r="A1003"/>
      <c r="B1003"/>
    </row>
    <row r="1004" spans="1:2" ht="18" x14ac:dyDescent="0.45">
      <c r="A1004"/>
      <c r="B1004"/>
    </row>
    <row r="1005" spans="1:2" ht="18" x14ac:dyDescent="0.45">
      <c r="A1005"/>
      <c r="B1005"/>
    </row>
    <row r="1006" spans="1:2" ht="18" x14ac:dyDescent="0.45">
      <c r="A1006"/>
      <c r="B1006"/>
    </row>
    <row r="1007" spans="1:2" ht="18" x14ac:dyDescent="0.45">
      <c r="A1007"/>
      <c r="B1007"/>
    </row>
    <row r="1008" spans="1:2" ht="18" x14ac:dyDescent="0.45">
      <c r="A1008"/>
      <c r="B1008"/>
    </row>
    <row r="1009" spans="1:2" ht="18" x14ac:dyDescent="0.45">
      <c r="A1009"/>
      <c r="B1009"/>
    </row>
    <row r="1010" spans="1:2" ht="18" x14ac:dyDescent="0.45">
      <c r="A1010"/>
      <c r="B1010"/>
    </row>
    <row r="1011" spans="1:2" ht="18" x14ac:dyDescent="0.45">
      <c r="A1011"/>
      <c r="B1011"/>
    </row>
    <row r="1012" spans="1:2" ht="18" x14ac:dyDescent="0.45">
      <c r="A1012"/>
      <c r="B1012"/>
    </row>
    <row r="1013" spans="1:2" ht="18" x14ac:dyDescent="0.45">
      <c r="A1013"/>
      <c r="B1013"/>
    </row>
    <row r="1014" spans="1:2" ht="18" x14ac:dyDescent="0.45">
      <c r="A1014"/>
      <c r="B1014"/>
    </row>
    <row r="1015" spans="1:2" ht="18" x14ac:dyDescent="0.45">
      <c r="A1015"/>
      <c r="B1015"/>
    </row>
    <row r="1016" spans="1:2" ht="18" x14ac:dyDescent="0.45">
      <c r="A1016"/>
      <c r="B1016"/>
    </row>
    <row r="1017" spans="1:2" ht="18" x14ac:dyDescent="0.45">
      <c r="A1017"/>
      <c r="B1017"/>
    </row>
    <row r="1018" spans="1:2" ht="18" x14ac:dyDescent="0.45">
      <c r="A1018"/>
      <c r="B1018"/>
    </row>
    <row r="1019" spans="1:2" ht="18" x14ac:dyDescent="0.45">
      <c r="A1019"/>
      <c r="B1019"/>
    </row>
    <row r="1020" spans="1:2" ht="18" x14ac:dyDescent="0.45">
      <c r="A1020"/>
      <c r="B1020"/>
    </row>
    <row r="1021" spans="1:2" ht="18" x14ac:dyDescent="0.45">
      <c r="A1021"/>
      <c r="B1021"/>
    </row>
    <row r="1022" spans="1:2" ht="18" x14ac:dyDescent="0.45">
      <c r="A1022"/>
      <c r="B1022"/>
    </row>
    <row r="1023" spans="1:2" ht="18" x14ac:dyDescent="0.45">
      <c r="A1023"/>
      <c r="B1023"/>
    </row>
    <row r="1024" spans="1:2" ht="18" x14ac:dyDescent="0.45">
      <c r="A1024"/>
      <c r="B1024"/>
    </row>
    <row r="1025" spans="1:2" ht="18" x14ac:dyDescent="0.45">
      <c r="A1025"/>
      <c r="B1025"/>
    </row>
    <row r="1026" spans="1:2" ht="18" x14ac:dyDescent="0.45">
      <c r="A1026"/>
      <c r="B1026"/>
    </row>
    <row r="1027" spans="1:2" ht="18" x14ac:dyDescent="0.45">
      <c r="A1027"/>
      <c r="B1027"/>
    </row>
    <row r="1028" spans="1:2" ht="18" x14ac:dyDescent="0.45">
      <c r="A1028"/>
      <c r="B1028"/>
    </row>
    <row r="1029" spans="1:2" ht="18" x14ac:dyDescent="0.45">
      <c r="A1029"/>
      <c r="B1029"/>
    </row>
    <row r="1030" spans="1:2" ht="18" x14ac:dyDescent="0.45">
      <c r="A1030"/>
      <c r="B1030"/>
    </row>
    <row r="1031" spans="1:2" ht="18" x14ac:dyDescent="0.45">
      <c r="A1031"/>
      <c r="B1031"/>
    </row>
    <row r="1032" spans="1:2" ht="18" x14ac:dyDescent="0.45">
      <c r="A1032"/>
      <c r="B1032"/>
    </row>
    <row r="1033" spans="1:2" ht="18" x14ac:dyDescent="0.45">
      <c r="A1033"/>
      <c r="B1033"/>
    </row>
    <row r="1034" spans="1:2" ht="18" x14ac:dyDescent="0.45">
      <c r="A1034"/>
      <c r="B1034"/>
    </row>
    <row r="1035" spans="1:2" ht="18" x14ac:dyDescent="0.45">
      <c r="A1035"/>
      <c r="B1035"/>
    </row>
    <row r="1036" spans="1:2" ht="18" x14ac:dyDescent="0.45">
      <c r="A1036"/>
      <c r="B1036"/>
    </row>
    <row r="1037" spans="1:2" ht="18" x14ac:dyDescent="0.45">
      <c r="A1037"/>
      <c r="B1037"/>
    </row>
    <row r="1038" spans="1:2" ht="18" x14ac:dyDescent="0.45">
      <c r="A1038"/>
      <c r="B1038"/>
    </row>
    <row r="1039" spans="1:2" ht="18" x14ac:dyDescent="0.45">
      <c r="A1039"/>
      <c r="B1039"/>
    </row>
    <row r="1040" spans="1:2" ht="18" x14ac:dyDescent="0.45">
      <c r="A1040"/>
      <c r="B1040"/>
    </row>
    <row r="1041" spans="1:2" ht="18" x14ac:dyDescent="0.45">
      <c r="A1041"/>
      <c r="B1041"/>
    </row>
    <row r="1042" spans="1:2" ht="18" x14ac:dyDescent="0.45">
      <c r="A1042"/>
      <c r="B1042"/>
    </row>
    <row r="1043" spans="1:2" ht="18" x14ac:dyDescent="0.45">
      <c r="A1043"/>
      <c r="B1043"/>
    </row>
    <row r="1044" spans="1:2" ht="18" x14ac:dyDescent="0.45">
      <c r="A1044"/>
      <c r="B1044"/>
    </row>
    <row r="1045" spans="1:2" ht="18" x14ac:dyDescent="0.45">
      <c r="A1045"/>
      <c r="B1045"/>
    </row>
    <row r="1046" spans="1:2" ht="18" x14ac:dyDescent="0.45">
      <c r="A1046"/>
      <c r="B1046"/>
    </row>
    <row r="1047" spans="1:2" ht="18" x14ac:dyDescent="0.45">
      <c r="A1047"/>
      <c r="B1047"/>
    </row>
    <row r="1048" spans="1:2" ht="18" x14ac:dyDescent="0.45">
      <c r="A1048"/>
      <c r="B1048"/>
    </row>
    <row r="1049" spans="1:2" ht="18" x14ac:dyDescent="0.45">
      <c r="A1049"/>
      <c r="B1049"/>
    </row>
    <row r="1050" spans="1:2" ht="18" x14ac:dyDescent="0.45">
      <c r="A1050"/>
      <c r="B1050"/>
    </row>
    <row r="1051" spans="1:2" ht="18" x14ac:dyDescent="0.45">
      <c r="A1051"/>
      <c r="B1051"/>
    </row>
    <row r="1052" spans="1:2" ht="18" x14ac:dyDescent="0.45">
      <c r="A1052"/>
      <c r="B1052"/>
    </row>
    <row r="1053" spans="1:2" ht="18" x14ac:dyDescent="0.45">
      <c r="A1053"/>
      <c r="B1053"/>
    </row>
    <row r="1054" spans="1:2" ht="18" x14ac:dyDescent="0.45">
      <c r="A1054"/>
      <c r="B1054"/>
    </row>
    <row r="1055" spans="1:2" ht="18" x14ac:dyDescent="0.45">
      <c r="A1055"/>
      <c r="B1055"/>
    </row>
    <row r="1056" spans="1:2" ht="18" x14ac:dyDescent="0.45">
      <c r="A1056"/>
      <c r="B1056"/>
    </row>
    <row r="1057" spans="1:2" ht="18" x14ac:dyDescent="0.45">
      <c r="A1057"/>
      <c r="B1057"/>
    </row>
    <row r="1058" spans="1:2" ht="18" x14ac:dyDescent="0.45">
      <c r="A1058"/>
      <c r="B1058"/>
    </row>
    <row r="1059" spans="1:2" ht="18" x14ac:dyDescent="0.45">
      <c r="A1059"/>
      <c r="B1059"/>
    </row>
    <row r="1060" spans="1:2" ht="18" x14ac:dyDescent="0.45">
      <c r="A1060"/>
      <c r="B1060"/>
    </row>
    <row r="1061" spans="1:2" ht="18" x14ac:dyDescent="0.45">
      <c r="A1061"/>
      <c r="B1061"/>
    </row>
    <row r="1062" spans="1:2" ht="18" x14ac:dyDescent="0.45">
      <c r="A1062"/>
      <c r="B1062"/>
    </row>
    <row r="1063" spans="1:2" ht="18" x14ac:dyDescent="0.45">
      <c r="A1063"/>
      <c r="B1063"/>
    </row>
    <row r="1064" spans="1:2" ht="18" x14ac:dyDescent="0.45">
      <c r="A1064"/>
      <c r="B1064"/>
    </row>
    <row r="1065" spans="1:2" ht="18" x14ac:dyDescent="0.45">
      <c r="A1065"/>
      <c r="B1065"/>
    </row>
    <row r="1066" spans="1:2" ht="18" x14ac:dyDescent="0.45">
      <c r="A1066"/>
      <c r="B1066"/>
    </row>
    <row r="1067" spans="1:2" ht="18" x14ac:dyDescent="0.45">
      <c r="A1067"/>
      <c r="B1067"/>
    </row>
    <row r="1068" spans="1:2" ht="18" x14ac:dyDescent="0.45">
      <c r="A1068"/>
      <c r="B1068"/>
    </row>
    <row r="1069" spans="1:2" ht="18" x14ac:dyDescent="0.45">
      <c r="A1069"/>
      <c r="B1069"/>
    </row>
    <row r="1070" spans="1:2" ht="18" x14ac:dyDescent="0.45">
      <c r="A1070"/>
      <c r="B1070"/>
    </row>
    <row r="1071" spans="1:2" ht="18" x14ac:dyDescent="0.45">
      <c r="A1071"/>
      <c r="B1071"/>
    </row>
    <row r="1072" spans="1:2" ht="18" x14ac:dyDescent="0.45">
      <c r="A1072"/>
      <c r="B1072"/>
    </row>
    <row r="1073" spans="1:2" ht="18" x14ac:dyDescent="0.45">
      <c r="A1073"/>
      <c r="B1073"/>
    </row>
    <row r="1074" spans="1:2" ht="18" x14ac:dyDescent="0.45">
      <c r="A1074"/>
      <c r="B1074"/>
    </row>
    <row r="1075" spans="1:2" ht="18" x14ac:dyDescent="0.45">
      <c r="A1075"/>
      <c r="B1075"/>
    </row>
    <row r="1076" spans="1:2" ht="18" x14ac:dyDescent="0.45">
      <c r="A1076"/>
      <c r="B1076"/>
    </row>
    <row r="1077" spans="1:2" ht="18" x14ac:dyDescent="0.45">
      <c r="A1077"/>
      <c r="B1077"/>
    </row>
    <row r="1078" spans="1:2" ht="18" x14ac:dyDescent="0.45">
      <c r="A1078"/>
      <c r="B1078"/>
    </row>
    <row r="1079" spans="1:2" ht="18" x14ac:dyDescent="0.45">
      <c r="A1079"/>
      <c r="B1079"/>
    </row>
    <row r="1080" spans="1:2" ht="18" x14ac:dyDescent="0.45">
      <c r="A1080"/>
      <c r="B1080"/>
    </row>
    <row r="1081" spans="1:2" ht="18" x14ac:dyDescent="0.45">
      <c r="A1081"/>
      <c r="B1081"/>
    </row>
    <row r="1082" spans="1:2" ht="18" x14ac:dyDescent="0.45">
      <c r="A1082"/>
      <c r="B1082"/>
    </row>
    <row r="1083" spans="1:2" ht="18" x14ac:dyDescent="0.45">
      <c r="A1083"/>
      <c r="B1083"/>
    </row>
    <row r="1084" spans="1:2" ht="18" x14ac:dyDescent="0.45">
      <c r="A1084"/>
      <c r="B1084"/>
    </row>
    <row r="1085" spans="1:2" ht="18" x14ac:dyDescent="0.45">
      <c r="A1085"/>
      <c r="B1085"/>
    </row>
    <row r="1086" spans="1:2" ht="18" x14ac:dyDescent="0.45">
      <c r="A1086"/>
      <c r="B1086"/>
    </row>
    <row r="1087" spans="1:2" ht="18" x14ac:dyDescent="0.45">
      <c r="A1087"/>
      <c r="B1087"/>
    </row>
    <row r="1088" spans="1:2" ht="18" x14ac:dyDescent="0.45">
      <c r="A1088"/>
      <c r="B1088"/>
    </row>
    <row r="1089" spans="1:2" ht="18" x14ac:dyDescent="0.45">
      <c r="A1089"/>
      <c r="B1089"/>
    </row>
    <row r="1090" spans="1:2" ht="18" x14ac:dyDescent="0.45">
      <c r="A1090"/>
      <c r="B1090"/>
    </row>
    <row r="1091" spans="1:2" ht="18" x14ac:dyDescent="0.45">
      <c r="A1091"/>
      <c r="B1091"/>
    </row>
    <row r="1092" spans="1:2" ht="18" x14ac:dyDescent="0.45">
      <c r="A1092"/>
      <c r="B1092"/>
    </row>
    <row r="1093" spans="1:2" ht="18" x14ac:dyDescent="0.45">
      <c r="A1093"/>
      <c r="B1093"/>
    </row>
    <row r="1094" spans="1:2" ht="18" x14ac:dyDescent="0.45">
      <c r="A1094"/>
      <c r="B1094"/>
    </row>
    <row r="1095" spans="1:2" ht="18" x14ac:dyDescent="0.45">
      <c r="A1095"/>
      <c r="B1095"/>
    </row>
    <row r="1096" spans="1:2" ht="18" x14ac:dyDescent="0.45">
      <c r="A1096"/>
      <c r="B1096"/>
    </row>
    <row r="1097" spans="1:2" ht="18" x14ac:dyDescent="0.45">
      <c r="A1097"/>
      <c r="B1097"/>
    </row>
    <row r="1098" spans="1:2" ht="18" x14ac:dyDescent="0.45">
      <c r="A1098"/>
      <c r="B1098"/>
    </row>
    <row r="1099" spans="1:2" ht="18" x14ac:dyDescent="0.45">
      <c r="A1099"/>
      <c r="B1099"/>
    </row>
    <row r="1100" spans="1:2" ht="18" x14ac:dyDescent="0.45">
      <c r="A1100"/>
      <c r="B1100"/>
    </row>
    <row r="1101" spans="1:2" ht="18" x14ac:dyDescent="0.45">
      <c r="A1101"/>
      <c r="B1101"/>
    </row>
    <row r="1102" spans="1:2" ht="18" x14ac:dyDescent="0.45">
      <c r="A1102"/>
      <c r="B1102"/>
    </row>
    <row r="1103" spans="1:2" ht="18" x14ac:dyDescent="0.45">
      <c r="A1103"/>
      <c r="B1103"/>
    </row>
    <row r="1104" spans="1:2" ht="18" x14ac:dyDescent="0.45">
      <c r="A1104"/>
      <c r="B1104"/>
    </row>
    <row r="1105" spans="1:2" ht="18" x14ac:dyDescent="0.45">
      <c r="A1105"/>
      <c r="B1105"/>
    </row>
    <row r="1106" spans="1:2" ht="18" x14ac:dyDescent="0.45">
      <c r="A1106"/>
      <c r="B1106"/>
    </row>
    <row r="1107" spans="1:2" ht="18" x14ac:dyDescent="0.45">
      <c r="A1107"/>
      <c r="B1107"/>
    </row>
    <row r="1108" spans="1:2" ht="18" x14ac:dyDescent="0.45">
      <c r="A1108"/>
      <c r="B1108"/>
    </row>
    <row r="1109" spans="1:2" ht="18" x14ac:dyDescent="0.45">
      <c r="A1109"/>
      <c r="B1109"/>
    </row>
    <row r="1110" spans="1:2" ht="18" x14ac:dyDescent="0.45">
      <c r="A1110"/>
      <c r="B1110"/>
    </row>
    <row r="1111" spans="1:2" ht="18" x14ac:dyDescent="0.45">
      <c r="A1111"/>
      <c r="B1111"/>
    </row>
    <row r="1112" spans="1:2" ht="18" x14ac:dyDescent="0.45">
      <c r="A1112"/>
      <c r="B1112"/>
    </row>
    <row r="1113" spans="1:2" ht="18" x14ac:dyDescent="0.45">
      <c r="A1113"/>
      <c r="B1113"/>
    </row>
    <row r="1114" spans="1:2" ht="18" x14ac:dyDescent="0.45">
      <c r="A1114"/>
      <c r="B1114"/>
    </row>
    <row r="1115" spans="1:2" ht="18" x14ac:dyDescent="0.45">
      <c r="A1115"/>
      <c r="B1115"/>
    </row>
    <row r="1116" spans="1:2" ht="18" x14ac:dyDescent="0.45">
      <c r="A1116"/>
      <c r="B1116"/>
    </row>
    <row r="1117" spans="1:2" ht="18" x14ac:dyDescent="0.45">
      <c r="A1117"/>
      <c r="B1117"/>
    </row>
    <row r="1118" spans="1:2" ht="18" x14ac:dyDescent="0.45">
      <c r="A1118"/>
      <c r="B1118"/>
    </row>
    <row r="1119" spans="1:2" ht="18" x14ac:dyDescent="0.45">
      <c r="A1119"/>
      <c r="B1119"/>
    </row>
    <row r="1120" spans="1:2" ht="18" x14ac:dyDescent="0.45">
      <c r="A1120"/>
      <c r="B1120"/>
    </row>
    <row r="1121" spans="1:2" ht="18" x14ac:dyDescent="0.45">
      <c r="A1121"/>
      <c r="B1121"/>
    </row>
    <row r="1122" spans="1:2" ht="18" x14ac:dyDescent="0.45">
      <c r="A1122"/>
      <c r="B1122"/>
    </row>
    <row r="1123" spans="1:2" ht="18" x14ac:dyDescent="0.45">
      <c r="A1123"/>
      <c r="B1123"/>
    </row>
    <row r="1124" spans="1:2" ht="18" x14ac:dyDescent="0.45">
      <c r="A1124"/>
      <c r="B1124"/>
    </row>
    <row r="1125" spans="1:2" ht="18" x14ac:dyDescent="0.45">
      <c r="A1125"/>
      <c r="B1125"/>
    </row>
    <row r="1126" spans="1:2" ht="18" x14ac:dyDescent="0.45">
      <c r="A1126"/>
      <c r="B1126"/>
    </row>
    <row r="1127" spans="1:2" ht="18" x14ac:dyDescent="0.45">
      <c r="A1127"/>
      <c r="B1127"/>
    </row>
    <row r="1128" spans="1:2" ht="18" x14ac:dyDescent="0.45">
      <c r="A1128"/>
      <c r="B1128"/>
    </row>
    <row r="1129" spans="1:2" ht="18" x14ac:dyDescent="0.45">
      <c r="A1129"/>
      <c r="B1129"/>
    </row>
    <row r="1130" spans="1:2" ht="18" x14ac:dyDescent="0.45">
      <c r="A1130"/>
      <c r="B1130"/>
    </row>
    <row r="1131" spans="1:2" ht="18" x14ac:dyDescent="0.45">
      <c r="A1131"/>
      <c r="B1131"/>
    </row>
    <row r="1132" spans="1:2" ht="18" x14ac:dyDescent="0.45">
      <c r="A1132"/>
      <c r="B1132"/>
    </row>
    <row r="1133" spans="1:2" ht="18" x14ac:dyDescent="0.45">
      <c r="A1133"/>
      <c r="B1133"/>
    </row>
    <row r="1134" spans="1:2" ht="18" x14ac:dyDescent="0.45">
      <c r="A1134"/>
      <c r="B1134"/>
    </row>
    <row r="1135" spans="1:2" ht="18" x14ac:dyDescent="0.45">
      <c r="A1135"/>
      <c r="B1135"/>
    </row>
    <row r="1136" spans="1:2" ht="18" x14ac:dyDescent="0.45">
      <c r="A1136"/>
      <c r="B1136"/>
    </row>
    <row r="1137" spans="1:2" ht="18" x14ac:dyDescent="0.45">
      <c r="A1137"/>
      <c r="B1137"/>
    </row>
    <row r="1138" spans="1:2" ht="18" x14ac:dyDescent="0.45">
      <c r="A1138"/>
      <c r="B1138"/>
    </row>
    <row r="1139" spans="1:2" ht="18" x14ac:dyDescent="0.45">
      <c r="A1139"/>
      <c r="B1139"/>
    </row>
    <row r="1140" spans="1:2" ht="18" x14ac:dyDescent="0.45">
      <c r="A1140"/>
      <c r="B1140"/>
    </row>
    <row r="1141" spans="1:2" ht="18" x14ac:dyDescent="0.45">
      <c r="A1141"/>
      <c r="B1141"/>
    </row>
    <row r="1142" spans="1:2" ht="18" x14ac:dyDescent="0.45">
      <c r="A1142"/>
      <c r="B1142"/>
    </row>
    <row r="1143" spans="1:2" ht="18" x14ac:dyDescent="0.45">
      <c r="A1143"/>
      <c r="B1143"/>
    </row>
    <row r="1144" spans="1:2" ht="18" x14ac:dyDescent="0.45">
      <c r="A1144"/>
      <c r="B1144"/>
    </row>
    <row r="1145" spans="1:2" ht="18" x14ac:dyDescent="0.45">
      <c r="A1145"/>
      <c r="B1145"/>
    </row>
    <row r="1146" spans="1:2" ht="18" x14ac:dyDescent="0.45">
      <c r="A1146"/>
      <c r="B1146"/>
    </row>
    <row r="1147" spans="1:2" ht="18" x14ac:dyDescent="0.45">
      <c r="A1147"/>
      <c r="B1147"/>
    </row>
    <row r="1148" spans="1:2" ht="18" x14ac:dyDescent="0.45">
      <c r="A1148"/>
      <c r="B1148"/>
    </row>
    <row r="1149" spans="1:2" ht="18" x14ac:dyDescent="0.45">
      <c r="A1149"/>
      <c r="B1149"/>
    </row>
    <row r="1150" spans="1:2" ht="18" x14ac:dyDescent="0.45">
      <c r="A1150"/>
      <c r="B1150"/>
    </row>
    <row r="1151" spans="1:2" ht="18" x14ac:dyDescent="0.45">
      <c r="A1151"/>
      <c r="B1151"/>
    </row>
    <row r="1152" spans="1:2" ht="18" x14ac:dyDescent="0.45">
      <c r="A1152"/>
      <c r="B1152"/>
    </row>
    <row r="1153" spans="1:2" ht="18" x14ac:dyDescent="0.45">
      <c r="A1153"/>
      <c r="B1153"/>
    </row>
    <row r="1154" spans="1:2" ht="18" x14ac:dyDescent="0.45">
      <c r="A1154"/>
      <c r="B1154"/>
    </row>
    <row r="1155" spans="1:2" ht="18" x14ac:dyDescent="0.45">
      <c r="A1155"/>
      <c r="B1155"/>
    </row>
    <row r="1156" spans="1:2" ht="18" x14ac:dyDescent="0.45">
      <c r="A1156"/>
      <c r="B1156"/>
    </row>
    <row r="1157" spans="1:2" ht="18" x14ac:dyDescent="0.45">
      <c r="A1157"/>
      <c r="B1157"/>
    </row>
    <row r="1158" spans="1:2" ht="18" x14ac:dyDescent="0.45">
      <c r="A1158"/>
      <c r="B1158"/>
    </row>
    <row r="1159" spans="1:2" ht="18" x14ac:dyDescent="0.45">
      <c r="A1159"/>
      <c r="B1159"/>
    </row>
    <row r="1160" spans="1:2" ht="18" x14ac:dyDescent="0.45">
      <c r="A1160"/>
      <c r="B1160"/>
    </row>
    <row r="1161" spans="1:2" ht="18" x14ac:dyDescent="0.45">
      <c r="A1161"/>
      <c r="B1161"/>
    </row>
    <row r="1162" spans="1:2" ht="18" x14ac:dyDescent="0.45">
      <c r="A1162"/>
      <c r="B1162"/>
    </row>
    <row r="1163" spans="1:2" ht="18" x14ac:dyDescent="0.45">
      <c r="A1163"/>
      <c r="B1163"/>
    </row>
    <row r="1164" spans="1:2" ht="18" x14ac:dyDescent="0.45">
      <c r="A1164"/>
      <c r="B1164"/>
    </row>
    <row r="1165" spans="1:2" ht="18" x14ac:dyDescent="0.45">
      <c r="A1165"/>
      <c r="B1165"/>
    </row>
    <row r="1166" spans="1:2" ht="18" x14ac:dyDescent="0.45">
      <c r="A1166"/>
      <c r="B1166"/>
    </row>
    <row r="1167" spans="1:2" ht="18" x14ac:dyDescent="0.45">
      <c r="A1167"/>
      <c r="B1167"/>
    </row>
    <row r="1168" spans="1:2" ht="18" x14ac:dyDescent="0.45">
      <c r="A1168"/>
      <c r="B1168"/>
    </row>
    <row r="1169" spans="1:2" ht="18" x14ac:dyDescent="0.45">
      <c r="A1169"/>
      <c r="B1169"/>
    </row>
    <row r="1170" spans="1:2" ht="18" x14ac:dyDescent="0.45">
      <c r="A1170"/>
      <c r="B1170"/>
    </row>
    <row r="1171" spans="1:2" ht="18" x14ac:dyDescent="0.45">
      <c r="A1171"/>
      <c r="B1171"/>
    </row>
    <row r="1172" spans="1:2" ht="18" x14ac:dyDescent="0.45">
      <c r="A1172"/>
      <c r="B1172"/>
    </row>
    <row r="1173" spans="1:2" ht="18" x14ac:dyDescent="0.45">
      <c r="A1173"/>
      <c r="B1173"/>
    </row>
    <row r="1174" spans="1:2" ht="18" x14ac:dyDescent="0.45">
      <c r="A1174"/>
      <c r="B1174"/>
    </row>
    <row r="1175" spans="1:2" ht="18" x14ac:dyDescent="0.45">
      <c r="A1175"/>
      <c r="B1175"/>
    </row>
    <row r="1176" spans="1:2" ht="18" x14ac:dyDescent="0.45">
      <c r="A1176"/>
      <c r="B1176"/>
    </row>
    <row r="1177" spans="1:2" ht="18" x14ac:dyDescent="0.45">
      <c r="A1177"/>
      <c r="B1177"/>
    </row>
    <row r="1178" spans="1:2" ht="18" x14ac:dyDescent="0.45">
      <c r="A1178"/>
      <c r="B1178"/>
    </row>
    <row r="1179" spans="1:2" ht="18" x14ac:dyDescent="0.45">
      <c r="A1179"/>
      <c r="B1179"/>
    </row>
    <row r="1180" spans="1:2" ht="18" x14ac:dyDescent="0.45">
      <c r="A1180"/>
      <c r="B1180"/>
    </row>
    <row r="1181" spans="1:2" ht="18" x14ac:dyDescent="0.45">
      <c r="A1181"/>
      <c r="B1181"/>
    </row>
    <row r="1182" spans="1:2" ht="18" x14ac:dyDescent="0.45">
      <c r="A1182"/>
      <c r="B1182"/>
    </row>
    <row r="1183" spans="1:2" ht="18" x14ac:dyDescent="0.45">
      <c r="A1183"/>
      <c r="B1183"/>
    </row>
    <row r="1184" spans="1:2" ht="18" x14ac:dyDescent="0.45">
      <c r="A1184"/>
      <c r="B1184"/>
    </row>
    <row r="1185" spans="1:2" ht="18" x14ac:dyDescent="0.45">
      <c r="A1185"/>
      <c r="B1185"/>
    </row>
    <row r="1186" spans="1:2" ht="18" x14ac:dyDescent="0.45">
      <c r="A1186"/>
      <c r="B1186"/>
    </row>
    <row r="1187" spans="1:2" ht="18" x14ac:dyDescent="0.45">
      <c r="A1187"/>
      <c r="B1187"/>
    </row>
    <row r="1188" spans="1:2" ht="18" x14ac:dyDescent="0.45">
      <c r="A1188"/>
      <c r="B1188"/>
    </row>
    <row r="1189" spans="1:2" ht="18" x14ac:dyDescent="0.45">
      <c r="A1189"/>
      <c r="B1189"/>
    </row>
    <row r="1190" spans="1:2" ht="18" x14ac:dyDescent="0.45">
      <c r="A1190"/>
      <c r="B1190"/>
    </row>
    <row r="1191" spans="1:2" ht="18" x14ac:dyDescent="0.45">
      <c r="A1191"/>
      <c r="B1191"/>
    </row>
    <row r="1192" spans="1:2" ht="18" x14ac:dyDescent="0.45">
      <c r="A1192"/>
      <c r="B1192"/>
    </row>
    <row r="1193" spans="1:2" ht="18" x14ac:dyDescent="0.45">
      <c r="A1193"/>
      <c r="B1193"/>
    </row>
    <row r="1194" spans="1:2" ht="18" x14ac:dyDescent="0.45">
      <c r="A1194"/>
      <c r="B1194"/>
    </row>
    <row r="1195" spans="1:2" ht="18" x14ac:dyDescent="0.45">
      <c r="A1195"/>
      <c r="B1195"/>
    </row>
    <row r="1196" spans="1:2" ht="18" x14ac:dyDescent="0.45">
      <c r="A1196"/>
      <c r="B1196"/>
    </row>
    <row r="1197" spans="1:2" ht="18" x14ac:dyDescent="0.45">
      <c r="A1197"/>
      <c r="B1197"/>
    </row>
    <row r="1198" spans="1:2" ht="18" x14ac:dyDescent="0.45">
      <c r="A1198"/>
      <c r="B1198"/>
    </row>
    <row r="1199" spans="1:2" ht="18" x14ac:dyDescent="0.45">
      <c r="A1199"/>
      <c r="B1199"/>
    </row>
    <row r="1200" spans="1:2" ht="18" x14ac:dyDescent="0.45">
      <c r="A1200"/>
      <c r="B1200"/>
    </row>
    <row r="1201" spans="1:2" ht="18" x14ac:dyDescent="0.45">
      <c r="A1201"/>
      <c r="B1201"/>
    </row>
    <row r="1202" spans="1:2" ht="18" x14ac:dyDescent="0.45">
      <c r="A1202"/>
      <c r="B1202"/>
    </row>
    <row r="1203" spans="1:2" ht="18" x14ac:dyDescent="0.45">
      <c r="A1203"/>
      <c r="B1203"/>
    </row>
    <row r="1204" spans="1:2" ht="18" x14ac:dyDescent="0.45">
      <c r="A1204"/>
      <c r="B1204"/>
    </row>
    <row r="1205" spans="1:2" ht="18" x14ac:dyDescent="0.45">
      <c r="A1205"/>
      <c r="B1205"/>
    </row>
    <row r="1206" spans="1:2" ht="18" x14ac:dyDescent="0.45">
      <c r="A1206"/>
      <c r="B1206"/>
    </row>
    <row r="1207" spans="1:2" ht="18" x14ac:dyDescent="0.45">
      <c r="A1207"/>
      <c r="B1207"/>
    </row>
    <row r="1208" spans="1:2" ht="18" x14ac:dyDescent="0.45">
      <c r="A1208"/>
      <c r="B1208"/>
    </row>
    <row r="1209" spans="1:2" ht="18" x14ac:dyDescent="0.45">
      <c r="A1209"/>
      <c r="B1209"/>
    </row>
    <row r="1210" spans="1:2" ht="18" x14ac:dyDescent="0.45">
      <c r="A1210"/>
      <c r="B1210"/>
    </row>
    <row r="1211" spans="1:2" ht="18" x14ac:dyDescent="0.45">
      <c r="A1211"/>
      <c r="B1211"/>
    </row>
    <row r="1212" spans="1:2" ht="18" x14ac:dyDescent="0.45">
      <c r="A1212"/>
      <c r="B1212"/>
    </row>
    <row r="1213" spans="1:2" ht="18" x14ac:dyDescent="0.45">
      <c r="A1213"/>
      <c r="B1213"/>
    </row>
    <row r="1214" spans="1:2" ht="18" x14ac:dyDescent="0.45">
      <c r="A1214"/>
      <c r="B1214"/>
    </row>
    <row r="1215" spans="1:2" ht="18" x14ac:dyDescent="0.45">
      <c r="A1215"/>
      <c r="B1215"/>
    </row>
    <row r="1216" spans="1:2" ht="18" x14ac:dyDescent="0.45">
      <c r="A1216"/>
      <c r="B1216"/>
    </row>
    <row r="1217" spans="1:2" ht="18" x14ac:dyDescent="0.45">
      <c r="A1217"/>
      <c r="B1217"/>
    </row>
    <row r="1218" spans="1:2" ht="18" x14ac:dyDescent="0.45">
      <c r="A1218"/>
      <c r="B1218"/>
    </row>
    <row r="1219" spans="1:2" ht="18" x14ac:dyDescent="0.45">
      <c r="A1219"/>
      <c r="B1219"/>
    </row>
    <row r="1220" spans="1:2" ht="18" x14ac:dyDescent="0.45">
      <c r="A1220"/>
      <c r="B1220"/>
    </row>
    <row r="1221" spans="1:2" ht="18" x14ac:dyDescent="0.45">
      <c r="A1221"/>
      <c r="B1221"/>
    </row>
    <row r="1222" spans="1:2" ht="18" x14ac:dyDescent="0.45">
      <c r="A1222"/>
      <c r="B1222"/>
    </row>
    <row r="1223" spans="1:2" ht="18" x14ac:dyDescent="0.45">
      <c r="A1223"/>
      <c r="B1223"/>
    </row>
    <row r="1224" spans="1:2" ht="18" x14ac:dyDescent="0.45">
      <c r="A1224"/>
      <c r="B1224"/>
    </row>
    <row r="1225" spans="1:2" ht="18" x14ac:dyDescent="0.45">
      <c r="A1225"/>
      <c r="B1225"/>
    </row>
    <row r="1226" spans="1:2" ht="18" x14ac:dyDescent="0.45">
      <c r="A1226"/>
      <c r="B1226"/>
    </row>
    <row r="1227" spans="1:2" ht="18" x14ac:dyDescent="0.45">
      <c r="A1227"/>
      <c r="B1227"/>
    </row>
    <row r="1228" spans="1:2" ht="18" x14ac:dyDescent="0.45">
      <c r="A1228"/>
      <c r="B1228"/>
    </row>
    <row r="1229" spans="1:2" ht="18" x14ac:dyDescent="0.45">
      <c r="A1229"/>
      <c r="B1229"/>
    </row>
    <row r="1230" spans="1:2" ht="18" x14ac:dyDescent="0.45">
      <c r="A1230"/>
      <c r="B1230"/>
    </row>
    <row r="1231" spans="1:2" ht="18" x14ac:dyDescent="0.45">
      <c r="A1231"/>
      <c r="B1231"/>
    </row>
    <row r="1232" spans="1:2" ht="18" x14ac:dyDescent="0.45">
      <c r="A1232"/>
      <c r="B1232"/>
    </row>
    <row r="1233" spans="1:2" ht="18" x14ac:dyDescent="0.45">
      <c r="A1233"/>
      <c r="B1233"/>
    </row>
    <row r="1234" spans="1:2" ht="18" x14ac:dyDescent="0.45">
      <c r="A1234"/>
      <c r="B1234"/>
    </row>
    <row r="1235" spans="1:2" ht="18" x14ac:dyDescent="0.45">
      <c r="A1235"/>
      <c r="B1235"/>
    </row>
    <row r="1236" spans="1:2" ht="18" x14ac:dyDescent="0.45">
      <c r="A1236"/>
      <c r="B1236"/>
    </row>
    <row r="1237" spans="1:2" ht="18" x14ac:dyDescent="0.45">
      <c r="A1237"/>
      <c r="B1237"/>
    </row>
    <row r="1238" spans="1:2" ht="18" x14ac:dyDescent="0.45">
      <c r="A1238"/>
      <c r="B1238"/>
    </row>
    <row r="1239" spans="1:2" ht="18" x14ac:dyDescent="0.45">
      <c r="A1239"/>
      <c r="B1239"/>
    </row>
    <row r="1240" spans="1:2" ht="18" x14ac:dyDescent="0.45">
      <c r="A1240"/>
      <c r="B1240"/>
    </row>
    <row r="1241" spans="1:2" ht="18" x14ac:dyDescent="0.45">
      <c r="A1241"/>
      <c r="B1241"/>
    </row>
    <row r="1242" spans="1:2" ht="18" x14ac:dyDescent="0.45">
      <c r="A1242"/>
      <c r="B1242"/>
    </row>
    <row r="1243" spans="1:2" ht="18" x14ac:dyDescent="0.45">
      <c r="A1243"/>
      <c r="B1243"/>
    </row>
    <row r="1244" spans="1:2" ht="18" x14ac:dyDescent="0.45">
      <c r="A1244"/>
      <c r="B1244"/>
    </row>
    <row r="1245" spans="1:2" ht="18" x14ac:dyDescent="0.45">
      <c r="A1245"/>
      <c r="B1245"/>
    </row>
    <row r="1246" spans="1:2" ht="18" x14ac:dyDescent="0.45">
      <c r="A1246"/>
      <c r="B1246"/>
    </row>
    <row r="1247" spans="1:2" ht="18" x14ac:dyDescent="0.45">
      <c r="A1247"/>
      <c r="B1247"/>
    </row>
    <row r="1248" spans="1:2" ht="18" x14ac:dyDescent="0.45">
      <c r="A1248"/>
      <c r="B1248"/>
    </row>
    <row r="1249" spans="1:2" ht="18" x14ac:dyDescent="0.45">
      <c r="A1249"/>
      <c r="B1249"/>
    </row>
    <row r="1250" spans="1:2" ht="18" x14ac:dyDescent="0.45">
      <c r="A1250"/>
      <c r="B1250"/>
    </row>
    <row r="1251" spans="1:2" ht="18" x14ac:dyDescent="0.45">
      <c r="A1251"/>
      <c r="B1251"/>
    </row>
    <row r="1252" spans="1:2" ht="18" x14ac:dyDescent="0.45">
      <c r="A1252"/>
      <c r="B1252"/>
    </row>
    <row r="1253" spans="1:2" ht="18" x14ac:dyDescent="0.45">
      <c r="A1253"/>
      <c r="B1253"/>
    </row>
    <row r="1254" spans="1:2" ht="18" x14ac:dyDescent="0.45">
      <c r="A1254"/>
      <c r="B1254"/>
    </row>
    <row r="1255" spans="1:2" ht="18" x14ac:dyDescent="0.45">
      <c r="A1255"/>
      <c r="B1255"/>
    </row>
    <row r="1256" spans="1:2" ht="18" x14ac:dyDescent="0.45">
      <c r="A1256"/>
      <c r="B1256"/>
    </row>
    <row r="1257" spans="1:2" ht="18" x14ac:dyDescent="0.45">
      <c r="A1257"/>
      <c r="B1257"/>
    </row>
    <row r="1258" spans="1:2" ht="18" x14ac:dyDescent="0.45">
      <c r="A1258"/>
      <c r="B1258"/>
    </row>
    <row r="1259" spans="1:2" ht="18" x14ac:dyDescent="0.45">
      <c r="A1259"/>
      <c r="B1259"/>
    </row>
    <row r="1260" spans="1:2" ht="18" x14ac:dyDescent="0.45">
      <c r="A1260"/>
      <c r="B1260"/>
    </row>
    <row r="1261" spans="1:2" ht="18" x14ac:dyDescent="0.45">
      <c r="A1261"/>
      <c r="B1261"/>
    </row>
    <row r="1262" spans="1:2" ht="18" x14ac:dyDescent="0.45">
      <c r="A1262"/>
      <c r="B1262"/>
    </row>
    <row r="1263" spans="1:2" ht="18" x14ac:dyDescent="0.45">
      <c r="A1263"/>
      <c r="B1263"/>
    </row>
    <row r="1264" spans="1:2" ht="18" x14ac:dyDescent="0.45">
      <c r="A1264"/>
      <c r="B1264"/>
    </row>
    <row r="1265" spans="1:2" ht="18" x14ac:dyDescent="0.45">
      <c r="A1265"/>
      <c r="B1265"/>
    </row>
    <row r="1266" spans="1:2" ht="18" x14ac:dyDescent="0.45">
      <c r="A1266"/>
      <c r="B1266"/>
    </row>
    <row r="1267" spans="1:2" ht="18" x14ac:dyDescent="0.45">
      <c r="A1267"/>
      <c r="B1267"/>
    </row>
    <row r="1268" spans="1:2" ht="18" x14ac:dyDescent="0.45">
      <c r="A1268"/>
      <c r="B1268"/>
    </row>
    <row r="1269" spans="1:2" ht="18" x14ac:dyDescent="0.45">
      <c r="A1269"/>
      <c r="B1269"/>
    </row>
    <row r="1270" spans="1:2" ht="18" x14ac:dyDescent="0.45">
      <c r="A1270"/>
      <c r="B1270"/>
    </row>
    <row r="1271" spans="1:2" ht="18" x14ac:dyDescent="0.45">
      <c r="A1271"/>
      <c r="B1271"/>
    </row>
    <row r="1272" spans="1:2" ht="18" x14ac:dyDescent="0.45">
      <c r="A1272"/>
      <c r="B1272"/>
    </row>
    <row r="1273" spans="1:2" ht="18" x14ac:dyDescent="0.45">
      <c r="A1273"/>
      <c r="B1273"/>
    </row>
    <row r="1274" spans="1:2" ht="18" x14ac:dyDescent="0.45">
      <c r="A1274"/>
      <c r="B1274"/>
    </row>
    <row r="1275" spans="1:2" ht="18" x14ac:dyDescent="0.45">
      <c r="A1275"/>
      <c r="B1275"/>
    </row>
    <row r="1276" spans="1:2" ht="18" x14ac:dyDescent="0.45">
      <c r="A1276"/>
      <c r="B1276"/>
    </row>
    <row r="1277" spans="1:2" ht="18" x14ac:dyDescent="0.45">
      <c r="A1277"/>
      <c r="B1277"/>
    </row>
    <row r="1278" spans="1:2" ht="18" x14ac:dyDescent="0.45">
      <c r="A1278"/>
      <c r="B1278"/>
    </row>
    <row r="1279" spans="1:2" ht="18" x14ac:dyDescent="0.45">
      <c r="A1279"/>
      <c r="B1279"/>
    </row>
    <row r="1280" spans="1:2" ht="18" x14ac:dyDescent="0.45">
      <c r="A1280"/>
      <c r="B1280"/>
    </row>
    <row r="1281" spans="1:2" ht="18" x14ac:dyDescent="0.45">
      <c r="A1281"/>
      <c r="B1281"/>
    </row>
    <row r="1282" spans="1:2" ht="18" x14ac:dyDescent="0.45">
      <c r="A1282"/>
      <c r="B1282"/>
    </row>
    <row r="1283" spans="1:2" ht="18" x14ac:dyDescent="0.45">
      <c r="A1283"/>
      <c r="B1283"/>
    </row>
    <row r="1284" spans="1:2" ht="18" x14ac:dyDescent="0.45">
      <c r="A1284"/>
      <c r="B1284"/>
    </row>
    <row r="1285" spans="1:2" ht="18" x14ac:dyDescent="0.45">
      <c r="A1285"/>
      <c r="B1285"/>
    </row>
    <row r="1286" spans="1:2" ht="18" x14ac:dyDescent="0.45">
      <c r="A1286"/>
      <c r="B1286"/>
    </row>
    <row r="1287" spans="1:2" ht="18" x14ac:dyDescent="0.45">
      <c r="A1287"/>
      <c r="B1287"/>
    </row>
    <row r="1288" spans="1:2" ht="18" x14ac:dyDescent="0.45">
      <c r="A1288"/>
      <c r="B1288"/>
    </row>
    <row r="1289" spans="1:2" ht="18" x14ac:dyDescent="0.45">
      <c r="A1289"/>
      <c r="B1289"/>
    </row>
    <row r="1290" spans="1:2" ht="18" x14ac:dyDescent="0.45">
      <c r="A1290"/>
      <c r="B1290"/>
    </row>
    <row r="1291" spans="1:2" ht="18" x14ac:dyDescent="0.45">
      <c r="A1291"/>
      <c r="B1291"/>
    </row>
    <row r="1292" spans="1:2" ht="18" x14ac:dyDescent="0.45">
      <c r="A1292"/>
      <c r="B1292"/>
    </row>
    <row r="1293" spans="1:2" ht="18" x14ac:dyDescent="0.45">
      <c r="A1293"/>
      <c r="B1293"/>
    </row>
    <row r="1294" spans="1:2" ht="18" x14ac:dyDescent="0.45">
      <c r="A1294"/>
      <c r="B1294"/>
    </row>
    <row r="1295" spans="1:2" ht="18" x14ac:dyDescent="0.45">
      <c r="A1295"/>
      <c r="B1295"/>
    </row>
    <row r="1296" spans="1:2" ht="18" x14ac:dyDescent="0.45">
      <c r="A1296"/>
      <c r="B1296"/>
    </row>
    <row r="1297" spans="1:2" ht="18" x14ac:dyDescent="0.45">
      <c r="A1297"/>
      <c r="B1297"/>
    </row>
    <row r="1298" spans="1:2" ht="18" x14ac:dyDescent="0.45">
      <c r="A1298"/>
      <c r="B1298"/>
    </row>
    <row r="1299" spans="1:2" ht="18" x14ac:dyDescent="0.45">
      <c r="A1299"/>
      <c r="B1299"/>
    </row>
    <row r="1300" spans="1:2" ht="18" x14ac:dyDescent="0.45">
      <c r="A1300"/>
      <c r="B1300"/>
    </row>
    <row r="1301" spans="1:2" ht="18" x14ac:dyDescent="0.45">
      <c r="A1301"/>
      <c r="B1301"/>
    </row>
    <row r="1302" spans="1:2" ht="18" x14ac:dyDescent="0.45">
      <c r="A1302"/>
      <c r="B1302"/>
    </row>
    <row r="1303" spans="1:2" ht="18" x14ac:dyDescent="0.45">
      <c r="A1303"/>
      <c r="B1303"/>
    </row>
    <row r="1304" spans="1:2" ht="18" x14ac:dyDescent="0.45">
      <c r="A1304"/>
      <c r="B1304"/>
    </row>
    <row r="1305" spans="1:2" ht="18" x14ac:dyDescent="0.45">
      <c r="A1305"/>
      <c r="B1305"/>
    </row>
    <row r="1306" spans="1:2" ht="18" x14ac:dyDescent="0.45">
      <c r="A1306"/>
      <c r="B1306"/>
    </row>
    <row r="1307" spans="1:2" ht="18" x14ac:dyDescent="0.45">
      <c r="A1307"/>
      <c r="B1307"/>
    </row>
    <row r="1308" spans="1:2" ht="18" x14ac:dyDescent="0.45">
      <c r="A1308"/>
      <c r="B1308"/>
    </row>
    <row r="1309" spans="1:2" ht="18" x14ac:dyDescent="0.45">
      <c r="A1309"/>
      <c r="B1309"/>
    </row>
    <row r="1310" spans="1:2" ht="18" x14ac:dyDescent="0.45">
      <c r="A1310"/>
      <c r="B1310"/>
    </row>
    <row r="1311" spans="1:2" ht="18" x14ac:dyDescent="0.45">
      <c r="A1311"/>
      <c r="B1311"/>
    </row>
    <row r="1312" spans="1:2" ht="18" x14ac:dyDescent="0.45">
      <c r="A1312"/>
      <c r="B1312"/>
    </row>
    <row r="1313" spans="1:2" ht="18" x14ac:dyDescent="0.45">
      <c r="A1313"/>
      <c r="B1313"/>
    </row>
    <row r="1314" spans="1:2" ht="18" x14ac:dyDescent="0.45">
      <c r="A1314"/>
      <c r="B1314"/>
    </row>
    <row r="1315" spans="1:2" ht="18" x14ac:dyDescent="0.45">
      <c r="A1315"/>
      <c r="B1315"/>
    </row>
    <row r="1316" spans="1:2" ht="18" x14ac:dyDescent="0.45">
      <c r="A1316"/>
      <c r="B1316"/>
    </row>
    <row r="1317" spans="1:2" ht="18" x14ac:dyDescent="0.45">
      <c r="A1317"/>
      <c r="B1317"/>
    </row>
    <row r="1318" spans="1:2" ht="18" x14ac:dyDescent="0.45">
      <c r="A1318"/>
      <c r="B1318"/>
    </row>
    <row r="1319" spans="1:2" ht="18" x14ac:dyDescent="0.45">
      <c r="A1319"/>
      <c r="B1319"/>
    </row>
    <row r="1320" spans="1:2" ht="18" x14ac:dyDescent="0.45">
      <c r="A1320"/>
      <c r="B1320"/>
    </row>
    <row r="1321" spans="1:2" ht="18" x14ac:dyDescent="0.45">
      <c r="A1321"/>
      <c r="B1321"/>
    </row>
    <row r="1322" spans="1:2" ht="18" x14ac:dyDescent="0.45">
      <c r="A1322"/>
      <c r="B1322"/>
    </row>
    <row r="1323" spans="1:2" ht="18" x14ac:dyDescent="0.45">
      <c r="A1323"/>
      <c r="B1323"/>
    </row>
    <row r="1324" spans="1:2" ht="18" x14ac:dyDescent="0.45">
      <c r="A1324"/>
      <c r="B1324"/>
    </row>
    <row r="1325" spans="1:2" ht="18" x14ac:dyDescent="0.45">
      <c r="A1325"/>
      <c r="B1325"/>
    </row>
    <row r="1326" spans="1:2" ht="18" x14ac:dyDescent="0.45">
      <c r="A1326"/>
      <c r="B1326"/>
    </row>
    <row r="1327" spans="1:2" ht="18" x14ac:dyDescent="0.45">
      <c r="A1327"/>
      <c r="B1327"/>
    </row>
    <row r="1328" spans="1:2" ht="18" x14ac:dyDescent="0.45">
      <c r="A1328"/>
      <c r="B1328"/>
    </row>
    <row r="1329" spans="1:2" ht="18" x14ac:dyDescent="0.45">
      <c r="A1329"/>
      <c r="B1329"/>
    </row>
    <row r="1330" spans="1:2" ht="18" x14ac:dyDescent="0.45">
      <c r="A1330"/>
      <c r="B1330"/>
    </row>
    <row r="1331" spans="1:2" ht="18" x14ac:dyDescent="0.45">
      <c r="A1331"/>
      <c r="B1331"/>
    </row>
    <row r="1332" spans="1:2" ht="18" x14ac:dyDescent="0.45">
      <c r="A1332"/>
      <c r="B1332"/>
    </row>
    <row r="1333" spans="1:2" ht="18" x14ac:dyDescent="0.45">
      <c r="A1333"/>
      <c r="B1333"/>
    </row>
    <row r="1334" spans="1:2" ht="18" x14ac:dyDescent="0.45">
      <c r="A1334"/>
      <c r="B1334"/>
    </row>
    <row r="1335" spans="1:2" ht="18" x14ac:dyDescent="0.45">
      <c r="A1335"/>
      <c r="B1335"/>
    </row>
    <row r="1336" spans="1:2" ht="18" x14ac:dyDescent="0.45">
      <c r="A1336"/>
      <c r="B1336"/>
    </row>
    <row r="1337" spans="1:2" ht="18" x14ac:dyDescent="0.45">
      <c r="A1337"/>
      <c r="B1337"/>
    </row>
    <row r="1338" spans="1:2" ht="18" x14ac:dyDescent="0.45">
      <c r="A1338"/>
      <c r="B1338"/>
    </row>
    <row r="1339" spans="1:2" ht="18" x14ac:dyDescent="0.45">
      <c r="A1339"/>
      <c r="B1339"/>
    </row>
    <row r="1340" spans="1:2" ht="18" x14ac:dyDescent="0.45">
      <c r="A1340"/>
      <c r="B1340"/>
    </row>
    <row r="1341" spans="1:2" ht="18" x14ac:dyDescent="0.45">
      <c r="A1341"/>
      <c r="B1341"/>
    </row>
    <row r="1342" spans="1:2" ht="18" x14ac:dyDescent="0.45">
      <c r="A1342"/>
      <c r="B1342"/>
    </row>
    <row r="1343" spans="1:2" ht="18" x14ac:dyDescent="0.45">
      <c r="A1343"/>
      <c r="B1343"/>
    </row>
    <row r="1344" spans="1:2" ht="18" x14ac:dyDescent="0.45">
      <c r="A1344"/>
      <c r="B1344"/>
    </row>
    <row r="1345" spans="1:2" ht="18" x14ac:dyDescent="0.45">
      <c r="A1345"/>
      <c r="B1345"/>
    </row>
    <row r="1346" spans="1:2" ht="18" x14ac:dyDescent="0.45">
      <c r="A1346"/>
      <c r="B1346"/>
    </row>
    <row r="1347" spans="1:2" ht="18" x14ac:dyDescent="0.45">
      <c r="A1347"/>
      <c r="B1347"/>
    </row>
    <row r="1348" spans="1:2" ht="18" x14ac:dyDescent="0.45">
      <c r="A1348"/>
      <c r="B1348"/>
    </row>
    <row r="1349" spans="1:2" ht="18" x14ac:dyDescent="0.45">
      <c r="A1349"/>
      <c r="B1349"/>
    </row>
    <row r="1350" spans="1:2" ht="18" x14ac:dyDescent="0.45">
      <c r="A1350"/>
      <c r="B1350"/>
    </row>
    <row r="1351" spans="1:2" ht="18" x14ac:dyDescent="0.45">
      <c r="A1351"/>
      <c r="B1351"/>
    </row>
    <row r="1352" spans="1:2" ht="18" x14ac:dyDescent="0.45">
      <c r="A1352"/>
      <c r="B1352"/>
    </row>
    <row r="1353" spans="1:2" ht="18" x14ac:dyDescent="0.45">
      <c r="A1353"/>
      <c r="B1353"/>
    </row>
    <row r="1354" spans="1:2" ht="18" x14ac:dyDescent="0.45">
      <c r="A1354"/>
      <c r="B1354"/>
    </row>
    <row r="1355" spans="1:2" ht="18" x14ac:dyDescent="0.45">
      <c r="A1355"/>
      <c r="B1355"/>
    </row>
    <row r="1356" spans="1:2" ht="18" x14ac:dyDescent="0.45">
      <c r="A1356"/>
      <c r="B1356"/>
    </row>
    <row r="1357" spans="1:2" ht="18" x14ac:dyDescent="0.45">
      <c r="A1357"/>
      <c r="B1357"/>
    </row>
    <row r="1358" spans="1:2" ht="18" x14ac:dyDescent="0.45">
      <c r="A1358"/>
      <c r="B1358"/>
    </row>
    <row r="1359" spans="1:2" ht="18" x14ac:dyDescent="0.45">
      <c r="A1359"/>
      <c r="B1359"/>
    </row>
    <row r="1360" spans="1:2" ht="18" x14ac:dyDescent="0.45">
      <c r="A1360"/>
      <c r="B1360"/>
    </row>
    <row r="1361" spans="1:2" ht="18" x14ac:dyDescent="0.45">
      <c r="A1361"/>
      <c r="B1361"/>
    </row>
    <row r="1362" spans="1:2" ht="18" x14ac:dyDescent="0.45">
      <c r="A1362"/>
      <c r="B1362"/>
    </row>
    <row r="1363" spans="1:2" ht="18" x14ac:dyDescent="0.45">
      <c r="A1363"/>
      <c r="B1363"/>
    </row>
    <row r="1364" spans="1:2" ht="18" x14ac:dyDescent="0.45">
      <c r="A1364"/>
      <c r="B1364"/>
    </row>
    <row r="1365" spans="1:2" ht="18" x14ac:dyDescent="0.45">
      <c r="A1365"/>
      <c r="B1365"/>
    </row>
    <row r="1366" spans="1:2" ht="18" x14ac:dyDescent="0.45">
      <c r="A1366"/>
      <c r="B1366"/>
    </row>
    <row r="1367" spans="1:2" ht="18" x14ac:dyDescent="0.45">
      <c r="A1367"/>
      <c r="B1367"/>
    </row>
    <row r="1368" spans="1:2" ht="18" x14ac:dyDescent="0.45">
      <c r="A1368"/>
      <c r="B1368"/>
    </row>
    <row r="1369" spans="1:2" ht="18" x14ac:dyDescent="0.45">
      <c r="A1369"/>
      <c r="B1369"/>
    </row>
    <row r="1370" spans="1:2" ht="18" x14ac:dyDescent="0.45">
      <c r="A1370"/>
      <c r="B1370"/>
    </row>
    <row r="1371" spans="1:2" ht="18" x14ac:dyDescent="0.45">
      <c r="A1371"/>
      <c r="B1371"/>
    </row>
    <row r="1372" spans="1:2" ht="18" x14ac:dyDescent="0.45">
      <c r="A1372"/>
      <c r="B1372"/>
    </row>
    <row r="1373" spans="1:2" ht="18" x14ac:dyDescent="0.45">
      <c r="A1373"/>
      <c r="B1373"/>
    </row>
    <row r="1374" spans="1:2" ht="18" x14ac:dyDescent="0.45">
      <c r="A1374"/>
      <c r="B1374"/>
    </row>
    <row r="1375" spans="1:2" ht="18" x14ac:dyDescent="0.45">
      <c r="A1375"/>
      <c r="B1375"/>
    </row>
    <row r="1376" spans="1:2" ht="18" x14ac:dyDescent="0.45">
      <c r="A1376"/>
      <c r="B1376"/>
    </row>
    <row r="1377" spans="1:2" ht="18" x14ac:dyDescent="0.45">
      <c r="A1377"/>
      <c r="B1377"/>
    </row>
    <row r="1378" spans="1:2" ht="18" x14ac:dyDescent="0.45">
      <c r="A1378"/>
      <c r="B1378"/>
    </row>
    <row r="1379" spans="1:2" ht="18" x14ac:dyDescent="0.45">
      <c r="A1379"/>
      <c r="B1379"/>
    </row>
    <row r="1380" spans="1:2" ht="18" x14ac:dyDescent="0.45">
      <c r="A1380"/>
      <c r="B1380"/>
    </row>
    <row r="1381" spans="1:2" ht="18" x14ac:dyDescent="0.45">
      <c r="A1381"/>
      <c r="B1381"/>
    </row>
    <row r="1382" spans="1:2" ht="18" x14ac:dyDescent="0.45">
      <c r="A1382"/>
      <c r="B1382"/>
    </row>
    <row r="1383" spans="1:2" ht="18" x14ac:dyDescent="0.45">
      <c r="A1383"/>
      <c r="B1383"/>
    </row>
    <row r="1384" spans="1:2" ht="18" x14ac:dyDescent="0.45">
      <c r="A1384"/>
      <c r="B1384"/>
    </row>
    <row r="1385" spans="1:2" ht="18" x14ac:dyDescent="0.45">
      <c r="A1385"/>
      <c r="B1385"/>
    </row>
    <row r="1386" spans="1:2" ht="18" x14ac:dyDescent="0.45">
      <c r="A1386"/>
      <c r="B1386"/>
    </row>
    <row r="1387" spans="1:2" ht="18" x14ac:dyDescent="0.45">
      <c r="A1387"/>
      <c r="B1387"/>
    </row>
    <row r="1388" spans="1:2" ht="18" x14ac:dyDescent="0.45">
      <c r="A1388"/>
      <c r="B1388"/>
    </row>
    <row r="1389" spans="1:2" ht="18" x14ac:dyDescent="0.45">
      <c r="A1389"/>
      <c r="B1389"/>
    </row>
    <row r="1390" spans="1:2" ht="18" x14ac:dyDescent="0.45">
      <c r="A1390"/>
      <c r="B1390"/>
    </row>
    <row r="1391" spans="1:2" ht="18" x14ac:dyDescent="0.45">
      <c r="A1391"/>
      <c r="B1391"/>
    </row>
    <row r="1392" spans="1:2" ht="18" x14ac:dyDescent="0.45">
      <c r="A1392"/>
      <c r="B1392"/>
    </row>
    <row r="1393" spans="1:2" ht="18" x14ac:dyDescent="0.45">
      <c r="A1393"/>
      <c r="B1393"/>
    </row>
    <row r="1394" spans="1:2" ht="18" x14ac:dyDescent="0.45">
      <c r="A1394"/>
      <c r="B1394"/>
    </row>
    <row r="1395" spans="1:2" ht="18" x14ac:dyDescent="0.45">
      <c r="A1395"/>
      <c r="B1395"/>
    </row>
    <row r="1396" spans="1:2" ht="18" x14ac:dyDescent="0.45">
      <c r="A1396"/>
      <c r="B1396"/>
    </row>
    <row r="1397" spans="1:2" ht="18" x14ac:dyDescent="0.45">
      <c r="A1397"/>
      <c r="B1397"/>
    </row>
    <row r="1398" spans="1:2" ht="18" x14ac:dyDescent="0.45">
      <c r="A1398"/>
      <c r="B1398"/>
    </row>
    <row r="1399" spans="1:2" ht="18" x14ac:dyDescent="0.45">
      <c r="A1399"/>
      <c r="B1399"/>
    </row>
    <row r="1400" spans="1:2" ht="18" x14ac:dyDescent="0.45">
      <c r="A1400"/>
      <c r="B1400"/>
    </row>
    <row r="1401" spans="1:2" ht="18" x14ac:dyDescent="0.45">
      <c r="A1401"/>
      <c r="B1401"/>
    </row>
    <row r="1402" spans="1:2" ht="18" x14ac:dyDescent="0.45">
      <c r="A1402"/>
      <c r="B1402"/>
    </row>
    <row r="1403" spans="1:2" ht="18" x14ac:dyDescent="0.45">
      <c r="A1403"/>
      <c r="B1403"/>
    </row>
    <row r="1404" spans="1:2" ht="18" x14ac:dyDescent="0.45">
      <c r="A1404"/>
      <c r="B1404"/>
    </row>
    <row r="1405" spans="1:2" ht="18" x14ac:dyDescent="0.45">
      <c r="A1405"/>
      <c r="B1405"/>
    </row>
    <row r="1406" spans="1:2" ht="18" x14ac:dyDescent="0.45">
      <c r="A1406"/>
      <c r="B1406"/>
    </row>
    <row r="1407" spans="1:2" ht="18" x14ac:dyDescent="0.45">
      <c r="A1407"/>
      <c r="B1407"/>
    </row>
    <row r="1408" spans="1:2" ht="18" x14ac:dyDescent="0.45">
      <c r="A1408"/>
      <c r="B1408"/>
    </row>
    <row r="1409" spans="1:2" ht="18" x14ac:dyDescent="0.45">
      <c r="A1409"/>
      <c r="B1409"/>
    </row>
    <row r="1410" spans="1:2" ht="18" x14ac:dyDescent="0.45">
      <c r="A1410"/>
      <c r="B1410"/>
    </row>
    <row r="1411" spans="1:2" ht="18" x14ac:dyDescent="0.45">
      <c r="A1411"/>
      <c r="B1411"/>
    </row>
    <row r="1412" spans="1:2" ht="18" x14ac:dyDescent="0.45">
      <c r="A1412"/>
      <c r="B1412"/>
    </row>
    <row r="1413" spans="1:2" ht="18" x14ac:dyDescent="0.45">
      <c r="A1413"/>
      <c r="B1413"/>
    </row>
    <row r="1414" spans="1:2" ht="18" x14ac:dyDescent="0.45">
      <c r="A1414"/>
      <c r="B1414"/>
    </row>
    <row r="1415" spans="1:2" ht="18" x14ac:dyDescent="0.45">
      <c r="A1415"/>
      <c r="B1415"/>
    </row>
    <row r="1416" spans="1:2" ht="18" x14ac:dyDescent="0.45">
      <c r="A1416"/>
      <c r="B1416"/>
    </row>
    <row r="1417" spans="1:2" ht="18" x14ac:dyDescent="0.45">
      <c r="A1417"/>
      <c r="B1417"/>
    </row>
    <row r="1418" spans="1:2" ht="18" x14ac:dyDescent="0.45">
      <c r="A1418"/>
      <c r="B1418"/>
    </row>
    <row r="1419" spans="1:2" ht="18" x14ac:dyDescent="0.45">
      <c r="A1419"/>
      <c r="B1419"/>
    </row>
    <row r="1420" spans="1:2" ht="18" x14ac:dyDescent="0.45">
      <c r="A1420"/>
      <c r="B1420"/>
    </row>
    <row r="1421" spans="1:2" ht="18" x14ac:dyDescent="0.45">
      <c r="A1421"/>
      <c r="B1421"/>
    </row>
    <row r="1422" spans="1:2" ht="18" x14ac:dyDescent="0.45">
      <c r="A1422"/>
      <c r="B1422"/>
    </row>
    <row r="1423" spans="1:2" ht="18" x14ac:dyDescent="0.45">
      <c r="A1423"/>
      <c r="B1423"/>
    </row>
    <row r="1424" spans="1:2" ht="18" x14ac:dyDescent="0.45">
      <c r="A1424"/>
      <c r="B1424"/>
    </row>
    <row r="1425" spans="1:2" ht="18" x14ac:dyDescent="0.45">
      <c r="A1425"/>
      <c r="B1425"/>
    </row>
    <row r="1426" spans="1:2" ht="18" x14ac:dyDescent="0.45">
      <c r="A1426"/>
      <c r="B1426"/>
    </row>
    <row r="1427" spans="1:2" ht="18" x14ac:dyDescent="0.45">
      <c r="A1427"/>
      <c r="B1427"/>
    </row>
    <row r="1428" spans="1:2" ht="18" x14ac:dyDescent="0.45">
      <c r="A1428"/>
      <c r="B1428"/>
    </row>
    <row r="1429" spans="1:2" ht="18" x14ac:dyDescent="0.45">
      <c r="A1429"/>
      <c r="B1429"/>
    </row>
    <row r="1430" spans="1:2" ht="18" x14ac:dyDescent="0.45">
      <c r="A1430"/>
      <c r="B1430"/>
    </row>
    <row r="1431" spans="1:2" ht="18" x14ac:dyDescent="0.45">
      <c r="A1431"/>
      <c r="B1431"/>
    </row>
    <row r="1432" spans="1:2" ht="18" x14ac:dyDescent="0.45">
      <c r="A1432"/>
      <c r="B1432"/>
    </row>
    <row r="1433" spans="1:2" ht="18" x14ac:dyDescent="0.45">
      <c r="A1433"/>
      <c r="B1433"/>
    </row>
    <row r="1434" spans="1:2" ht="18" x14ac:dyDescent="0.45">
      <c r="A1434"/>
      <c r="B1434"/>
    </row>
    <row r="1435" spans="1:2" ht="18" x14ac:dyDescent="0.45">
      <c r="A1435"/>
      <c r="B1435"/>
    </row>
    <row r="1436" spans="1:2" ht="18" x14ac:dyDescent="0.45">
      <c r="A1436"/>
      <c r="B1436"/>
    </row>
    <row r="1437" spans="1:2" ht="18" x14ac:dyDescent="0.45">
      <c r="A1437"/>
      <c r="B1437"/>
    </row>
    <row r="1438" spans="1:2" ht="18" x14ac:dyDescent="0.45">
      <c r="A1438"/>
      <c r="B1438"/>
    </row>
    <row r="1439" spans="1:2" ht="18" x14ac:dyDescent="0.45">
      <c r="A1439"/>
      <c r="B1439"/>
    </row>
    <row r="1440" spans="1:2" ht="18" x14ac:dyDescent="0.45">
      <c r="A1440"/>
      <c r="B1440"/>
    </row>
    <row r="1441" spans="1:2" ht="18" x14ac:dyDescent="0.45">
      <c r="A1441"/>
      <c r="B1441"/>
    </row>
    <row r="1442" spans="1:2" ht="18" x14ac:dyDescent="0.45">
      <c r="A1442"/>
      <c r="B1442"/>
    </row>
    <row r="1443" spans="1:2" ht="18" x14ac:dyDescent="0.45">
      <c r="A1443"/>
      <c r="B1443"/>
    </row>
    <row r="1444" spans="1:2" ht="18" x14ac:dyDescent="0.45">
      <c r="A1444"/>
      <c r="B1444"/>
    </row>
    <row r="1445" spans="1:2" ht="18" x14ac:dyDescent="0.45">
      <c r="A1445"/>
      <c r="B1445"/>
    </row>
    <row r="1446" spans="1:2" ht="18" x14ac:dyDescent="0.45">
      <c r="A1446"/>
      <c r="B1446"/>
    </row>
    <row r="1447" spans="1:2" ht="18" x14ac:dyDescent="0.45">
      <c r="A1447"/>
      <c r="B1447"/>
    </row>
    <row r="1448" spans="1:2" ht="18" x14ac:dyDescent="0.45">
      <c r="A1448"/>
      <c r="B1448"/>
    </row>
    <row r="1449" spans="1:2" ht="18" x14ac:dyDescent="0.45">
      <c r="A1449"/>
      <c r="B1449"/>
    </row>
    <row r="1450" spans="1:2" ht="18" x14ac:dyDescent="0.45">
      <c r="A1450"/>
      <c r="B1450"/>
    </row>
    <row r="1451" spans="1:2" ht="18" x14ac:dyDescent="0.45">
      <c r="A1451"/>
      <c r="B1451"/>
    </row>
  </sheetData>
  <autoFilter ref="A1:G291" xr:uid="{00000000-0001-0000-0100-000000000000}">
    <sortState xmlns:xlrd2="http://schemas.microsoft.com/office/spreadsheetml/2017/richdata2" ref="A2:F291">
      <sortCondition ref="C1:C290"/>
    </sortState>
  </autoFilter>
  <phoneticPr fontId="2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D288E-6EB1-4BBA-93F2-B3DDC066311C}">
  <dimension ref="A1:G277"/>
  <sheetViews>
    <sheetView workbookViewId="0"/>
  </sheetViews>
  <sheetFormatPr defaultRowHeight="18" x14ac:dyDescent="0.45"/>
  <cols>
    <col min="2" max="2" width="11.5" bestFit="1" customWidth="1"/>
    <col min="3" max="3" width="43.59765625" bestFit="1" customWidth="1"/>
  </cols>
  <sheetData>
    <row r="1" spans="1:7" x14ac:dyDescent="0.45">
      <c r="B1" t="s">
        <v>185</v>
      </c>
      <c r="C1" t="s">
        <v>184</v>
      </c>
      <c r="D1" t="s">
        <v>183</v>
      </c>
    </row>
    <row r="2" spans="1:7" x14ac:dyDescent="0.45">
      <c r="A2">
        <v>1</v>
      </c>
      <c r="B2">
        <v>3716691200</v>
      </c>
      <c r="C2" t="s">
        <v>127</v>
      </c>
      <c r="D2">
        <v>3716691200</v>
      </c>
      <c r="G2" s="32" t="s">
        <v>445</v>
      </c>
    </row>
    <row r="3" spans="1:7" x14ac:dyDescent="0.45">
      <c r="A3">
        <f>A2+1</f>
        <v>2</v>
      </c>
      <c r="B3">
        <v>2114001200</v>
      </c>
      <c r="C3" t="s">
        <v>72</v>
      </c>
      <c r="D3">
        <v>2114001200</v>
      </c>
    </row>
    <row r="4" spans="1:7" x14ac:dyDescent="0.45">
      <c r="A4">
        <f t="shared" ref="A4:A67" si="0">A3+1</f>
        <v>3</v>
      </c>
      <c r="B4">
        <v>3716701200</v>
      </c>
      <c r="C4" t="s">
        <v>128</v>
      </c>
      <c r="D4">
        <v>3716701200</v>
      </c>
    </row>
    <row r="5" spans="1:7" x14ac:dyDescent="0.45">
      <c r="A5">
        <f t="shared" si="0"/>
        <v>4</v>
      </c>
      <c r="B5">
        <v>2311761100</v>
      </c>
      <c r="C5" t="s">
        <v>17</v>
      </c>
      <c r="D5">
        <v>2311761100</v>
      </c>
    </row>
    <row r="6" spans="1:7" x14ac:dyDescent="0.45">
      <c r="A6">
        <f t="shared" si="0"/>
        <v>5</v>
      </c>
      <c r="B6">
        <v>2313141100</v>
      </c>
      <c r="C6" t="s">
        <v>38</v>
      </c>
      <c r="D6">
        <v>2313141100</v>
      </c>
    </row>
    <row r="7" spans="1:7" x14ac:dyDescent="0.45">
      <c r="A7">
        <f t="shared" si="0"/>
        <v>6</v>
      </c>
      <c r="B7">
        <v>2114071200</v>
      </c>
      <c r="C7" t="s">
        <v>73</v>
      </c>
      <c r="D7">
        <v>2114071200</v>
      </c>
    </row>
    <row r="8" spans="1:7" x14ac:dyDescent="0.45">
      <c r="A8">
        <f t="shared" si="0"/>
        <v>7</v>
      </c>
      <c r="B8">
        <v>3817101200</v>
      </c>
      <c r="C8" t="s">
        <v>150</v>
      </c>
      <c r="D8">
        <v>3817101200</v>
      </c>
    </row>
    <row r="9" spans="1:7" x14ac:dyDescent="0.45">
      <c r="A9">
        <f t="shared" si="0"/>
        <v>8</v>
      </c>
      <c r="B9">
        <v>4317381200</v>
      </c>
      <c r="C9" t="s">
        <v>160</v>
      </c>
      <c r="D9">
        <v>4317381200</v>
      </c>
    </row>
    <row r="10" spans="1:7" x14ac:dyDescent="0.45">
      <c r="A10">
        <f t="shared" si="0"/>
        <v>9</v>
      </c>
      <c r="B10">
        <v>3716811200</v>
      </c>
      <c r="C10" t="s">
        <v>133</v>
      </c>
      <c r="D10">
        <v>3716811200</v>
      </c>
    </row>
    <row r="11" spans="1:7" x14ac:dyDescent="0.45">
      <c r="A11">
        <f t="shared" si="0"/>
        <v>10</v>
      </c>
      <c r="B11">
        <v>3716891200</v>
      </c>
      <c r="C11" t="s">
        <v>137</v>
      </c>
      <c r="D11">
        <v>3716891200</v>
      </c>
    </row>
    <row r="12" spans="1:7" x14ac:dyDescent="0.45">
      <c r="A12">
        <f t="shared" si="0"/>
        <v>11</v>
      </c>
      <c r="B12">
        <v>2312551100</v>
      </c>
      <c r="C12" t="s">
        <v>26</v>
      </c>
      <c r="D12">
        <v>2312551100</v>
      </c>
    </row>
    <row r="13" spans="1:7" x14ac:dyDescent="0.45">
      <c r="A13">
        <f t="shared" si="0"/>
        <v>12</v>
      </c>
      <c r="B13">
        <v>3716771200</v>
      </c>
      <c r="C13" t="s">
        <v>130</v>
      </c>
      <c r="D13">
        <v>3716771200</v>
      </c>
    </row>
    <row r="14" spans="1:7" x14ac:dyDescent="0.45">
      <c r="A14">
        <f t="shared" si="0"/>
        <v>13</v>
      </c>
      <c r="B14">
        <v>2114131200</v>
      </c>
      <c r="C14" t="s">
        <v>75</v>
      </c>
      <c r="D14">
        <v>2114131200</v>
      </c>
    </row>
    <row r="15" spans="1:7" x14ac:dyDescent="0.45">
      <c r="A15">
        <f t="shared" si="0"/>
        <v>14</v>
      </c>
      <c r="B15">
        <v>3716511200</v>
      </c>
      <c r="C15" t="s">
        <v>120</v>
      </c>
      <c r="D15">
        <v>3716511200</v>
      </c>
    </row>
    <row r="16" spans="1:7" x14ac:dyDescent="0.45">
      <c r="A16">
        <f t="shared" si="0"/>
        <v>15</v>
      </c>
      <c r="B16">
        <v>2311281100</v>
      </c>
      <c r="C16" t="s">
        <v>12</v>
      </c>
      <c r="D16">
        <v>2311281100</v>
      </c>
    </row>
    <row r="17" spans="1:4" x14ac:dyDescent="0.45">
      <c r="A17">
        <f t="shared" si="0"/>
        <v>16</v>
      </c>
      <c r="B17">
        <v>3316011200</v>
      </c>
      <c r="C17" t="s">
        <v>97</v>
      </c>
      <c r="D17">
        <v>3316011200</v>
      </c>
    </row>
    <row r="18" spans="1:4" x14ac:dyDescent="0.45">
      <c r="A18">
        <f t="shared" si="0"/>
        <v>17</v>
      </c>
      <c r="B18">
        <v>2313061100</v>
      </c>
      <c r="C18" t="s">
        <v>33</v>
      </c>
      <c r="D18">
        <v>2313061100</v>
      </c>
    </row>
    <row r="19" spans="1:4" x14ac:dyDescent="0.45">
      <c r="A19">
        <f t="shared" si="0"/>
        <v>18</v>
      </c>
      <c r="B19">
        <v>3817191200</v>
      </c>
      <c r="C19" t="s">
        <v>153</v>
      </c>
      <c r="D19">
        <v>3817191200</v>
      </c>
    </row>
    <row r="20" spans="1:4" x14ac:dyDescent="0.45">
      <c r="A20">
        <f t="shared" si="0"/>
        <v>19</v>
      </c>
      <c r="B20">
        <v>4317362100</v>
      </c>
      <c r="C20" t="s">
        <v>159</v>
      </c>
      <c r="D20">
        <v>4317362100</v>
      </c>
    </row>
    <row r="21" spans="1:4" x14ac:dyDescent="0.45">
      <c r="A21">
        <f t="shared" si="0"/>
        <v>20</v>
      </c>
      <c r="B21">
        <v>3716881200</v>
      </c>
      <c r="C21" t="s">
        <v>136</v>
      </c>
      <c r="D21">
        <v>3716881200</v>
      </c>
    </row>
    <row r="22" spans="1:4" x14ac:dyDescent="0.45">
      <c r="A22">
        <f t="shared" si="0"/>
        <v>21</v>
      </c>
      <c r="B22">
        <v>3316081200</v>
      </c>
      <c r="C22" t="s">
        <v>100</v>
      </c>
      <c r="D22">
        <v>3316081200</v>
      </c>
    </row>
    <row r="23" spans="1:4" x14ac:dyDescent="0.45">
      <c r="A23">
        <f t="shared" si="0"/>
        <v>22</v>
      </c>
      <c r="B23">
        <v>3616141100</v>
      </c>
      <c r="C23" t="s">
        <v>110</v>
      </c>
      <c r="D23">
        <v>3616141100</v>
      </c>
    </row>
    <row r="24" spans="1:4" x14ac:dyDescent="0.45">
      <c r="A24">
        <f t="shared" si="0"/>
        <v>23</v>
      </c>
      <c r="B24">
        <v>3717051200</v>
      </c>
      <c r="C24" t="s">
        <v>145</v>
      </c>
      <c r="D24">
        <v>3717051200</v>
      </c>
    </row>
    <row r="25" spans="1:4" x14ac:dyDescent="0.45">
      <c r="A25">
        <f t="shared" si="0"/>
        <v>24</v>
      </c>
      <c r="B25">
        <v>3817281200</v>
      </c>
      <c r="C25" t="s">
        <v>156</v>
      </c>
      <c r="D25">
        <v>3817281200</v>
      </c>
    </row>
    <row r="26" spans="1:4" x14ac:dyDescent="0.45">
      <c r="A26">
        <f t="shared" si="0"/>
        <v>25</v>
      </c>
      <c r="B26">
        <v>3215811200</v>
      </c>
      <c r="C26" t="s">
        <v>69</v>
      </c>
      <c r="D26">
        <v>3215811200</v>
      </c>
    </row>
    <row r="27" spans="1:4" x14ac:dyDescent="0.45">
      <c r="A27">
        <f t="shared" si="0"/>
        <v>26</v>
      </c>
      <c r="B27">
        <v>3716371200</v>
      </c>
      <c r="C27" t="s">
        <v>117</v>
      </c>
      <c r="D27">
        <v>3716371200</v>
      </c>
    </row>
    <row r="28" spans="1:4" x14ac:dyDescent="0.45">
      <c r="A28">
        <f t="shared" si="0"/>
        <v>27</v>
      </c>
      <c r="B28">
        <v>2213911200</v>
      </c>
      <c r="C28" t="s">
        <v>83</v>
      </c>
      <c r="D28">
        <v>2213911200</v>
      </c>
    </row>
    <row r="29" spans="1:4" x14ac:dyDescent="0.45">
      <c r="A29">
        <f t="shared" si="0"/>
        <v>28</v>
      </c>
      <c r="B29">
        <v>2415211100</v>
      </c>
      <c r="C29" t="s">
        <v>58</v>
      </c>
      <c r="D29">
        <v>2415211100</v>
      </c>
    </row>
    <row r="30" spans="1:4" x14ac:dyDescent="0.45">
      <c r="A30">
        <f t="shared" si="0"/>
        <v>29</v>
      </c>
      <c r="B30">
        <v>3817241200</v>
      </c>
      <c r="C30" t="s">
        <v>155</v>
      </c>
      <c r="D30">
        <v>3817241200</v>
      </c>
    </row>
    <row r="31" spans="1:4" x14ac:dyDescent="0.45">
      <c r="A31">
        <f t="shared" si="0"/>
        <v>30</v>
      </c>
      <c r="B31">
        <v>4317411200</v>
      </c>
      <c r="C31" t="s">
        <v>163</v>
      </c>
      <c r="D31">
        <v>4317411200</v>
      </c>
    </row>
    <row r="32" spans="1:4" x14ac:dyDescent="0.45">
      <c r="A32">
        <f t="shared" si="0"/>
        <v>31</v>
      </c>
      <c r="B32">
        <v>2311661100</v>
      </c>
      <c r="C32" t="s">
        <v>16</v>
      </c>
      <c r="D32">
        <v>2311661100</v>
      </c>
    </row>
    <row r="33" spans="1:4" x14ac:dyDescent="0.45">
      <c r="A33">
        <f t="shared" si="0"/>
        <v>32</v>
      </c>
      <c r="B33">
        <v>3716681200</v>
      </c>
      <c r="C33" t="s">
        <v>126</v>
      </c>
      <c r="D33">
        <v>3716681200</v>
      </c>
    </row>
    <row r="34" spans="1:4" x14ac:dyDescent="0.45">
      <c r="A34">
        <f t="shared" si="0"/>
        <v>33</v>
      </c>
      <c r="B34">
        <v>2213951200</v>
      </c>
      <c r="C34" t="s">
        <v>84</v>
      </c>
      <c r="D34">
        <v>2213951200</v>
      </c>
    </row>
    <row r="35" spans="1:4" x14ac:dyDescent="0.45">
      <c r="A35">
        <f t="shared" si="0"/>
        <v>34</v>
      </c>
      <c r="B35">
        <v>2415111200</v>
      </c>
      <c r="C35" t="s">
        <v>56</v>
      </c>
      <c r="D35">
        <v>2415111200</v>
      </c>
    </row>
    <row r="36" spans="1:4" x14ac:dyDescent="0.45">
      <c r="A36">
        <f t="shared" si="0"/>
        <v>35</v>
      </c>
      <c r="B36">
        <v>3817231200</v>
      </c>
      <c r="C36" t="s">
        <v>154</v>
      </c>
      <c r="D36">
        <v>3817231200</v>
      </c>
    </row>
    <row r="37" spans="1:4" x14ac:dyDescent="0.45">
      <c r="A37">
        <f t="shared" si="0"/>
        <v>36</v>
      </c>
      <c r="B37">
        <v>2312861200</v>
      </c>
      <c r="C37" t="s">
        <v>30</v>
      </c>
      <c r="D37">
        <v>2312861200</v>
      </c>
    </row>
    <row r="38" spans="1:4" x14ac:dyDescent="0.45">
      <c r="A38">
        <f t="shared" si="0"/>
        <v>37</v>
      </c>
      <c r="B38">
        <v>3316111200</v>
      </c>
      <c r="C38" t="s">
        <v>108</v>
      </c>
      <c r="D38">
        <v>3316111200</v>
      </c>
    </row>
    <row r="39" spans="1:4" x14ac:dyDescent="0.45">
      <c r="A39">
        <f t="shared" si="0"/>
        <v>38</v>
      </c>
      <c r="B39">
        <v>3716721200</v>
      </c>
      <c r="C39" t="s">
        <v>129</v>
      </c>
      <c r="D39">
        <v>3716721200</v>
      </c>
    </row>
    <row r="40" spans="1:4" x14ac:dyDescent="0.45">
      <c r="A40">
        <f t="shared" si="0"/>
        <v>39</v>
      </c>
      <c r="B40">
        <v>2312901100</v>
      </c>
      <c r="C40" t="s">
        <v>31</v>
      </c>
      <c r="D40">
        <v>2312901100</v>
      </c>
    </row>
    <row r="41" spans="1:4" x14ac:dyDescent="0.45">
      <c r="A41">
        <f t="shared" si="0"/>
        <v>40</v>
      </c>
      <c r="B41">
        <v>3717081200</v>
      </c>
      <c r="C41" t="s">
        <v>147</v>
      </c>
      <c r="D41">
        <v>3717081200</v>
      </c>
    </row>
    <row r="42" spans="1:4" x14ac:dyDescent="0.45">
      <c r="A42">
        <f t="shared" si="0"/>
        <v>41</v>
      </c>
      <c r="B42">
        <v>3817131200</v>
      </c>
      <c r="C42" t="s">
        <v>151</v>
      </c>
      <c r="D42">
        <v>3817131200</v>
      </c>
    </row>
    <row r="43" spans="1:4" x14ac:dyDescent="0.45">
      <c r="A43">
        <f t="shared" si="0"/>
        <v>42</v>
      </c>
      <c r="B43">
        <v>4317451200</v>
      </c>
      <c r="C43" t="s">
        <v>167</v>
      </c>
      <c r="D43">
        <v>4317451200</v>
      </c>
    </row>
    <row r="44" spans="1:4" x14ac:dyDescent="0.45">
      <c r="A44">
        <f t="shared" si="0"/>
        <v>43</v>
      </c>
      <c r="B44">
        <v>2311811100</v>
      </c>
      <c r="C44" t="s">
        <v>334</v>
      </c>
      <c r="D44">
        <v>2311811100</v>
      </c>
    </row>
    <row r="45" spans="1:4" x14ac:dyDescent="0.45">
      <c r="A45">
        <f t="shared" si="0"/>
        <v>44</v>
      </c>
      <c r="B45">
        <v>3316041200</v>
      </c>
      <c r="C45" t="s">
        <v>98</v>
      </c>
      <c r="D45">
        <v>3316041200</v>
      </c>
    </row>
    <row r="46" spans="1:4" x14ac:dyDescent="0.45">
      <c r="A46">
        <f t="shared" si="0"/>
        <v>45</v>
      </c>
      <c r="B46">
        <v>3315921200</v>
      </c>
      <c r="C46" t="s">
        <v>92</v>
      </c>
      <c r="D46">
        <v>3315921200</v>
      </c>
    </row>
    <row r="47" spans="1:4" x14ac:dyDescent="0.45">
      <c r="A47">
        <f t="shared" si="0"/>
        <v>46</v>
      </c>
      <c r="B47">
        <v>3716661200</v>
      </c>
      <c r="C47" t="s">
        <v>125</v>
      </c>
      <c r="D47">
        <v>3716661200</v>
      </c>
    </row>
    <row r="48" spans="1:4" x14ac:dyDescent="0.45">
      <c r="A48">
        <f t="shared" si="0"/>
        <v>47</v>
      </c>
      <c r="B48">
        <v>2313271100</v>
      </c>
      <c r="C48" t="s">
        <v>43</v>
      </c>
      <c r="D48">
        <v>2313271100</v>
      </c>
    </row>
    <row r="49" spans="1:4" x14ac:dyDescent="0.45">
      <c r="A49">
        <f t="shared" si="0"/>
        <v>48</v>
      </c>
      <c r="B49">
        <v>3716361200</v>
      </c>
      <c r="C49" t="s">
        <v>116</v>
      </c>
      <c r="D49">
        <v>3716361200</v>
      </c>
    </row>
    <row r="50" spans="1:4" x14ac:dyDescent="0.45">
      <c r="A50">
        <f t="shared" si="0"/>
        <v>49</v>
      </c>
      <c r="B50">
        <v>3315981200</v>
      </c>
      <c r="C50" t="s">
        <v>95</v>
      </c>
      <c r="D50">
        <v>3315981200</v>
      </c>
    </row>
    <row r="51" spans="1:4" x14ac:dyDescent="0.45">
      <c r="A51">
        <f t="shared" si="0"/>
        <v>50</v>
      </c>
      <c r="B51">
        <v>2312751100</v>
      </c>
      <c r="C51" t="s">
        <v>27</v>
      </c>
      <c r="D51">
        <v>2312751100</v>
      </c>
    </row>
    <row r="52" spans="1:4" x14ac:dyDescent="0.45">
      <c r="A52">
        <f t="shared" si="0"/>
        <v>51</v>
      </c>
      <c r="B52">
        <v>3315901200</v>
      </c>
      <c r="C52" t="s">
        <v>90</v>
      </c>
      <c r="D52">
        <v>3315901200</v>
      </c>
    </row>
    <row r="53" spans="1:4" x14ac:dyDescent="0.45">
      <c r="A53">
        <f t="shared" si="0"/>
        <v>52</v>
      </c>
      <c r="B53">
        <v>3315931200</v>
      </c>
      <c r="C53" t="s">
        <v>93</v>
      </c>
      <c r="D53">
        <v>3315931200</v>
      </c>
    </row>
    <row r="54" spans="1:4" x14ac:dyDescent="0.45">
      <c r="A54">
        <f t="shared" si="0"/>
        <v>53</v>
      </c>
      <c r="B54">
        <v>3716601200</v>
      </c>
      <c r="C54" t="s">
        <v>122</v>
      </c>
      <c r="D54">
        <v>3716601200</v>
      </c>
    </row>
    <row r="55" spans="1:4" x14ac:dyDescent="0.45">
      <c r="A55">
        <f t="shared" si="0"/>
        <v>54</v>
      </c>
      <c r="B55">
        <v>4317401200</v>
      </c>
      <c r="C55" t="s">
        <v>162</v>
      </c>
      <c r="D55">
        <v>4317401200</v>
      </c>
    </row>
    <row r="56" spans="1:4" x14ac:dyDescent="0.45">
      <c r="A56">
        <f t="shared" si="0"/>
        <v>55</v>
      </c>
      <c r="B56">
        <v>2312111100</v>
      </c>
      <c r="C56" t="s">
        <v>22</v>
      </c>
      <c r="D56">
        <v>2312111100</v>
      </c>
    </row>
    <row r="57" spans="1:4" x14ac:dyDescent="0.45">
      <c r="A57">
        <f t="shared" si="0"/>
        <v>56</v>
      </c>
      <c r="B57">
        <v>2415021200</v>
      </c>
      <c r="C57" t="s">
        <v>54</v>
      </c>
      <c r="D57">
        <v>2415021200</v>
      </c>
    </row>
    <row r="58" spans="1:4" x14ac:dyDescent="0.45">
      <c r="A58">
        <f t="shared" si="0"/>
        <v>57</v>
      </c>
      <c r="B58">
        <v>3215821200</v>
      </c>
      <c r="C58" t="s">
        <v>70</v>
      </c>
      <c r="D58">
        <v>3215821200</v>
      </c>
    </row>
    <row r="59" spans="1:4" x14ac:dyDescent="0.45">
      <c r="A59">
        <f t="shared" si="0"/>
        <v>58</v>
      </c>
      <c r="B59">
        <v>3316091200</v>
      </c>
      <c r="C59" t="s">
        <v>106</v>
      </c>
      <c r="D59">
        <v>3316091200</v>
      </c>
    </row>
    <row r="60" spans="1:4" x14ac:dyDescent="0.45">
      <c r="A60">
        <f t="shared" si="0"/>
        <v>59</v>
      </c>
      <c r="B60">
        <v>2313261100</v>
      </c>
      <c r="C60" t="s">
        <v>42</v>
      </c>
      <c r="D60">
        <v>2313261100</v>
      </c>
    </row>
    <row r="61" spans="1:4" x14ac:dyDescent="0.45">
      <c r="A61">
        <f t="shared" si="0"/>
        <v>60</v>
      </c>
      <c r="B61">
        <v>2313131100</v>
      </c>
      <c r="C61" t="s">
        <v>37</v>
      </c>
      <c r="D61">
        <v>2313131100</v>
      </c>
    </row>
    <row r="62" spans="1:4" x14ac:dyDescent="0.45">
      <c r="A62">
        <f t="shared" si="0"/>
        <v>61</v>
      </c>
      <c r="B62">
        <v>3316001200</v>
      </c>
      <c r="C62" t="s">
        <v>96</v>
      </c>
      <c r="D62">
        <v>3316001200</v>
      </c>
    </row>
    <row r="63" spans="1:4" x14ac:dyDescent="0.45">
      <c r="A63">
        <f t="shared" si="0"/>
        <v>62</v>
      </c>
      <c r="B63">
        <v>2313451200</v>
      </c>
      <c r="C63" t="s">
        <v>47</v>
      </c>
      <c r="D63">
        <v>2313451200</v>
      </c>
    </row>
    <row r="64" spans="1:4" x14ac:dyDescent="0.45">
      <c r="A64">
        <f t="shared" si="0"/>
        <v>63</v>
      </c>
      <c r="B64">
        <v>3716901200</v>
      </c>
      <c r="C64" t="s">
        <v>138</v>
      </c>
      <c r="D64">
        <v>3716901200</v>
      </c>
    </row>
    <row r="65" spans="1:4" x14ac:dyDescent="0.45">
      <c r="A65">
        <f t="shared" si="0"/>
        <v>64</v>
      </c>
      <c r="B65">
        <v>2312341100</v>
      </c>
      <c r="C65" t="s">
        <v>24</v>
      </c>
      <c r="D65">
        <v>2312341100</v>
      </c>
    </row>
    <row r="66" spans="1:4" x14ac:dyDescent="0.45">
      <c r="A66">
        <f t="shared" si="0"/>
        <v>65</v>
      </c>
      <c r="B66">
        <v>3716841200</v>
      </c>
      <c r="C66" t="s">
        <v>134</v>
      </c>
      <c r="D66">
        <v>3716841200</v>
      </c>
    </row>
    <row r="67" spans="1:4" x14ac:dyDescent="0.45">
      <c r="A67">
        <f t="shared" si="0"/>
        <v>66</v>
      </c>
      <c r="B67">
        <v>3315881200</v>
      </c>
      <c r="C67" t="s">
        <v>89</v>
      </c>
      <c r="D67">
        <v>3315881200</v>
      </c>
    </row>
    <row r="68" spans="1:4" x14ac:dyDescent="0.45">
      <c r="A68">
        <f t="shared" ref="A68:A131" si="1">A67+1</f>
        <v>67</v>
      </c>
      <c r="B68">
        <v>2312041100</v>
      </c>
      <c r="C68" t="s">
        <v>21</v>
      </c>
      <c r="D68">
        <v>2312041100</v>
      </c>
    </row>
    <row r="69" spans="1:4" x14ac:dyDescent="0.45">
      <c r="A69">
        <f t="shared" si="1"/>
        <v>68</v>
      </c>
      <c r="B69">
        <v>2312321100</v>
      </c>
      <c r="C69" t="s">
        <v>23</v>
      </c>
      <c r="D69">
        <v>2312321100</v>
      </c>
    </row>
    <row r="70" spans="1:4" x14ac:dyDescent="0.45">
      <c r="A70">
        <f t="shared" si="1"/>
        <v>69</v>
      </c>
      <c r="B70">
        <v>2311361100</v>
      </c>
      <c r="C70" t="s">
        <v>13</v>
      </c>
      <c r="D70">
        <v>2311361100</v>
      </c>
    </row>
    <row r="71" spans="1:4" x14ac:dyDescent="0.45">
      <c r="A71">
        <f t="shared" si="1"/>
        <v>70</v>
      </c>
      <c r="B71">
        <v>2213761200</v>
      </c>
      <c r="C71" t="s">
        <v>80</v>
      </c>
      <c r="D71">
        <v>2213761200</v>
      </c>
    </row>
    <row r="72" spans="1:4" x14ac:dyDescent="0.45">
      <c r="A72">
        <f t="shared" si="1"/>
        <v>71</v>
      </c>
      <c r="B72">
        <v>3716791200</v>
      </c>
      <c r="C72" t="s">
        <v>131</v>
      </c>
      <c r="D72">
        <v>3716791200</v>
      </c>
    </row>
    <row r="73" spans="1:4" x14ac:dyDescent="0.45">
      <c r="A73">
        <f t="shared" si="1"/>
        <v>72</v>
      </c>
      <c r="B73">
        <v>4317341200</v>
      </c>
      <c r="C73" t="s">
        <v>158</v>
      </c>
      <c r="D73">
        <v>4317341200</v>
      </c>
    </row>
    <row r="74" spans="1:4" x14ac:dyDescent="0.45">
      <c r="A74">
        <f t="shared" si="1"/>
        <v>73</v>
      </c>
      <c r="B74">
        <v>5317491200</v>
      </c>
      <c r="C74" t="s">
        <v>168</v>
      </c>
      <c r="D74">
        <v>5317491200</v>
      </c>
    </row>
    <row r="75" spans="1:4" x14ac:dyDescent="0.45">
      <c r="A75">
        <f t="shared" si="1"/>
        <v>74</v>
      </c>
      <c r="B75">
        <v>2415571200</v>
      </c>
      <c r="C75" t="s">
        <v>66</v>
      </c>
      <c r="D75">
        <v>2415571200</v>
      </c>
    </row>
    <row r="76" spans="1:4" x14ac:dyDescent="0.45">
      <c r="A76">
        <f t="shared" si="1"/>
        <v>75</v>
      </c>
      <c r="B76">
        <v>2312371100</v>
      </c>
      <c r="C76" t="s">
        <v>25</v>
      </c>
      <c r="D76">
        <v>2312371100</v>
      </c>
    </row>
    <row r="77" spans="1:4" x14ac:dyDescent="0.45">
      <c r="A77">
        <f t="shared" si="1"/>
        <v>76</v>
      </c>
      <c r="B77">
        <v>3215841200</v>
      </c>
      <c r="C77" t="s">
        <v>87</v>
      </c>
      <c r="D77">
        <v>3215841200</v>
      </c>
    </row>
    <row r="78" spans="1:4" x14ac:dyDescent="0.45">
      <c r="A78">
        <f t="shared" si="1"/>
        <v>77</v>
      </c>
      <c r="B78">
        <v>2311231100</v>
      </c>
      <c r="C78" t="s">
        <v>11</v>
      </c>
      <c r="D78">
        <v>2311231100</v>
      </c>
    </row>
    <row r="79" spans="1:4" x14ac:dyDescent="0.45">
      <c r="A79">
        <f t="shared" si="1"/>
        <v>78</v>
      </c>
      <c r="B79">
        <v>3315961100</v>
      </c>
      <c r="C79" t="s">
        <v>94</v>
      </c>
      <c r="D79">
        <v>3315961100</v>
      </c>
    </row>
    <row r="80" spans="1:4" x14ac:dyDescent="0.45">
      <c r="A80">
        <f t="shared" si="1"/>
        <v>79</v>
      </c>
      <c r="B80">
        <v>2213771200</v>
      </c>
      <c r="C80" t="s">
        <v>81</v>
      </c>
      <c r="D80">
        <v>2213771200</v>
      </c>
    </row>
    <row r="81" spans="1:4" x14ac:dyDescent="0.45">
      <c r="A81">
        <f t="shared" si="1"/>
        <v>80</v>
      </c>
      <c r="B81">
        <v>3716911200</v>
      </c>
      <c r="C81" t="s">
        <v>139</v>
      </c>
      <c r="D81">
        <v>3716911200</v>
      </c>
    </row>
    <row r="82" spans="1:4" x14ac:dyDescent="0.45">
      <c r="A82">
        <f t="shared" si="1"/>
        <v>81</v>
      </c>
      <c r="B82">
        <v>2415291200</v>
      </c>
      <c r="C82" t="s">
        <v>61</v>
      </c>
      <c r="D82">
        <v>2415291200</v>
      </c>
    </row>
    <row r="83" spans="1:4" x14ac:dyDescent="0.45">
      <c r="A83">
        <f t="shared" si="1"/>
        <v>82</v>
      </c>
      <c r="B83">
        <v>1410581100</v>
      </c>
      <c r="C83" t="s">
        <v>7</v>
      </c>
      <c r="D83">
        <v>1410581100</v>
      </c>
    </row>
    <row r="84" spans="1:4" x14ac:dyDescent="0.45">
      <c r="A84">
        <f t="shared" si="1"/>
        <v>83</v>
      </c>
      <c r="B84">
        <v>2414751200</v>
      </c>
      <c r="C84" t="s">
        <v>51</v>
      </c>
      <c r="D84">
        <v>2414751200</v>
      </c>
    </row>
    <row r="85" spans="1:4" x14ac:dyDescent="0.45">
      <c r="A85">
        <f t="shared" si="1"/>
        <v>84</v>
      </c>
      <c r="B85">
        <v>2313101100</v>
      </c>
      <c r="C85" t="s">
        <v>35</v>
      </c>
      <c r="D85">
        <v>2313101100</v>
      </c>
    </row>
    <row r="86" spans="1:4" x14ac:dyDescent="0.45">
      <c r="A86">
        <f t="shared" si="1"/>
        <v>85</v>
      </c>
      <c r="B86">
        <v>3716551200</v>
      </c>
      <c r="C86" t="s">
        <v>121</v>
      </c>
      <c r="D86">
        <v>3716551200</v>
      </c>
    </row>
    <row r="87" spans="1:4" x14ac:dyDescent="0.45">
      <c r="A87">
        <f t="shared" si="1"/>
        <v>86</v>
      </c>
      <c r="B87">
        <v>3716471200</v>
      </c>
      <c r="C87" t="s">
        <v>118</v>
      </c>
      <c r="D87">
        <v>3716471200</v>
      </c>
    </row>
    <row r="88" spans="1:4" x14ac:dyDescent="0.45">
      <c r="A88">
        <f t="shared" si="1"/>
        <v>87</v>
      </c>
      <c r="B88">
        <v>3717611200</v>
      </c>
      <c r="C88" t="s">
        <v>148</v>
      </c>
      <c r="D88">
        <v>3717611200</v>
      </c>
    </row>
    <row r="89" spans="1:4" x14ac:dyDescent="0.45">
      <c r="A89">
        <f t="shared" si="1"/>
        <v>88</v>
      </c>
      <c r="B89">
        <v>2415031200</v>
      </c>
      <c r="C89" t="s">
        <v>55</v>
      </c>
      <c r="D89">
        <v>2415031200</v>
      </c>
    </row>
    <row r="90" spans="1:4" x14ac:dyDescent="0.45">
      <c r="A90">
        <f t="shared" si="1"/>
        <v>89</v>
      </c>
      <c r="B90">
        <v>3717031200</v>
      </c>
      <c r="C90" t="s">
        <v>144</v>
      </c>
      <c r="D90">
        <v>3717031200</v>
      </c>
    </row>
    <row r="91" spans="1:4" x14ac:dyDescent="0.45">
      <c r="A91">
        <f t="shared" si="1"/>
        <v>90</v>
      </c>
      <c r="B91">
        <v>4317391200</v>
      </c>
      <c r="C91" t="s">
        <v>161</v>
      </c>
      <c r="D91">
        <v>4317391200</v>
      </c>
    </row>
    <row r="92" spans="1:4" x14ac:dyDescent="0.45">
      <c r="A92">
        <f t="shared" si="1"/>
        <v>91</v>
      </c>
      <c r="B92">
        <v>3716481200</v>
      </c>
      <c r="C92" t="s">
        <v>119</v>
      </c>
      <c r="D92">
        <v>3716481200</v>
      </c>
    </row>
    <row r="93" spans="1:4" x14ac:dyDescent="0.45">
      <c r="A93">
        <f t="shared" si="1"/>
        <v>92</v>
      </c>
      <c r="B93">
        <v>2313001100</v>
      </c>
      <c r="C93" t="s">
        <v>182</v>
      </c>
      <c r="D93">
        <v>2313001100</v>
      </c>
    </row>
    <row r="94" spans="1:4" x14ac:dyDescent="0.45">
      <c r="A94">
        <f t="shared" si="1"/>
        <v>93</v>
      </c>
      <c r="B94">
        <v>1110351100</v>
      </c>
      <c r="C94" t="s">
        <v>1</v>
      </c>
      <c r="D94">
        <v>1110351100</v>
      </c>
    </row>
    <row r="95" spans="1:4" x14ac:dyDescent="0.45">
      <c r="A95">
        <f t="shared" si="1"/>
        <v>94</v>
      </c>
      <c r="B95">
        <v>3316101200</v>
      </c>
      <c r="C95" t="s">
        <v>107</v>
      </c>
      <c r="D95">
        <v>3316101200</v>
      </c>
    </row>
    <row r="96" spans="1:4" x14ac:dyDescent="0.45">
      <c r="A96">
        <f t="shared" si="1"/>
        <v>95</v>
      </c>
      <c r="B96">
        <v>3716641200</v>
      </c>
      <c r="C96" t="s">
        <v>124</v>
      </c>
      <c r="D96">
        <v>3716641200</v>
      </c>
    </row>
    <row r="97" spans="1:4" x14ac:dyDescent="0.45">
      <c r="A97">
        <f t="shared" si="1"/>
        <v>96</v>
      </c>
      <c r="B97">
        <v>2414741200</v>
      </c>
      <c r="C97" t="s">
        <v>50</v>
      </c>
      <c r="D97">
        <v>2414741200</v>
      </c>
    </row>
    <row r="98" spans="1:4" x14ac:dyDescent="0.45">
      <c r="A98">
        <f t="shared" si="1"/>
        <v>97</v>
      </c>
      <c r="B98">
        <v>2313281100</v>
      </c>
      <c r="C98" t="s">
        <v>44</v>
      </c>
      <c r="D98">
        <v>2313281100</v>
      </c>
    </row>
    <row r="99" spans="1:4" x14ac:dyDescent="0.45">
      <c r="A99">
        <f t="shared" si="1"/>
        <v>98</v>
      </c>
      <c r="B99">
        <v>3315851200</v>
      </c>
      <c r="C99" t="s">
        <v>88</v>
      </c>
      <c r="D99">
        <v>3315851200</v>
      </c>
    </row>
    <row r="100" spans="1:4" x14ac:dyDescent="0.45">
      <c r="A100">
        <f t="shared" si="1"/>
        <v>99</v>
      </c>
      <c r="B100">
        <v>4417501200</v>
      </c>
      <c r="C100" t="s">
        <v>442</v>
      </c>
      <c r="D100">
        <v>4417501200</v>
      </c>
    </row>
    <row r="101" spans="1:4" x14ac:dyDescent="0.45">
      <c r="A101">
        <f t="shared" si="1"/>
        <v>100</v>
      </c>
      <c r="B101">
        <v>3716801200</v>
      </c>
      <c r="C101" t="s">
        <v>132</v>
      </c>
      <c r="D101">
        <v>3716801200</v>
      </c>
    </row>
    <row r="102" spans="1:4" x14ac:dyDescent="0.45">
      <c r="A102">
        <f t="shared" si="1"/>
        <v>101</v>
      </c>
      <c r="B102">
        <v>2313241100</v>
      </c>
      <c r="C102" t="s">
        <v>41</v>
      </c>
      <c r="D102">
        <v>2313241100</v>
      </c>
    </row>
    <row r="103" spans="1:4" x14ac:dyDescent="0.45">
      <c r="A103">
        <f t="shared" si="1"/>
        <v>102</v>
      </c>
      <c r="B103">
        <v>4317421200</v>
      </c>
      <c r="C103" t="s">
        <v>164</v>
      </c>
      <c r="D103">
        <v>4317421200</v>
      </c>
    </row>
    <row r="104" spans="1:4" x14ac:dyDescent="0.45">
      <c r="A104">
        <f t="shared" si="1"/>
        <v>103</v>
      </c>
      <c r="B104">
        <v>3717061200</v>
      </c>
      <c r="C104" t="s">
        <v>146</v>
      </c>
      <c r="D104">
        <v>3717061200</v>
      </c>
    </row>
    <row r="105" spans="1:4" x14ac:dyDescent="0.45">
      <c r="A105">
        <f t="shared" si="1"/>
        <v>104</v>
      </c>
      <c r="B105">
        <v>2213491200</v>
      </c>
      <c r="C105" t="s">
        <v>77</v>
      </c>
      <c r="D105">
        <v>2213491200</v>
      </c>
    </row>
    <row r="106" spans="1:4" x14ac:dyDescent="0.45">
      <c r="A106">
        <f t="shared" si="1"/>
        <v>105</v>
      </c>
      <c r="B106">
        <v>3716991200</v>
      </c>
      <c r="C106" t="s">
        <v>142</v>
      </c>
      <c r="D106">
        <v>3716991200</v>
      </c>
    </row>
    <row r="107" spans="1:4" x14ac:dyDescent="0.45">
      <c r="A107">
        <f t="shared" si="1"/>
        <v>106</v>
      </c>
      <c r="B107">
        <v>2114301200</v>
      </c>
      <c r="C107" t="s">
        <v>76</v>
      </c>
      <c r="D107">
        <v>2114301200</v>
      </c>
    </row>
    <row r="108" spans="1:4" x14ac:dyDescent="0.45">
      <c r="A108">
        <f t="shared" si="1"/>
        <v>107</v>
      </c>
      <c r="B108">
        <v>2312981100</v>
      </c>
      <c r="C108" t="s">
        <v>32</v>
      </c>
      <c r="D108">
        <v>2312981100</v>
      </c>
    </row>
    <row r="109" spans="1:4" x14ac:dyDescent="0.45">
      <c r="A109">
        <f t="shared" si="1"/>
        <v>108</v>
      </c>
      <c r="B109">
        <v>3717021200</v>
      </c>
      <c r="C109" t="s">
        <v>143</v>
      </c>
      <c r="D109">
        <v>3717021200</v>
      </c>
    </row>
    <row r="110" spans="1:4" x14ac:dyDescent="0.45">
      <c r="A110">
        <f t="shared" si="1"/>
        <v>109</v>
      </c>
      <c r="B110">
        <v>2213531200</v>
      </c>
      <c r="C110" t="s">
        <v>78</v>
      </c>
      <c r="D110">
        <v>2213531200</v>
      </c>
    </row>
    <row r="111" spans="1:4" x14ac:dyDescent="0.45">
      <c r="A111">
        <f t="shared" si="1"/>
        <v>110</v>
      </c>
      <c r="B111">
        <v>2313111100</v>
      </c>
      <c r="C111" t="s">
        <v>36</v>
      </c>
      <c r="D111">
        <v>2313111100</v>
      </c>
    </row>
    <row r="112" spans="1:4" x14ac:dyDescent="0.45">
      <c r="A112">
        <f t="shared" si="1"/>
        <v>111</v>
      </c>
      <c r="B112">
        <v>2312781100</v>
      </c>
      <c r="C112" t="s">
        <v>28</v>
      </c>
      <c r="D112">
        <v>2312781100</v>
      </c>
    </row>
    <row r="113" spans="1:4" x14ac:dyDescent="0.45">
      <c r="A113">
        <f t="shared" si="1"/>
        <v>112</v>
      </c>
      <c r="B113">
        <v>2313231100</v>
      </c>
      <c r="C113" t="s">
        <v>40</v>
      </c>
      <c r="D113">
        <v>2313231100</v>
      </c>
    </row>
    <row r="114" spans="1:4" x14ac:dyDescent="0.45">
      <c r="A114">
        <f t="shared" si="1"/>
        <v>113</v>
      </c>
      <c r="B114">
        <v>3716331200</v>
      </c>
      <c r="C114" t="s">
        <v>115</v>
      </c>
      <c r="D114">
        <v>3716331200</v>
      </c>
    </row>
    <row r="115" spans="1:4" x14ac:dyDescent="0.45">
      <c r="A115">
        <f t="shared" si="1"/>
        <v>114</v>
      </c>
      <c r="B115">
        <v>3716961200</v>
      </c>
      <c r="C115" t="s">
        <v>141</v>
      </c>
      <c r="D115">
        <v>3716961200</v>
      </c>
    </row>
    <row r="116" spans="1:4" x14ac:dyDescent="0.45">
      <c r="A116">
        <f t="shared" si="1"/>
        <v>115</v>
      </c>
      <c r="B116">
        <v>2312791100</v>
      </c>
      <c r="C116" t="s">
        <v>29</v>
      </c>
      <c r="D116">
        <v>2312791100</v>
      </c>
    </row>
    <row r="117" spans="1:4" x14ac:dyDescent="0.45">
      <c r="A117">
        <f t="shared" si="1"/>
        <v>116</v>
      </c>
      <c r="B117">
        <v>2313291100</v>
      </c>
      <c r="C117" t="s">
        <v>45</v>
      </c>
      <c r="D117">
        <v>2313291100</v>
      </c>
    </row>
    <row r="118" spans="1:4" x14ac:dyDescent="0.45">
      <c r="A118">
        <f t="shared" si="1"/>
        <v>117</v>
      </c>
      <c r="B118">
        <v>3716281200</v>
      </c>
      <c r="C118" t="s">
        <v>112</v>
      </c>
      <c r="D118">
        <v>3716281200</v>
      </c>
    </row>
    <row r="119" spans="1:4" x14ac:dyDescent="0.45">
      <c r="A119">
        <f t="shared" si="1"/>
        <v>118</v>
      </c>
      <c r="B119">
        <v>2311551100</v>
      </c>
      <c r="C119" t="s">
        <v>15</v>
      </c>
      <c r="D119">
        <v>2311551100</v>
      </c>
    </row>
    <row r="120" spans="1:4" x14ac:dyDescent="0.45">
      <c r="A120">
        <f t="shared" si="1"/>
        <v>119</v>
      </c>
      <c r="B120">
        <v>2114101200</v>
      </c>
      <c r="C120" t="s">
        <v>74</v>
      </c>
      <c r="D120">
        <v>2114101200</v>
      </c>
    </row>
    <row r="121" spans="1:4" x14ac:dyDescent="0.45">
      <c r="A121">
        <f t="shared" si="1"/>
        <v>120</v>
      </c>
      <c r="B121">
        <v>2313191100</v>
      </c>
      <c r="C121" t="s">
        <v>39</v>
      </c>
      <c r="D121">
        <v>2313191100</v>
      </c>
    </row>
    <row r="122" spans="1:4" x14ac:dyDescent="0.45">
      <c r="A122">
        <f t="shared" si="1"/>
        <v>121</v>
      </c>
      <c r="B122">
        <v>2415001200</v>
      </c>
      <c r="C122" t="s">
        <v>53</v>
      </c>
      <c r="D122">
        <v>2415001200</v>
      </c>
    </row>
    <row r="123" spans="1:4" x14ac:dyDescent="0.45">
      <c r="A123">
        <f t="shared" si="1"/>
        <v>122</v>
      </c>
      <c r="B123">
        <v>3316121200</v>
      </c>
      <c r="C123" t="s">
        <v>109</v>
      </c>
      <c r="D123">
        <v>3316121200</v>
      </c>
    </row>
    <row r="124" spans="1:4" x14ac:dyDescent="0.45">
      <c r="A124">
        <f t="shared" si="1"/>
        <v>123</v>
      </c>
      <c r="B124">
        <v>2415691200</v>
      </c>
      <c r="C124" t="s">
        <v>67</v>
      </c>
      <c r="D124">
        <v>2415691200</v>
      </c>
    </row>
    <row r="125" spans="1:4" x14ac:dyDescent="0.45">
      <c r="A125">
        <f t="shared" si="1"/>
        <v>124</v>
      </c>
      <c r="B125">
        <v>2311491100</v>
      </c>
      <c r="C125" t="s">
        <v>14</v>
      </c>
      <c r="D125">
        <v>2311491100</v>
      </c>
    </row>
    <row r="126" spans="1:4" x14ac:dyDescent="0.45">
      <c r="A126">
        <f t="shared" si="1"/>
        <v>125</v>
      </c>
      <c r="B126">
        <v>2414851200</v>
      </c>
      <c r="C126" t="s">
        <v>52</v>
      </c>
      <c r="D126">
        <v>2414851200</v>
      </c>
    </row>
    <row r="127" spans="1:4" x14ac:dyDescent="0.45">
      <c r="A127">
        <f t="shared" si="1"/>
        <v>126</v>
      </c>
      <c r="B127">
        <v>2414711200</v>
      </c>
      <c r="C127" t="s">
        <v>49</v>
      </c>
      <c r="D127">
        <v>2414711200</v>
      </c>
    </row>
    <row r="128" spans="1:4" x14ac:dyDescent="0.45">
      <c r="A128">
        <f t="shared" si="1"/>
        <v>127</v>
      </c>
      <c r="B128">
        <v>2415261200</v>
      </c>
      <c r="C128" t="s">
        <v>60</v>
      </c>
      <c r="D128">
        <v>2415261200</v>
      </c>
    </row>
    <row r="129" spans="1:4" x14ac:dyDescent="0.45">
      <c r="A129">
        <f t="shared" si="1"/>
        <v>128</v>
      </c>
      <c r="B129">
        <v>3315911200</v>
      </c>
      <c r="C129" t="s">
        <v>91</v>
      </c>
      <c r="D129">
        <v>3315911200</v>
      </c>
    </row>
    <row r="130" spans="1:4" x14ac:dyDescent="0.45">
      <c r="A130">
        <f t="shared" si="1"/>
        <v>129</v>
      </c>
      <c r="B130">
        <v>3215831200</v>
      </c>
      <c r="C130" t="s">
        <v>86</v>
      </c>
      <c r="D130">
        <v>3215831200</v>
      </c>
    </row>
    <row r="131" spans="1:4" x14ac:dyDescent="0.45">
      <c r="A131">
        <f t="shared" si="1"/>
        <v>130</v>
      </c>
      <c r="B131">
        <v>2311161100</v>
      </c>
      <c r="C131" t="s">
        <v>9</v>
      </c>
      <c r="D131">
        <v>2311161100</v>
      </c>
    </row>
    <row r="132" spans="1:4" x14ac:dyDescent="0.45">
      <c r="A132">
        <f t="shared" ref="A132:A195" si="2">A131+1</f>
        <v>131</v>
      </c>
      <c r="B132">
        <v>2415181100</v>
      </c>
      <c r="C132" t="s">
        <v>57</v>
      </c>
      <c r="D132">
        <v>2415181100</v>
      </c>
    </row>
    <row r="133" spans="1:4" x14ac:dyDescent="0.45">
      <c r="A133">
        <f t="shared" si="2"/>
        <v>132</v>
      </c>
      <c r="B133">
        <v>2415771200</v>
      </c>
      <c r="C133" t="s">
        <v>68</v>
      </c>
      <c r="D133">
        <v>2415771200</v>
      </c>
    </row>
    <row r="134" spans="1:4" x14ac:dyDescent="0.45">
      <c r="A134">
        <f t="shared" si="2"/>
        <v>133</v>
      </c>
      <c r="B134">
        <v>2311841100</v>
      </c>
      <c r="C134" t="s">
        <v>18</v>
      </c>
      <c r="D134">
        <v>2311841100</v>
      </c>
    </row>
    <row r="135" spans="1:4" x14ac:dyDescent="0.45">
      <c r="A135">
        <f t="shared" si="2"/>
        <v>134</v>
      </c>
      <c r="B135">
        <v>2415341100</v>
      </c>
      <c r="C135" t="s">
        <v>62</v>
      </c>
      <c r="D135">
        <v>2415341100</v>
      </c>
    </row>
    <row r="136" spans="1:4" x14ac:dyDescent="0.45">
      <c r="A136">
        <f t="shared" si="2"/>
        <v>135</v>
      </c>
      <c r="B136">
        <v>3316051200</v>
      </c>
      <c r="C136" t="s">
        <v>99</v>
      </c>
      <c r="D136">
        <v>3316051200</v>
      </c>
    </row>
    <row r="137" spans="1:4" x14ac:dyDescent="0.45">
      <c r="A137">
        <f t="shared" si="2"/>
        <v>136</v>
      </c>
      <c r="B137">
        <v>3616251100</v>
      </c>
      <c r="C137" t="s">
        <v>111</v>
      </c>
      <c r="D137">
        <v>3616251100</v>
      </c>
    </row>
    <row r="138" spans="1:4" x14ac:dyDescent="0.45">
      <c r="A138">
        <f t="shared" si="2"/>
        <v>137</v>
      </c>
      <c r="B138">
        <v>2415631100</v>
      </c>
      <c r="C138" t="s">
        <v>392</v>
      </c>
      <c r="D138">
        <v>2415631100</v>
      </c>
    </row>
    <row r="139" spans="1:4" x14ac:dyDescent="0.45">
      <c r="A139">
        <f t="shared" si="2"/>
        <v>138</v>
      </c>
      <c r="B139">
        <v>2311531100</v>
      </c>
      <c r="C139" t="s">
        <v>331</v>
      </c>
      <c r="D139">
        <v>2311531100</v>
      </c>
    </row>
    <row r="140" spans="1:4" x14ac:dyDescent="0.45">
      <c r="A140">
        <f t="shared" si="2"/>
        <v>139</v>
      </c>
      <c r="B140">
        <v>3817541100</v>
      </c>
      <c r="C140" t="s">
        <v>441</v>
      </c>
      <c r="D140">
        <v>3817541100</v>
      </c>
    </row>
    <row r="141" spans="1:4" x14ac:dyDescent="0.45">
      <c r="A141">
        <f t="shared" si="2"/>
        <v>140</v>
      </c>
      <c r="B141">
        <v>2414891100</v>
      </c>
      <c r="C141" t="s">
        <v>363</v>
      </c>
      <c r="D141">
        <v>2414891100</v>
      </c>
    </row>
    <row r="142" spans="1:4" x14ac:dyDescent="0.45">
      <c r="A142">
        <f t="shared" si="2"/>
        <v>141</v>
      </c>
      <c r="B142">
        <v>3716631200</v>
      </c>
      <c r="C142" t="s">
        <v>123</v>
      </c>
      <c r="D142">
        <v>3716631200</v>
      </c>
    </row>
    <row r="143" spans="1:4" x14ac:dyDescent="0.45">
      <c r="A143">
        <f t="shared" si="2"/>
        <v>142</v>
      </c>
      <c r="B143">
        <v>2114321100</v>
      </c>
      <c r="C143" t="s">
        <v>408</v>
      </c>
      <c r="D143">
        <v>2114321100</v>
      </c>
    </row>
    <row r="144" spans="1:4" x14ac:dyDescent="0.45">
      <c r="A144">
        <f t="shared" si="2"/>
        <v>143</v>
      </c>
      <c r="B144">
        <v>2415081100</v>
      </c>
      <c r="C144" t="s">
        <v>368</v>
      </c>
      <c r="D144">
        <v>2415081100</v>
      </c>
    </row>
    <row r="145" spans="1:4" x14ac:dyDescent="0.45">
      <c r="A145">
        <f t="shared" si="2"/>
        <v>144</v>
      </c>
      <c r="B145">
        <v>3716731100</v>
      </c>
      <c r="C145" t="s">
        <v>436</v>
      </c>
      <c r="D145">
        <v>3716731100</v>
      </c>
    </row>
    <row r="146" spans="1:4" x14ac:dyDescent="0.45">
      <c r="A146">
        <f t="shared" si="2"/>
        <v>145</v>
      </c>
      <c r="B146">
        <v>2311201100</v>
      </c>
      <c r="C146" t="s">
        <v>329</v>
      </c>
      <c r="D146">
        <v>2311201100</v>
      </c>
    </row>
    <row r="147" spans="1:4" x14ac:dyDescent="0.45">
      <c r="A147">
        <f t="shared" si="2"/>
        <v>146</v>
      </c>
      <c r="B147">
        <v>2318481100</v>
      </c>
      <c r="C147" t="s">
        <v>356</v>
      </c>
      <c r="D147">
        <v>2318481100</v>
      </c>
    </row>
    <row r="148" spans="1:4" x14ac:dyDescent="0.45">
      <c r="A148">
        <f t="shared" si="2"/>
        <v>147</v>
      </c>
      <c r="B148">
        <v>2311691100</v>
      </c>
      <c r="C148" t="s">
        <v>332</v>
      </c>
      <c r="D148">
        <v>2311691100</v>
      </c>
    </row>
    <row r="149" spans="1:4" x14ac:dyDescent="0.45">
      <c r="A149">
        <f t="shared" si="2"/>
        <v>148</v>
      </c>
      <c r="B149">
        <v>3817161200</v>
      </c>
      <c r="C149" t="s">
        <v>437</v>
      </c>
      <c r="D149">
        <v>3817161200</v>
      </c>
    </row>
    <row r="150" spans="1:4" x14ac:dyDescent="0.45">
      <c r="A150">
        <f t="shared" si="2"/>
        <v>149</v>
      </c>
      <c r="B150">
        <v>2414911100</v>
      </c>
      <c r="C150" t="s">
        <v>364</v>
      </c>
      <c r="D150">
        <v>2414911100</v>
      </c>
    </row>
    <row r="151" spans="1:4" x14ac:dyDescent="0.45">
      <c r="A151">
        <f t="shared" si="2"/>
        <v>150</v>
      </c>
      <c r="B151">
        <v>2313251100</v>
      </c>
      <c r="C151" t="s">
        <v>350</v>
      </c>
      <c r="D151">
        <v>2313251100</v>
      </c>
    </row>
    <row r="152" spans="1:4" x14ac:dyDescent="0.45">
      <c r="A152">
        <f t="shared" si="2"/>
        <v>151</v>
      </c>
      <c r="B152">
        <v>2114481100</v>
      </c>
      <c r="C152" t="s">
        <v>414</v>
      </c>
      <c r="D152">
        <v>2114481100</v>
      </c>
    </row>
    <row r="153" spans="1:4" x14ac:dyDescent="0.45">
      <c r="A153">
        <f t="shared" si="2"/>
        <v>152</v>
      </c>
      <c r="B153">
        <v>2415471100</v>
      </c>
      <c r="C153" t="s">
        <v>382</v>
      </c>
      <c r="D153">
        <v>2415471100</v>
      </c>
    </row>
    <row r="154" spans="1:4" x14ac:dyDescent="0.45">
      <c r="A154">
        <f t="shared" si="2"/>
        <v>153</v>
      </c>
      <c r="B154">
        <v>2313321200</v>
      </c>
      <c r="C154" t="s">
        <v>46</v>
      </c>
      <c r="D154">
        <v>2313321200</v>
      </c>
    </row>
    <row r="155" spans="1:4" x14ac:dyDescent="0.45">
      <c r="A155">
        <f t="shared" si="2"/>
        <v>154</v>
      </c>
      <c r="B155">
        <v>2312871100</v>
      </c>
      <c r="C155" t="s">
        <v>346</v>
      </c>
      <c r="D155">
        <v>2312871100</v>
      </c>
    </row>
    <row r="156" spans="1:4" x14ac:dyDescent="0.45">
      <c r="A156">
        <f t="shared" si="2"/>
        <v>155</v>
      </c>
      <c r="B156">
        <v>2311431100</v>
      </c>
      <c r="C156" t="s">
        <v>330</v>
      </c>
      <c r="D156">
        <v>2311431100</v>
      </c>
    </row>
    <row r="157" spans="1:4" x14ac:dyDescent="0.45">
      <c r="A157">
        <f t="shared" si="2"/>
        <v>156</v>
      </c>
      <c r="B157">
        <v>2114091100</v>
      </c>
      <c r="C157" t="s">
        <v>403</v>
      </c>
      <c r="D157">
        <v>2114091100</v>
      </c>
    </row>
    <row r="158" spans="1:4" x14ac:dyDescent="0.45">
      <c r="A158">
        <f t="shared" si="2"/>
        <v>157</v>
      </c>
      <c r="B158">
        <v>2213841100</v>
      </c>
      <c r="C158" t="s">
        <v>428</v>
      </c>
      <c r="D158">
        <v>2213841100</v>
      </c>
    </row>
    <row r="159" spans="1:4" x14ac:dyDescent="0.45">
      <c r="A159">
        <f t="shared" si="2"/>
        <v>158</v>
      </c>
      <c r="B159">
        <v>2114541100</v>
      </c>
      <c r="C159" t="s">
        <v>415</v>
      </c>
      <c r="D159">
        <v>2114541100</v>
      </c>
    </row>
    <row r="160" spans="1:4" x14ac:dyDescent="0.45">
      <c r="A160">
        <f t="shared" si="2"/>
        <v>159</v>
      </c>
      <c r="B160">
        <v>2213581100</v>
      </c>
      <c r="C160" t="s">
        <v>422</v>
      </c>
      <c r="D160">
        <v>2213581100</v>
      </c>
    </row>
    <row r="161" spans="1:4" x14ac:dyDescent="0.45">
      <c r="A161">
        <f t="shared" si="2"/>
        <v>160</v>
      </c>
      <c r="B161">
        <v>2414801100</v>
      </c>
      <c r="C161" t="s">
        <v>362</v>
      </c>
      <c r="D161">
        <v>2414801100</v>
      </c>
    </row>
    <row r="162" spans="1:4" x14ac:dyDescent="0.45">
      <c r="A162">
        <f t="shared" si="2"/>
        <v>161</v>
      </c>
      <c r="B162">
        <v>2312161100</v>
      </c>
      <c r="C162" t="s">
        <v>340</v>
      </c>
      <c r="D162">
        <v>2312161100</v>
      </c>
    </row>
    <row r="163" spans="1:4" x14ac:dyDescent="0.45">
      <c r="A163">
        <f t="shared" si="2"/>
        <v>162</v>
      </c>
      <c r="B163">
        <v>2415671100</v>
      </c>
      <c r="C163" t="s">
        <v>394</v>
      </c>
      <c r="D163">
        <v>2415671100</v>
      </c>
    </row>
    <row r="164" spans="1:4" x14ac:dyDescent="0.45">
      <c r="A164">
        <f t="shared" si="2"/>
        <v>163</v>
      </c>
      <c r="B164">
        <v>2414661100</v>
      </c>
      <c r="C164" t="s">
        <v>359</v>
      </c>
      <c r="D164">
        <v>2414661100</v>
      </c>
    </row>
    <row r="165" spans="1:4" x14ac:dyDescent="0.45">
      <c r="A165">
        <f t="shared" si="2"/>
        <v>164</v>
      </c>
      <c r="B165">
        <v>2415591100</v>
      </c>
      <c r="C165" t="s">
        <v>389</v>
      </c>
      <c r="D165">
        <v>2415591100</v>
      </c>
    </row>
    <row r="166" spans="1:4" x14ac:dyDescent="0.45">
      <c r="A166">
        <f t="shared" si="2"/>
        <v>165</v>
      </c>
      <c r="B166">
        <v>4418171100</v>
      </c>
      <c r="C166" t="s">
        <v>444</v>
      </c>
      <c r="D166">
        <v>4418171100</v>
      </c>
    </row>
    <row r="167" spans="1:4" x14ac:dyDescent="0.45">
      <c r="A167">
        <f t="shared" si="2"/>
        <v>166</v>
      </c>
      <c r="B167">
        <v>2414701100</v>
      </c>
      <c r="C167" t="s">
        <v>361</v>
      </c>
      <c r="D167">
        <v>2414701100</v>
      </c>
    </row>
    <row r="168" spans="1:4" x14ac:dyDescent="0.45">
      <c r="A168">
        <f t="shared" si="2"/>
        <v>167</v>
      </c>
      <c r="B168">
        <v>3716291200</v>
      </c>
      <c r="C168" t="s">
        <v>113</v>
      </c>
      <c r="D168">
        <v>3716291200</v>
      </c>
    </row>
    <row r="169" spans="1:4" x14ac:dyDescent="0.45">
      <c r="A169">
        <f t="shared" si="2"/>
        <v>168</v>
      </c>
      <c r="B169">
        <v>2415441100</v>
      </c>
      <c r="C169" t="s">
        <v>381</v>
      </c>
      <c r="D169">
        <v>2415441100</v>
      </c>
    </row>
    <row r="170" spans="1:4" x14ac:dyDescent="0.45">
      <c r="A170">
        <f t="shared" si="2"/>
        <v>169</v>
      </c>
      <c r="B170">
        <v>2213871200</v>
      </c>
      <c r="C170" t="s">
        <v>82</v>
      </c>
      <c r="D170">
        <v>2213871200</v>
      </c>
    </row>
    <row r="171" spans="1:4" x14ac:dyDescent="0.45">
      <c r="A171">
        <f t="shared" si="2"/>
        <v>170</v>
      </c>
      <c r="B171">
        <v>2415361100</v>
      </c>
      <c r="C171" t="s">
        <v>378</v>
      </c>
      <c r="D171">
        <v>2415361100</v>
      </c>
    </row>
    <row r="172" spans="1:4" x14ac:dyDescent="0.45">
      <c r="A172">
        <f t="shared" si="2"/>
        <v>171</v>
      </c>
      <c r="B172">
        <v>2313331100</v>
      </c>
      <c r="C172" t="s">
        <v>351</v>
      </c>
      <c r="D172">
        <v>2313331100</v>
      </c>
    </row>
    <row r="173" spans="1:4" x14ac:dyDescent="0.45">
      <c r="A173">
        <f t="shared" si="2"/>
        <v>172</v>
      </c>
      <c r="B173">
        <v>2213741100</v>
      </c>
      <c r="C173" t="s">
        <v>425</v>
      </c>
      <c r="D173">
        <v>2213741100</v>
      </c>
    </row>
    <row r="174" spans="1:4" x14ac:dyDescent="0.45">
      <c r="A174">
        <f t="shared" si="2"/>
        <v>173</v>
      </c>
      <c r="B174">
        <v>2313411100</v>
      </c>
      <c r="C174" t="s">
        <v>355</v>
      </c>
      <c r="D174">
        <v>2313411100</v>
      </c>
    </row>
    <row r="175" spans="1:4" x14ac:dyDescent="0.45">
      <c r="A175">
        <f t="shared" si="2"/>
        <v>174</v>
      </c>
      <c r="B175">
        <v>3817251200</v>
      </c>
      <c r="C175" t="s">
        <v>439</v>
      </c>
      <c r="D175">
        <v>3817251200</v>
      </c>
    </row>
    <row r="176" spans="1:4" x14ac:dyDescent="0.45">
      <c r="A176">
        <f t="shared" si="2"/>
        <v>175</v>
      </c>
      <c r="B176">
        <v>2415201100</v>
      </c>
      <c r="C176" t="s">
        <v>371</v>
      </c>
      <c r="D176">
        <v>2415201100</v>
      </c>
    </row>
    <row r="177" spans="1:4" x14ac:dyDescent="0.45">
      <c r="A177">
        <f t="shared" si="2"/>
        <v>176</v>
      </c>
      <c r="B177">
        <v>2311771100</v>
      </c>
      <c r="C177" t="s">
        <v>333</v>
      </c>
      <c r="D177">
        <v>2311771100</v>
      </c>
    </row>
    <row r="178" spans="1:4" x14ac:dyDescent="0.45">
      <c r="A178">
        <f t="shared" si="2"/>
        <v>177</v>
      </c>
      <c r="B178">
        <v>2312951100</v>
      </c>
      <c r="C178" t="s">
        <v>348</v>
      </c>
      <c r="D178">
        <v>2312951100</v>
      </c>
    </row>
    <row r="179" spans="1:4" x14ac:dyDescent="0.45">
      <c r="A179">
        <f t="shared" si="2"/>
        <v>178</v>
      </c>
      <c r="B179">
        <v>2414621100</v>
      </c>
      <c r="C179" t="s">
        <v>357</v>
      </c>
      <c r="D179">
        <v>2414621100</v>
      </c>
    </row>
    <row r="180" spans="1:4" x14ac:dyDescent="0.45">
      <c r="A180">
        <f t="shared" si="2"/>
        <v>179</v>
      </c>
      <c r="B180">
        <v>2114211100</v>
      </c>
      <c r="C180" t="s">
        <v>406</v>
      </c>
      <c r="D180">
        <v>2114211100</v>
      </c>
    </row>
    <row r="181" spans="1:4" x14ac:dyDescent="0.45">
      <c r="A181">
        <f t="shared" si="2"/>
        <v>180</v>
      </c>
      <c r="B181">
        <v>2415791100</v>
      </c>
      <c r="C181" t="s">
        <v>398</v>
      </c>
      <c r="D181">
        <v>2415791100</v>
      </c>
    </row>
    <row r="182" spans="1:4" x14ac:dyDescent="0.45">
      <c r="A182">
        <f t="shared" si="2"/>
        <v>181</v>
      </c>
      <c r="B182">
        <v>2213801100</v>
      </c>
      <c r="C182" t="s">
        <v>427</v>
      </c>
      <c r="D182">
        <v>2213801100</v>
      </c>
    </row>
    <row r="183" spans="1:4" x14ac:dyDescent="0.45">
      <c r="A183">
        <f t="shared" si="2"/>
        <v>182</v>
      </c>
      <c r="B183">
        <v>2415651100</v>
      </c>
      <c r="C183" t="s">
        <v>393</v>
      </c>
      <c r="D183">
        <v>2415651100</v>
      </c>
    </row>
    <row r="184" spans="1:4" x14ac:dyDescent="0.45">
      <c r="A184">
        <f t="shared" si="2"/>
        <v>183</v>
      </c>
      <c r="B184">
        <v>2114221100</v>
      </c>
      <c r="C184" t="s">
        <v>407</v>
      </c>
      <c r="D184">
        <v>2114221100</v>
      </c>
    </row>
    <row r="185" spans="1:4" x14ac:dyDescent="0.45">
      <c r="A185">
        <f t="shared" si="2"/>
        <v>184</v>
      </c>
      <c r="B185">
        <v>2415751100</v>
      </c>
      <c r="C185" t="s">
        <v>396</v>
      </c>
      <c r="D185">
        <v>2415751100</v>
      </c>
    </row>
    <row r="186" spans="1:4" x14ac:dyDescent="0.45">
      <c r="A186">
        <f t="shared" si="2"/>
        <v>185</v>
      </c>
      <c r="B186">
        <v>2312401100</v>
      </c>
      <c r="C186" t="s">
        <v>343</v>
      </c>
      <c r="D186">
        <v>2312401100</v>
      </c>
    </row>
    <row r="187" spans="1:4" x14ac:dyDescent="0.45">
      <c r="A187">
        <f t="shared" si="2"/>
        <v>186</v>
      </c>
      <c r="B187">
        <v>2313391100</v>
      </c>
      <c r="C187" t="s">
        <v>353</v>
      </c>
      <c r="D187">
        <v>2313391100</v>
      </c>
    </row>
    <row r="188" spans="1:4" x14ac:dyDescent="0.45">
      <c r="A188">
        <f t="shared" si="2"/>
        <v>187</v>
      </c>
      <c r="B188">
        <v>2213731100</v>
      </c>
      <c r="C188" t="s">
        <v>424</v>
      </c>
      <c r="D188">
        <v>2213731100</v>
      </c>
    </row>
    <row r="189" spans="1:4" x14ac:dyDescent="0.45">
      <c r="A189">
        <f t="shared" si="2"/>
        <v>188</v>
      </c>
      <c r="B189">
        <v>2312911100</v>
      </c>
      <c r="C189" t="s">
        <v>347</v>
      </c>
      <c r="D189">
        <v>2312911100</v>
      </c>
    </row>
    <row r="190" spans="1:4" x14ac:dyDescent="0.45">
      <c r="A190">
        <f t="shared" si="2"/>
        <v>189</v>
      </c>
      <c r="B190">
        <v>2114081100</v>
      </c>
      <c r="C190" t="s">
        <v>402</v>
      </c>
      <c r="D190">
        <v>2114081100</v>
      </c>
    </row>
    <row r="191" spans="1:4" x14ac:dyDescent="0.45">
      <c r="A191">
        <f t="shared" si="2"/>
        <v>190</v>
      </c>
      <c r="B191">
        <v>3716521200</v>
      </c>
      <c r="C191" t="s">
        <v>433</v>
      </c>
      <c r="D191">
        <v>3716521200</v>
      </c>
    </row>
    <row r="192" spans="1:4" x14ac:dyDescent="0.45">
      <c r="A192">
        <f t="shared" si="2"/>
        <v>191</v>
      </c>
      <c r="B192">
        <v>2114371100</v>
      </c>
      <c r="C192" t="s">
        <v>410</v>
      </c>
      <c r="D192">
        <v>2114371100</v>
      </c>
    </row>
    <row r="193" spans="1:4" x14ac:dyDescent="0.45">
      <c r="A193">
        <f t="shared" si="2"/>
        <v>192</v>
      </c>
      <c r="B193">
        <v>2311851100</v>
      </c>
      <c r="C193" t="s">
        <v>335</v>
      </c>
      <c r="D193">
        <v>2311851100</v>
      </c>
    </row>
    <row r="194" spans="1:4" x14ac:dyDescent="0.45">
      <c r="A194">
        <f t="shared" si="2"/>
        <v>193</v>
      </c>
      <c r="B194">
        <v>2415801100</v>
      </c>
      <c r="C194" t="s">
        <v>399</v>
      </c>
      <c r="D194">
        <v>2415801100</v>
      </c>
    </row>
    <row r="195" spans="1:4" x14ac:dyDescent="0.45">
      <c r="A195">
        <f t="shared" si="2"/>
        <v>194</v>
      </c>
      <c r="B195">
        <v>2313401100</v>
      </c>
      <c r="C195" t="s">
        <v>354</v>
      </c>
      <c r="D195">
        <v>2313401100</v>
      </c>
    </row>
    <row r="196" spans="1:4" x14ac:dyDescent="0.45">
      <c r="A196">
        <f t="shared" ref="A196:A259" si="3">A195+1</f>
        <v>195</v>
      </c>
      <c r="B196">
        <v>3716851200</v>
      </c>
      <c r="C196" t="s">
        <v>135</v>
      </c>
      <c r="D196">
        <v>3716851200</v>
      </c>
    </row>
    <row r="197" spans="1:4" x14ac:dyDescent="0.45">
      <c r="A197">
        <f t="shared" si="3"/>
        <v>196</v>
      </c>
      <c r="B197">
        <v>2415601100</v>
      </c>
      <c r="C197" t="s">
        <v>390</v>
      </c>
      <c r="D197">
        <v>2415601100</v>
      </c>
    </row>
    <row r="198" spans="1:4" x14ac:dyDescent="0.45">
      <c r="A198">
        <f t="shared" si="3"/>
        <v>197</v>
      </c>
      <c r="B198">
        <v>2213541100</v>
      </c>
      <c r="C198" t="s">
        <v>420</v>
      </c>
      <c r="D198">
        <v>2213541100</v>
      </c>
    </row>
    <row r="199" spans="1:4" x14ac:dyDescent="0.45">
      <c r="A199">
        <f t="shared" si="3"/>
        <v>198</v>
      </c>
      <c r="B199">
        <v>4417471200</v>
      </c>
      <c r="C199" t="s">
        <v>173</v>
      </c>
      <c r="D199">
        <v>4417471200</v>
      </c>
    </row>
    <row r="200" spans="1:4" x14ac:dyDescent="0.45">
      <c r="A200">
        <f t="shared" si="3"/>
        <v>199</v>
      </c>
      <c r="B200">
        <v>2114341100</v>
      </c>
      <c r="C200" t="s">
        <v>409</v>
      </c>
      <c r="D200">
        <v>2114341100</v>
      </c>
    </row>
    <row r="201" spans="1:4" x14ac:dyDescent="0.45">
      <c r="A201">
        <f t="shared" si="3"/>
        <v>200</v>
      </c>
      <c r="B201">
        <v>2114461100</v>
      </c>
      <c r="C201" t="s">
        <v>412</v>
      </c>
      <c r="D201">
        <v>2114461100</v>
      </c>
    </row>
    <row r="202" spans="1:4" x14ac:dyDescent="0.45">
      <c r="A202">
        <f t="shared" si="3"/>
        <v>201</v>
      </c>
      <c r="B202">
        <v>2114141100</v>
      </c>
      <c r="C202" t="s">
        <v>404</v>
      </c>
      <c r="D202">
        <v>2114141100</v>
      </c>
    </row>
    <row r="203" spans="1:4" x14ac:dyDescent="0.45">
      <c r="A203">
        <f t="shared" si="3"/>
        <v>202</v>
      </c>
      <c r="B203">
        <v>2415161100</v>
      </c>
      <c r="C203" t="s">
        <v>370</v>
      </c>
      <c r="D203">
        <v>2415161100</v>
      </c>
    </row>
    <row r="204" spans="1:4" x14ac:dyDescent="0.45">
      <c r="A204">
        <f t="shared" si="3"/>
        <v>203</v>
      </c>
      <c r="B204">
        <v>2415611100</v>
      </c>
      <c r="C204" t="s">
        <v>391</v>
      </c>
      <c r="D204">
        <v>2415611100</v>
      </c>
    </row>
    <row r="205" spans="1:4" x14ac:dyDescent="0.45">
      <c r="A205">
        <f t="shared" si="3"/>
        <v>204</v>
      </c>
      <c r="B205">
        <v>2415481100</v>
      </c>
      <c r="C205" t="s">
        <v>383</v>
      </c>
      <c r="D205">
        <v>2415481100</v>
      </c>
    </row>
    <row r="206" spans="1:4" x14ac:dyDescent="0.45">
      <c r="A206">
        <f t="shared" si="3"/>
        <v>205</v>
      </c>
      <c r="B206">
        <v>2415311100</v>
      </c>
      <c r="C206" t="s">
        <v>374</v>
      </c>
      <c r="D206">
        <v>2415311100</v>
      </c>
    </row>
    <row r="207" spans="1:4" x14ac:dyDescent="0.45">
      <c r="A207">
        <f t="shared" si="3"/>
        <v>206</v>
      </c>
      <c r="B207">
        <v>2213921200</v>
      </c>
      <c r="C207" t="s">
        <v>429</v>
      </c>
      <c r="D207">
        <v>2213921200</v>
      </c>
    </row>
    <row r="208" spans="1:4" x14ac:dyDescent="0.45">
      <c r="A208">
        <f t="shared" si="3"/>
        <v>207</v>
      </c>
      <c r="B208">
        <v>4317431200</v>
      </c>
      <c r="C208" t="s">
        <v>165</v>
      </c>
      <c r="D208">
        <v>4317431200</v>
      </c>
    </row>
    <row r="209" spans="1:4" x14ac:dyDescent="0.45">
      <c r="A209">
        <f t="shared" si="3"/>
        <v>208</v>
      </c>
      <c r="B209">
        <v>2114021100</v>
      </c>
      <c r="C209" t="s">
        <v>401</v>
      </c>
      <c r="D209">
        <v>2114021100</v>
      </c>
    </row>
    <row r="210" spans="1:4" x14ac:dyDescent="0.45">
      <c r="A210">
        <f t="shared" si="3"/>
        <v>209</v>
      </c>
      <c r="B210">
        <v>2415321100</v>
      </c>
      <c r="C210" t="s">
        <v>375</v>
      </c>
      <c r="D210">
        <v>2415321100</v>
      </c>
    </row>
    <row r="211" spans="1:4" x14ac:dyDescent="0.45">
      <c r="A211">
        <f t="shared" si="3"/>
        <v>210</v>
      </c>
      <c r="B211">
        <v>2415151100</v>
      </c>
      <c r="C211" t="s">
        <v>369</v>
      </c>
      <c r="D211">
        <v>2415151100</v>
      </c>
    </row>
    <row r="212" spans="1:4" x14ac:dyDescent="0.45">
      <c r="A212">
        <f t="shared" si="3"/>
        <v>211</v>
      </c>
      <c r="B212">
        <v>2415551100</v>
      </c>
      <c r="C212" t="s">
        <v>387</v>
      </c>
      <c r="D212">
        <v>2415551100</v>
      </c>
    </row>
    <row r="213" spans="1:4" x14ac:dyDescent="0.45">
      <c r="A213">
        <f t="shared" si="3"/>
        <v>212</v>
      </c>
      <c r="B213">
        <v>2415371100</v>
      </c>
      <c r="C213" t="s">
        <v>379</v>
      </c>
      <c r="D213">
        <v>2415371100</v>
      </c>
    </row>
    <row r="214" spans="1:4" x14ac:dyDescent="0.45">
      <c r="A214">
        <f t="shared" si="3"/>
        <v>213</v>
      </c>
      <c r="B214">
        <v>2313361100</v>
      </c>
      <c r="C214" t="s">
        <v>352</v>
      </c>
      <c r="D214">
        <v>2313361100</v>
      </c>
    </row>
    <row r="215" spans="1:4" x14ac:dyDescent="0.45">
      <c r="A215">
        <f t="shared" si="3"/>
        <v>214</v>
      </c>
      <c r="B215">
        <v>2114561100</v>
      </c>
      <c r="C215" t="s">
        <v>417</v>
      </c>
      <c r="D215">
        <v>2114561100</v>
      </c>
    </row>
    <row r="216" spans="1:4" x14ac:dyDescent="0.45">
      <c r="A216">
        <f t="shared" si="3"/>
        <v>215</v>
      </c>
      <c r="B216">
        <v>2114591100</v>
      </c>
      <c r="C216" t="s">
        <v>418</v>
      </c>
      <c r="D216">
        <v>2114591100</v>
      </c>
    </row>
    <row r="217" spans="1:4" x14ac:dyDescent="0.45">
      <c r="A217">
        <f t="shared" si="3"/>
        <v>216</v>
      </c>
      <c r="B217">
        <v>2312121100</v>
      </c>
      <c r="C217" t="s">
        <v>339</v>
      </c>
      <c r="D217">
        <v>2312121100</v>
      </c>
    </row>
    <row r="218" spans="1:4" x14ac:dyDescent="0.45">
      <c r="A218">
        <f t="shared" si="3"/>
        <v>217</v>
      </c>
      <c r="B218">
        <v>2414641100</v>
      </c>
      <c r="C218" t="s">
        <v>358</v>
      </c>
      <c r="D218">
        <v>2414641100</v>
      </c>
    </row>
    <row r="219" spans="1:4" x14ac:dyDescent="0.45">
      <c r="A219">
        <f t="shared" si="3"/>
        <v>218</v>
      </c>
      <c r="B219">
        <v>2117921100</v>
      </c>
      <c r="C219" t="s">
        <v>175</v>
      </c>
      <c r="D219">
        <v>2117921100</v>
      </c>
    </row>
    <row r="220" spans="1:4" x14ac:dyDescent="0.45">
      <c r="A220">
        <f t="shared" si="3"/>
        <v>219</v>
      </c>
      <c r="B220">
        <v>2415351100</v>
      </c>
      <c r="C220" t="s">
        <v>377</v>
      </c>
      <c r="D220">
        <v>2415351100</v>
      </c>
    </row>
    <row r="221" spans="1:4" x14ac:dyDescent="0.45">
      <c r="A221">
        <f t="shared" si="3"/>
        <v>220</v>
      </c>
      <c r="B221">
        <v>2312821100</v>
      </c>
      <c r="C221" t="s">
        <v>345</v>
      </c>
      <c r="D221">
        <v>2312821100</v>
      </c>
    </row>
    <row r="222" spans="1:4" x14ac:dyDescent="0.45">
      <c r="A222">
        <f t="shared" si="3"/>
        <v>221</v>
      </c>
      <c r="B222">
        <v>2213941100</v>
      </c>
      <c r="C222" t="s">
        <v>430</v>
      </c>
      <c r="D222">
        <v>2213941100</v>
      </c>
    </row>
    <row r="223" spans="1:4" x14ac:dyDescent="0.45">
      <c r="A223">
        <f t="shared" si="3"/>
        <v>222</v>
      </c>
      <c r="B223">
        <v>2213621200</v>
      </c>
      <c r="C223" t="s">
        <v>79</v>
      </c>
      <c r="D223">
        <v>2213621200</v>
      </c>
    </row>
    <row r="224" spans="1:4" x14ac:dyDescent="0.45">
      <c r="A224">
        <f t="shared" si="3"/>
        <v>223</v>
      </c>
      <c r="B224">
        <v>3716651200</v>
      </c>
      <c r="C224" t="s">
        <v>434</v>
      </c>
      <c r="D224">
        <v>3716651200</v>
      </c>
    </row>
    <row r="225" spans="1:4" x14ac:dyDescent="0.45">
      <c r="A225">
        <f t="shared" si="3"/>
        <v>224</v>
      </c>
      <c r="B225">
        <v>2414681100</v>
      </c>
      <c r="C225" t="s">
        <v>360</v>
      </c>
      <c r="D225">
        <v>2414681100</v>
      </c>
    </row>
    <row r="226" spans="1:4" x14ac:dyDescent="0.45">
      <c r="A226">
        <f t="shared" si="3"/>
        <v>225</v>
      </c>
      <c r="B226">
        <v>2415781100</v>
      </c>
      <c r="C226" t="s">
        <v>397</v>
      </c>
      <c r="D226">
        <v>2415781100</v>
      </c>
    </row>
    <row r="227" spans="1:4" x14ac:dyDescent="0.45">
      <c r="A227">
        <f t="shared" si="3"/>
        <v>226</v>
      </c>
      <c r="B227">
        <v>2415531100</v>
      </c>
      <c r="C227" t="s">
        <v>386</v>
      </c>
      <c r="D227">
        <v>2415531100</v>
      </c>
    </row>
    <row r="228" spans="1:4" x14ac:dyDescent="0.45">
      <c r="A228">
        <f t="shared" si="3"/>
        <v>227</v>
      </c>
      <c r="B228">
        <v>3716931200</v>
      </c>
      <c r="C228" t="s">
        <v>140</v>
      </c>
      <c r="D228">
        <v>3716931200</v>
      </c>
    </row>
    <row r="229" spans="1:4" x14ac:dyDescent="0.45">
      <c r="A229">
        <f t="shared" si="3"/>
        <v>228</v>
      </c>
      <c r="B229">
        <v>2213781100</v>
      </c>
      <c r="C229" t="s">
        <v>426</v>
      </c>
      <c r="D229">
        <v>2213781100</v>
      </c>
    </row>
    <row r="230" spans="1:4" x14ac:dyDescent="0.45">
      <c r="A230">
        <f t="shared" si="3"/>
        <v>229</v>
      </c>
      <c r="B230">
        <v>2415281100</v>
      </c>
      <c r="C230" t="s">
        <v>373</v>
      </c>
      <c r="D230">
        <v>2415281100</v>
      </c>
    </row>
    <row r="231" spans="1:4" x14ac:dyDescent="0.45">
      <c r="A231">
        <f t="shared" si="3"/>
        <v>230</v>
      </c>
      <c r="B231">
        <v>2311881100</v>
      </c>
      <c r="C231" t="s">
        <v>336</v>
      </c>
      <c r="D231">
        <v>2311881100</v>
      </c>
    </row>
    <row r="232" spans="1:4" x14ac:dyDescent="0.45">
      <c r="A232">
        <f t="shared" si="3"/>
        <v>231</v>
      </c>
      <c r="B232">
        <v>3716711100</v>
      </c>
      <c r="C232" t="s">
        <v>435</v>
      </c>
      <c r="D232">
        <v>3716711100</v>
      </c>
    </row>
    <row r="233" spans="1:4" x14ac:dyDescent="0.45">
      <c r="A233">
        <f t="shared" si="3"/>
        <v>232</v>
      </c>
      <c r="B233">
        <v>3716321200</v>
      </c>
      <c r="C233" t="s">
        <v>114</v>
      </c>
      <c r="D233">
        <v>3716321200</v>
      </c>
    </row>
    <row r="234" spans="1:4" x14ac:dyDescent="0.45">
      <c r="A234">
        <f t="shared" si="3"/>
        <v>233</v>
      </c>
      <c r="B234">
        <v>2415581100</v>
      </c>
      <c r="C234" t="s">
        <v>388</v>
      </c>
      <c r="D234">
        <v>2415581100</v>
      </c>
    </row>
    <row r="235" spans="1:4" x14ac:dyDescent="0.45">
      <c r="A235">
        <f t="shared" si="3"/>
        <v>234</v>
      </c>
      <c r="B235">
        <v>2415521100</v>
      </c>
      <c r="C235" t="s">
        <v>385</v>
      </c>
      <c r="D235">
        <v>2415521100</v>
      </c>
    </row>
    <row r="236" spans="1:4" x14ac:dyDescent="0.45">
      <c r="A236">
        <f t="shared" si="3"/>
        <v>235</v>
      </c>
      <c r="B236">
        <v>2114181100</v>
      </c>
      <c r="C236" t="s">
        <v>405</v>
      </c>
      <c r="D236">
        <v>2114181100</v>
      </c>
    </row>
    <row r="237" spans="1:4" x14ac:dyDescent="0.45">
      <c r="A237">
        <f t="shared" si="3"/>
        <v>236</v>
      </c>
      <c r="B237">
        <v>2312811100</v>
      </c>
      <c r="C237" t="s">
        <v>344</v>
      </c>
      <c r="D237">
        <v>2312811100</v>
      </c>
    </row>
    <row r="238" spans="1:4" x14ac:dyDescent="0.45">
      <c r="A238">
        <f t="shared" si="3"/>
        <v>237</v>
      </c>
      <c r="B238">
        <v>2117911100</v>
      </c>
      <c r="C238" t="s">
        <v>419</v>
      </c>
      <c r="D238">
        <v>2117911100</v>
      </c>
    </row>
    <row r="239" spans="1:4" x14ac:dyDescent="0.45">
      <c r="A239">
        <f t="shared" si="3"/>
        <v>238</v>
      </c>
      <c r="B239">
        <v>2114471100</v>
      </c>
      <c r="C239" t="s">
        <v>413</v>
      </c>
      <c r="D239">
        <v>2114471100</v>
      </c>
    </row>
    <row r="240" spans="1:4" x14ac:dyDescent="0.45">
      <c r="A240">
        <f t="shared" si="3"/>
        <v>239</v>
      </c>
      <c r="B240">
        <v>2312101100</v>
      </c>
      <c r="C240" t="s">
        <v>338</v>
      </c>
      <c r="D240">
        <v>2312101100</v>
      </c>
    </row>
    <row r="241" spans="1:4" x14ac:dyDescent="0.45">
      <c r="A241">
        <f t="shared" si="3"/>
        <v>240</v>
      </c>
      <c r="B241">
        <v>2415511100</v>
      </c>
      <c r="C241" t="s">
        <v>384</v>
      </c>
      <c r="D241">
        <v>2415511100</v>
      </c>
    </row>
    <row r="242" spans="1:4" x14ac:dyDescent="0.45">
      <c r="A242">
        <f t="shared" si="3"/>
        <v>241</v>
      </c>
      <c r="B242">
        <v>2312071100</v>
      </c>
      <c r="C242" t="s">
        <v>337</v>
      </c>
      <c r="D242">
        <v>2312071100</v>
      </c>
    </row>
    <row r="243" spans="1:4" x14ac:dyDescent="0.45">
      <c r="A243">
        <f t="shared" si="3"/>
        <v>242</v>
      </c>
      <c r="B243">
        <v>2415271100</v>
      </c>
      <c r="C243" t="s">
        <v>372</v>
      </c>
      <c r="D243">
        <v>2415271100</v>
      </c>
    </row>
    <row r="244" spans="1:4" x14ac:dyDescent="0.45">
      <c r="A244">
        <f t="shared" si="3"/>
        <v>243</v>
      </c>
      <c r="B244">
        <v>2311181100</v>
      </c>
      <c r="C244" t="s">
        <v>328</v>
      </c>
      <c r="D244">
        <v>2311181100</v>
      </c>
    </row>
    <row r="245" spans="1:4" x14ac:dyDescent="0.45">
      <c r="A245">
        <f t="shared" si="3"/>
        <v>244</v>
      </c>
      <c r="B245">
        <v>2415411100</v>
      </c>
      <c r="C245" t="s">
        <v>380</v>
      </c>
      <c r="D245">
        <v>2415411100</v>
      </c>
    </row>
    <row r="246" spans="1:4" x14ac:dyDescent="0.45">
      <c r="A246">
        <f t="shared" si="3"/>
        <v>245</v>
      </c>
      <c r="B246">
        <v>2415741100</v>
      </c>
      <c r="C246" t="s">
        <v>395</v>
      </c>
      <c r="D246">
        <v>2415741100</v>
      </c>
    </row>
    <row r="247" spans="1:4" x14ac:dyDescent="0.45">
      <c r="A247">
        <f t="shared" si="3"/>
        <v>246</v>
      </c>
      <c r="B247">
        <v>2415071100</v>
      </c>
      <c r="C247" t="s">
        <v>367</v>
      </c>
      <c r="D247">
        <v>2415071100</v>
      </c>
    </row>
    <row r="248" spans="1:4" x14ac:dyDescent="0.45">
      <c r="A248">
        <f t="shared" si="3"/>
        <v>247</v>
      </c>
      <c r="B248">
        <v>2312221100</v>
      </c>
      <c r="C248" t="s">
        <v>341</v>
      </c>
      <c r="D248">
        <v>2312221100</v>
      </c>
    </row>
    <row r="249" spans="1:4" x14ac:dyDescent="0.45">
      <c r="A249">
        <f t="shared" si="3"/>
        <v>248</v>
      </c>
      <c r="B249">
        <v>2313171100</v>
      </c>
      <c r="C249" t="s">
        <v>349</v>
      </c>
      <c r="D249">
        <v>2313171100</v>
      </c>
    </row>
    <row r="250" spans="1:4" x14ac:dyDescent="0.45">
      <c r="A250">
        <f t="shared" si="3"/>
        <v>249</v>
      </c>
      <c r="B250">
        <v>2415331100</v>
      </c>
      <c r="C250" t="s">
        <v>376</v>
      </c>
      <c r="D250">
        <v>2415331100</v>
      </c>
    </row>
    <row r="251" spans="1:4" x14ac:dyDescent="0.45">
      <c r="A251">
        <f t="shared" si="3"/>
        <v>250</v>
      </c>
      <c r="B251">
        <v>3316061200</v>
      </c>
      <c r="C251" t="s">
        <v>432</v>
      </c>
      <c r="D251">
        <v>3316061200</v>
      </c>
    </row>
    <row r="252" spans="1:4" x14ac:dyDescent="0.45">
      <c r="A252">
        <f t="shared" si="3"/>
        <v>251</v>
      </c>
      <c r="B252">
        <v>2114421100</v>
      </c>
      <c r="C252" t="s">
        <v>411</v>
      </c>
      <c r="D252">
        <v>2114421100</v>
      </c>
    </row>
    <row r="253" spans="1:4" x14ac:dyDescent="0.45">
      <c r="A253">
        <f t="shared" si="3"/>
        <v>252</v>
      </c>
      <c r="B253">
        <v>4417511200</v>
      </c>
      <c r="C253" t="s">
        <v>443</v>
      </c>
      <c r="D253">
        <v>4417511200</v>
      </c>
    </row>
    <row r="254" spans="1:4" x14ac:dyDescent="0.45">
      <c r="A254">
        <f t="shared" si="3"/>
        <v>253</v>
      </c>
      <c r="B254">
        <v>2213711100</v>
      </c>
      <c r="C254" t="s">
        <v>423</v>
      </c>
      <c r="D254">
        <v>2213711100</v>
      </c>
    </row>
    <row r="255" spans="1:4" x14ac:dyDescent="0.45">
      <c r="A255">
        <f t="shared" si="3"/>
        <v>254</v>
      </c>
      <c r="B255">
        <v>4317331200</v>
      </c>
      <c r="C255" t="s">
        <v>157</v>
      </c>
      <c r="D255">
        <v>4317331200</v>
      </c>
    </row>
    <row r="256" spans="1:4" x14ac:dyDescent="0.45">
      <c r="A256">
        <f t="shared" si="3"/>
        <v>255</v>
      </c>
      <c r="B256">
        <v>3817221200</v>
      </c>
      <c r="C256" t="s">
        <v>438</v>
      </c>
      <c r="D256">
        <v>3817221200</v>
      </c>
    </row>
    <row r="257" spans="1:4" x14ac:dyDescent="0.45">
      <c r="A257">
        <f t="shared" si="3"/>
        <v>256</v>
      </c>
      <c r="B257">
        <v>3315991100</v>
      </c>
      <c r="C257" t="s">
        <v>431</v>
      </c>
      <c r="D257">
        <v>3315991100</v>
      </c>
    </row>
    <row r="258" spans="1:4" x14ac:dyDescent="0.45">
      <c r="A258">
        <f t="shared" si="3"/>
        <v>257</v>
      </c>
      <c r="B258">
        <v>2114551100</v>
      </c>
      <c r="C258" t="s">
        <v>416</v>
      </c>
      <c r="D258">
        <v>2114551100</v>
      </c>
    </row>
    <row r="259" spans="1:4" x14ac:dyDescent="0.45">
      <c r="A259">
        <f t="shared" si="3"/>
        <v>258</v>
      </c>
      <c r="B259">
        <v>4317441200</v>
      </c>
      <c r="C259" t="s">
        <v>166</v>
      </c>
      <c r="D259">
        <v>4317441200</v>
      </c>
    </row>
    <row r="260" spans="1:4" x14ac:dyDescent="0.45">
      <c r="A260">
        <f t="shared" ref="A260:A277" si="4">A259+1</f>
        <v>259</v>
      </c>
      <c r="B260">
        <v>2414981100</v>
      </c>
      <c r="C260" t="s">
        <v>365</v>
      </c>
      <c r="D260">
        <v>2414981100</v>
      </c>
    </row>
    <row r="261" spans="1:4" x14ac:dyDescent="0.45">
      <c r="A261">
        <f t="shared" si="4"/>
        <v>260</v>
      </c>
      <c r="B261">
        <v>3817301100</v>
      </c>
      <c r="C261" t="s">
        <v>440</v>
      </c>
      <c r="D261">
        <v>3817301100</v>
      </c>
    </row>
    <row r="262" spans="1:4" x14ac:dyDescent="0.45">
      <c r="A262">
        <f t="shared" si="4"/>
        <v>261</v>
      </c>
      <c r="B262">
        <v>1418431100</v>
      </c>
      <c r="C262" t="s">
        <v>327</v>
      </c>
      <c r="D262">
        <v>1418431100</v>
      </c>
    </row>
    <row r="263" spans="1:4" x14ac:dyDescent="0.45">
      <c r="A263">
        <f t="shared" si="4"/>
        <v>262</v>
      </c>
      <c r="B263">
        <v>2114011100</v>
      </c>
      <c r="C263" t="s">
        <v>400</v>
      </c>
      <c r="D263">
        <v>2114011100</v>
      </c>
    </row>
    <row r="264" spans="1:4" x14ac:dyDescent="0.45">
      <c r="A264">
        <f t="shared" si="4"/>
        <v>263</v>
      </c>
      <c r="B264">
        <v>2312261100</v>
      </c>
      <c r="C264" t="s">
        <v>342</v>
      </c>
      <c r="D264">
        <v>2312261100</v>
      </c>
    </row>
    <row r="265" spans="1:4" x14ac:dyDescent="0.45">
      <c r="A265">
        <f t="shared" si="4"/>
        <v>264</v>
      </c>
      <c r="B265">
        <v>2213571100</v>
      </c>
      <c r="C265" t="s">
        <v>421</v>
      </c>
      <c r="D265">
        <v>2213571100</v>
      </c>
    </row>
    <row r="266" spans="1:4" x14ac:dyDescent="0.45">
      <c r="A266">
        <f t="shared" si="4"/>
        <v>265</v>
      </c>
      <c r="B266">
        <v>2313081100</v>
      </c>
      <c r="C266" t="s">
        <v>34</v>
      </c>
      <c r="D266">
        <v>2313081100</v>
      </c>
    </row>
    <row r="267" spans="1:4" x14ac:dyDescent="0.45">
      <c r="A267">
        <f t="shared" si="4"/>
        <v>266</v>
      </c>
      <c r="B267">
        <v>3817181100</v>
      </c>
      <c r="C267" t="s">
        <v>152</v>
      </c>
      <c r="D267">
        <v>3817181100</v>
      </c>
    </row>
    <row r="268" spans="1:4" x14ac:dyDescent="0.45">
      <c r="A268">
        <f t="shared" si="4"/>
        <v>267</v>
      </c>
      <c r="B268">
        <v>2317901200</v>
      </c>
      <c r="C268" t="s">
        <v>174</v>
      </c>
      <c r="D268">
        <v>2317901200</v>
      </c>
    </row>
    <row r="269" spans="1:4" x14ac:dyDescent="0.45">
      <c r="A269">
        <f t="shared" si="4"/>
        <v>268</v>
      </c>
      <c r="B269">
        <v>2311221100</v>
      </c>
      <c r="C269" t="s">
        <v>10</v>
      </c>
      <c r="D269">
        <v>2311221100</v>
      </c>
    </row>
    <row r="270" spans="1:4" x14ac:dyDescent="0.45">
      <c r="A270">
        <f t="shared" si="4"/>
        <v>269</v>
      </c>
      <c r="B270">
        <v>2415221200</v>
      </c>
      <c r="C270" t="s">
        <v>59</v>
      </c>
      <c r="D270">
        <v>2415221200</v>
      </c>
    </row>
    <row r="271" spans="1:4" x14ac:dyDescent="0.45">
      <c r="A271">
        <f t="shared" si="4"/>
        <v>270</v>
      </c>
      <c r="B271">
        <v>2415461200</v>
      </c>
      <c r="C271" t="s">
        <v>65</v>
      </c>
      <c r="D271">
        <v>2415461200</v>
      </c>
    </row>
    <row r="272" spans="1:4" x14ac:dyDescent="0.45">
      <c r="A272">
        <f t="shared" si="4"/>
        <v>271</v>
      </c>
      <c r="B272">
        <v>2415391200</v>
      </c>
      <c r="C272" t="s">
        <v>63</v>
      </c>
      <c r="D272">
        <v>2415391200</v>
      </c>
    </row>
    <row r="273" spans="1:4" x14ac:dyDescent="0.45">
      <c r="A273">
        <f t="shared" si="4"/>
        <v>272</v>
      </c>
      <c r="B273">
        <v>2415431200</v>
      </c>
      <c r="C273" t="s">
        <v>64</v>
      </c>
      <c r="D273">
        <v>2415431200</v>
      </c>
    </row>
    <row r="274" spans="1:4" x14ac:dyDescent="0.45">
      <c r="A274">
        <f t="shared" si="4"/>
        <v>273</v>
      </c>
      <c r="B274">
        <v>5318501100</v>
      </c>
      <c r="C274" t="s">
        <v>448</v>
      </c>
      <c r="D274">
        <v>5318501100</v>
      </c>
    </row>
    <row r="275" spans="1:4" x14ac:dyDescent="0.45">
      <c r="A275">
        <f t="shared" si="4"/>
        <v>274</v>
      </c>
      <c r="B275">
        <v>2311871100</v>
      </c>
      <c r="C275" t="s">
        <v>19</v>
      </c>
      <c r="D275">
        <v>2311871100</v>
      </c>
    </row>
    <row r="276" spans="1:4" x14ac:dyDescent="0.45">
      <c r="A276">
        <f t="shared" si="4"/>
        <v>275</v>
      </c>
      <c r="B276">
        <v>2312001100</v>
      </c>
      <c r="C276" t="s">
        <v>20</v>
      </c>
      <c r="D276">
        <v>2312001100</v>
      </c>
    </row>
    <row r="277" spans="1:4" x14ac:dyDescent="0.45">
      <c r="A277">
        <f t="shared" si="4"/>
        <v>276</v>
      </c>
      <c r="B277">
        <v>2414991100</v>
      </c>
      <c r="C277" t="s">
        <v>366</v>
      </c>
      <c r="D277">
        <v>2414991100</v>
      </c>
    </row>
  </sheetData>
  <phoneticPr fontId="2"/>
  <hyperlinks>
    <hyperlink ref="G2" r:id="rId1" xr:uid="{21BD3FE6-949C-4510-AD45-E6C57C924B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職種別 (2種)</vt:lpstr>
      <vt:lpstr>職種別 (NC)</vt:lpstr>
      <vt:lpstr>ホーム合計</vt:lpstr>
      <vt:lpstr>NC導入施設</vt:lpstr>
      <vt:lpstr>'職種別 (2種)'!Print_Titles</vt:lpstr>
      <vt:lpstr>'職種別 (NC)'!Print_Titles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sup93497</dc:creator>
  <cp:lastModifiedBy>sup93692</cp:lastModifiedBy>
  <cp:lastPrinted>2024-06-06T04:06:08Z</cp:lastPrinted>
  <dcterms:created xsi:type="dcterms:W3CDTF">2024-04-01T07:34:56Z</dcterms:created>
  <dcterms:modified xsi:type="dcterms:W3CDTF">2026-02-09T00:39:49Z</dcterms:modified>
</cp:coreProperties>
</file>